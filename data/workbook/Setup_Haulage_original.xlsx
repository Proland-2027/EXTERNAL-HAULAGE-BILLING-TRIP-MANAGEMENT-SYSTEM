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dayekh\Downloads\"/>
    </mc:Choice>
  </mc:AlternateContent>
  <xr:revisionPtr revIDLastSave="0" documentId="13_ncr:1_{5C3D36CF-3A23-4CCA-B961-C64F557C9926}" xr6:coauthVersionLast="47" xr6:coauthVersionMax="47" xr10:uidLastSave="{00000000-0000-0000-0000-000000000000}"/>
  <bookViews>
    <workbookView xWindow="-108" yWindow="-108" windowWidth="23256" windowHeight="12456" tabRatio="855" activeTab="2" xr2:uid="{00000000-000D-0000-FFFF-FFFF00000000}"/>
  </bookViews>
  <sheets>
    <sheet name="Asset Code" sheetId="22" r:id="rId1"/>
    <sheet name="Item List" sheetId="20" r:id="rId2"/>
    <sheet name="Staffs List" sheetId="19" r:id="rId3"/>
    <sheet name="Supplier" sheetId="14" r:id="rId4"/>
    <sheet name="LOB" sheetId="15" r:id="rId5"/>
    <sheet name="Rate Card for costing " sheetId="21" r:id="rId6"/>
    <sheet name="KPI" sheetId="17" r:id="rId7"/>
    <sheet name="Expense Account " sheetId="16" r:id="rId8"/>
    <sheet name="All Routes" sheetId="1" r:id="rId9"/>
    <sheet name="Driver Mapping On Each Vehicle " sheetId="18" r:id="rId10"/>
    <sheet name="KM from Lagos" sheetId="2" r:id="rId11"/>
    <sheet name="KM from Oyo (Ibadan)" sheetId="3" r:id="rId12"/>
    <sheet name="KM from Rivers (PH)" sheetId="4" r:id="rId13"/>
    <sheet name="KM from FCT (Abuja)" sheetId="5" r:id="rId14"/>
    <sheet name="KM from Nasarawa (Keffi)" sheetId="6" r:id="rId15"/>
    <sheet name="Internal Zones" sheetId="7" r:id="rId16"/>
    <sheet name="Zone Areas" sheetId="8" r:id="rId17"/>
    <sheet name="3PL Rate Card - Internal" sheetId="9" r:id="rId18"/>
    <sheet name="3PL Rate Card - Interstate" sheetId="10" r:id="rId19"/>
    <sheet name="Spelling Corrections" sheetId="11" r:id="rId20"/>
    <sheet name="Method &amp; Notes" sheetId="12" r:id="rId21"/>
    <sheet name="Sheet1" sheetId="13" r:id="rId22"/>
  </sheets>
  <externalReferences>
    <externalReference r:id="rId23"/>
    <externalReference r:id="rId24"/>
    <externalReference r:id="rId25"/>
    <externalReference r:id="rId26"/>
  </externalReferences>
  <definedNames>
    <definedName name="\0">#REF!</definedName>
    <definedName name="\X">#REF!</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311_H">#REF!</definedName>
    <definedName name="_BOM2">#REF!</definedName>
    <definedName name="_COL1">#REF!</definedName>
    <definedName name="_DAT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Fill" hidden="1">#REF!</definedName>
    <definedName name="_xlnm._FilterDatabase" localSheetId="17" hidden="1">'3PL Rate Card - Internal'!$A$1:$L$47</definedName>
    <definedName name="_xlnm._FilterDatabase" localSheetId="18" hidden="1">'3PL Rate Card - Interstate'!$A$1:$O$304</definedName>
    <definedName name="_xlnm._FilterDatabase" localSheetId="8" hidden="1">'All Routes'!$A$1:$T$824</definedName>
    <definedName name="_xlnm._FilterDatabase" localSheetId="0" hidden="1">'Asset Code'!$A$1:$H$125</definedName>
    <definedName name="_xlnm._FilterDatabase" localSheetId="9" hidden="1">'Driver Mapping On Each Vehicle '!$A$1:$K$68</definedName>
    <definedName name="_xlnm._FilterDatabase" localSheetId="15" hidden="1">'Internal Zones'!$A$1:$N$47</definedName>
    <definedName name="_xlnm._FilterDatabase" localSheetId="1" hidden="1">'Item List'!$A$1:$L$727</definedName>
    <definedName name="_xlnm._FilterDatabase" localSheetId="13" hidden="1">'KM from FCT (Abuja)'!$A$1:$N$80</definedName>
    <definedName name="_xlnm._FilterDatabase" localSheetId="10" hidden="1">'KM from Lagos'!$A$1:$N$218</definedName>
    <definedName name="_xlnm._FilterDatabase" localSheetId="14" hidden="1">'KM from Nasarawa (Keffi)'!$A$1:$N$3</definedName>
    <definedName name="_xlnm._FilterDatabase" localSheetId="11" hidden="1">'KM from Oyo (Ibadan)'!$A$1:$N$68</definedName>
    <definedName name="_xlnm._FilterDatabase" localSheetId="12" hidden="1">'KM from Rivers (PH)'!$A$1:$N$71</definedName>
    <definedName name="_xlnm._FilterDatabase" localSheetId="5" hidden="1">'Rate Card for costing '!$A$2:$N$69</definedName>
    <definedName name="_xlnm._FilterDatabase" localSheetId="19" hidden="1">'Spelling Corrections'!$A$1:$B$107</definedName>
    <definedName name="_xlnm._FilterDatabase" localSheetId="3" hidden="1">Supplier!$A$4:$W$59</definedName>
    <definedName name="_xlnm._FilterDatabase" localSheetId="16" hidden="1">'Zone Areas'!$A$1:$D$362</definedName>
    <definedName name="_hdr1">#REF!</definedName>
    <definedName name="_hdr2">#REF!</definedName>
    <definedName name="_hdr22">#REF!</definedName>
    <definedName name="_MAK1">#REF!</definedName>
    <definedName name="_MAK2">#REF!</definedName>
    <definedName name="_MAK3">#REF!</definedName>
    <definedName name="_MAK4">#REF!</definedName>
    <definedName name="_ONE1">#REF!</definedName>
    <definedName name="_Order1" hidden="1">0</definedName>
    <definedName name="_ROW1">#REF!</definedName>
    <definedName name="_SIX1">#REF!</definedName>
    <definedName name="_Sort" hidden="1">#REF!</definedName>
    <definedName name="_TEN1">#REF!</definedName>
    <definedName name="_TWO1">#REF!</definedName>
    <definedName name="○">#REF!</definedName>
    <definedName name="a">#REF!</definedName>
    <definedName name="A11A">#REF!</definedName>
    <definedName name="A11B">#REF!</definedName>
    <definedName name="A12A">#REF!</definedName>
    <definedName name="A12B">#REF!</definedName>
    <definedName name="A13A">#REF!</definedName>
    <definedName name="A13B">#REF!</definedName>
    <definedName name="A14A">#REF!</definedName>
    <definedName name="A14B">#REF!</definedName>
    <definedName name="A15A">#REF!</definedName>
    <definedName name="A15B">#REF!</definedName>
    <definedName name="A16A">#REF!</definedName>
    <definedName name="A16B">#REF!</definedName>
    <definedName name="A17A">#REF!</definedName>
    <definedName name="A17B">#REF!</definedName>
    <definedName name="A18A">#REF!</definedName>
    <definedName name="A18B">#REF!</definedName>
    <definedName name="A19A">#REF!</definedName>
    <definedName name="A19B">#REF!</definedName>
    <definedName name="A20A">#REF!</definedName>
    <definedName name="A20B">#REF!</definedName>
    <definedName name="A21A">#REF!</definedName>
    <definedName name="A21B">#REF!</definedName>
    <definedName name="A22A">#REF!</definedName>
    <definedName name="A22B">#REF!</definedName>
    <definedName name="A23A">#REF!</definedName>
    <definedName name="A23B">#REF!</definedName>
    <definedName name="A24A">#REF!</definedName>
    <definedName name="A24B">#REF!</definedName>
    <definedName name="A25A">#REF!</definedName>
    <definedName name="A25B">#REF!</definedName>
    <definedName name="AA">#REF!</definedName>
    <definedName name="aaaa">#REF!</definedName>
    <definedName name="aaaaaaaaaaaa">#REF!</definedName>
    <definedName name="Accountable_Profit">#REF!</definedName>
    <definedName name="Accountname">[2]accounts!$B$2:$B$177</definedName>
    <definedName name="Agent">#REF!</definedName>
    <definedName name="ALL">#REF!</definedName>
    <definedName name="AllocP1">#REF!</definedName>
    <definedName name="AllocP2">#REF!</definedName>
    <definedName name="AllParts">#REF!</definedName>
    <definedName name="AllPartsII">#REF!</definedName>
    <definedName name="AllPieceParts">#REF!</definedName>
    <definedName name="AltTable">#REF!</definedName>
    <definedName name="ANKA">#REF!</definedName>
    <definedName name="ANSO">#REF!</definedName>
    <definedName name="APPS_Month">#REF!</definedName>
    <definedName name="APPS_YTD">#REF!</definedName>
    <definedName name="April_YTD_DPP_3300_3500_Summari">#REF!</definedName>
    <definedName name="APS_Month">#REF!</definedName>
    <definedName name="APS_YTD">#REF!</definedName>
    <definedName name="AReview">#REF!</definedName>
    <definedName name="AS2DocOpenMode" hidden="1">"AS2DocumentEdit"</definedName>
    <definedName name="ascasdcac">#REF!</definedName>
    <definedName name="asdsdsdsd">#REF!</definedName>
    <definedName name="Assembly">#REF!</definedName>
    <definedName name="AUKA">#REF!</definedName>
    <definedName name="AUSO">#REF!</definedName>
    <definedName name="Barge">#REF!</definedName>
    <definedName name="BASE_TIME">#REF!</definedName>
    <definedName name="BASE_TIME_YTD">#REF!</definedName>
    <definedName name="BaseCost">#REF!</definedName>
    <definedName name="BD_Perc">#REF!</definedName>
    <definedName name="BlankSpace">#REF!</definedName>
    <definedName name="BOM">#REF!</definedName>
    <definedName name="BOMLT">#REF!</definedName>
    <definedName name="BOMLTII">#REF!</definedName>
    <definedName name="BRAN">#REF!</definedName>
    <definedName name="BRANC">#REF!</definedName>
    <definedName name="BU_list">#REF!</definedName>
    <definedName name="businessunit">#REF!</definedName>
    <definedName name="CALC">#REF!</definedName>
    <definedName name="CALCULATE">#REF!</definedName>
    <definedName name="CASHFLOW">#REF!</definedName>
    <definedName name="Cat_Brnd_Dsgn_Month">#REF!</definedName>
    <definedName name="Cat_Brnd_Dsgn_YTD">#REF!</definedName>
    <definedName name="CFVYR1">#REF!</definedName>
    <definedName name="CFYR1">#REF!</definedName>
    <definedName name="CFYR2">#REF!</definedName>
    <definedName name="ChildBom">#REF!</definedName>
    <definedName name="CHOICE1">#REF!</definedName>
    <definedName name="Client">"Client"</definedName>
    <definedName name="Client_Grade">"C"</definedName>
    <definedName name="CODE">#REF!</definedName>
    <definedName name="Comp_Month">#REF!</definedName>
    <definedName name="Comp_YTD">#REF!</definedName>
    <definedName name="Company">#REF!</definedName>
    <definedName name="ContAccessorials">#REF!</definedName>
    <definedName name="ContainerDestLandCost">#REF!</definedName>
    <definedName name="ContainerLandToLandCost">#REF!</definedName>
    <definedName name="ContainerOcean">#REF!</definedName>
    <definedName name="ContainerOriginLandCost">#REF!</definedName>
    <definedName name="ContainerTranspCost">#REF!</definedName>
    <definedName name="ContLandFactor">#REF!</definedName>
    <definedName name="COS">#REF!</definedName>
    <definedName name="Cost">#REF!</definedName>
    <definedName name="CostInput">#REF!</definedName>
    <definedName name="CostTable4">#REF!</definedName>
    <definedName name="CostTable5">#REF!</definedName>
    <definedName name="Country">#REF!</definedName>
    <definedName name="CPLRtrv1">#REF!</definedName>
    <definedName name="CPLRtrv2">#REF!</definedName>
    <definedName name="Criteria_3_1">#REF!</definedName>
    <definedName name="Criteria_3_2">#REF!</definedName>
    <definedName name="Criteria_3_3">#REF!</definedName>
    <definedName name="Criteria_4_1">#REF!</definedName>
    <definedName name="Criteria_4_2">#REF!</definedName>
    <definedName name="Criteria_4_3">#REF!</definedName>
    <definedName name="Criteria_5_1">#REF!</definedName>
    <definedName name="Criteria_5_2">#REF!</definedName>
    <definedName name="Criteria_5_3">#REF!</definedName>
    <definedName name="Criteria_6_1">#REF!</definedName>
    <definedName name="Criteria_6_2">#REF!</definedName>
    <definedName name="Criteria_6_3">#REF!</definedName>
    <definedName name="Criteria_7_1">#REF!</definedName>
    <definedName name="Criteria_7_2">#REF!</definedName>
    <definedName name="Criteria_7_3">#REF!</definedName>
    <definedName name="CSHFLOW">#REF!</definedName>
    <definedName name="CSHFLOW1">#REF!</definedName>
    <definedName name="CubeSize">#REF!</definedName>
    <definedName name="CurrentMonth">#REF!</definedName>
    <definedName name="Customer_Address">"Rm 2409, 24/F Winsor House"</definedName>
    <definedName name="Customer_City">"Causeway Bay, Hong KOng"</definedName>
    <definedName name="Customer_Name">#REF!</definedName>
    <definedName name="Customer_State">"Hong KOng"</definedName>
    <definedName name="Customer_ZIP">"sdf"</definedName>
    <definedName name="DATA">#REF!</definedName>
    <definedName name="_xlnm.Database">#REF!</definedName>
    <definedName name="DataMkt">#REF!</definedName>
    <definedName name="DataNPC">#REF!</definedName>
    <definedName name="DataPivot">#REF!</definedName>
    <definedName name="DateRange">"1998.10.01 To 1998.10.31"</definedName>
    <definedName name="dbo_tblMultiModels">#REF!</definedName>
    <definedName name="DecHdr">#REF!</definedName>
    <definedName name="DEPSCHD">#REF!</definedName>
    <definedName name="DIMENS_1">#REF!</definedName>
    <definedName name="DIMENS_2">#REF!</definedName>
    <definedName name="DIMENS_3">#REF!</definedName>
    <definedName name="DIMENS_4">#REF!</definedName>
    <definedName name="DIMENS_5">#REF!</definedName>
    <definedName name="DIMENS_6">#REF!</definedName>
    <definedName name="DIMENS_7">#REF!</definedName>
    <definedName name="DIMENS_8">#REF!</definedName>
    <definedName name="Discount">#REF!</definedName>
    <definedName name="Display_Component_Design_Information">#REF!</definedName>
    <definedName name="DPP_3300_3500_Summed_Dec_YTD_20">#REF!</definedName>
    <definedName name="DPP_June_YTD_3300_3500_Summed">#REF!</definedName>
    <definedName name="DPP_Month">#REF!</definedName>
    <definedName name="DPP_YTD">#REF!</definedName>
    <definedName name="Duty">#REF!</definedName>
    <definedName name="Dynamics">#REF!</definedName>
    <definedName name="E_Rate">#REF!</definedName>
    <definedName name="EAME_Month">#REF!</definedName>
    <definedName name="EAME_YTD">#REF!</definedName>
    <definedName name="eee">#REF!</definedName>
    <definedName name="EIGHT">#REF!</definedName>
    <definedName name="EIGHT1">#REF!</definedName>
    <definedName name="EIN">#REF!</definedName>
    <definedName name="EngTable">#REF!</definedName>
    <definedName name="ENTDATA">#REF!</definedName>
    <definedName name="EP_Admin_Month">#REF!</definedName>
    <definedName name="EP_Admin_YTD">#REF!</definedName>
    <definedName name="EPG___entire_RFP_by_plant">#REF!</definedName>
    <definedName name="EPNA_Month">#REF!</definedName>
    <definedName name="EPNA_YTD">#REF!</definedName>
    <definedName name="EPNA123">#REF!</definedName>
    <definedName name="EPRINT">#REF!</definedName>
    <definedName name="EQUIPMENT">#REF!</definedName>
    <definedName name="Equipment_Database">#REF!</definedName>
    <definedName name="Equipmenttt">#REF!</definedName>
    <definedName name="EVIEW">#REF!</definedName>
    <definedName name="Ex_CNY_08BP">#REF!</definedName>
    <definedName name="Ex_INR">#REF!</definedName>
    <definedName name="Ex_INR_2010">#REF!</definedName>
    <definedName name="Ex_INR_2015">#REF!</definedName>
    <definedName name="ExBRL">#REF!</definedName>
    <definedName name="ExBrP">#REF!</definedName>
    <definedName name="ExEur">#REF!</definedName>
    <definedName name="ExINR">#REF!</definedName>
    <definedName name="ExRMB">#REF!</definedName>
    <definedName name="F_A_INPUT_JV">#REF!</definedName>
    <definedName name="F_A_SENST_JV">#REF!</definedName>
    <definedName name="F1_Server">"Server Name"</definedName>
    <definedName name="F1_Server_1">"HK-CILLIN"</definedName>
    <definedName name="F1_Server_2">""</definedName>
    <definedName name="F1_Server_3">""</definedName>
    <definedName name="F1_Server_4">""</definedName>
    <definedName name="F1_Server_5">""</definedName>
    <definedName name="F1_Service">"Service "</definedName>
    <definedName name="F1_Service_1">"InterScan NT"</definedName>
    <definedName name="F1_Service_2">""</definedName>
    <definedName name="F1_Service_3">""</definedName>
    <definedName name="F1_Service_4">""</definedName>
    <definedName name="F1_Service_5">""</definedName>
    <definedName name="F1_Virus">"# of Viruses "</definedName>
    <definedName name="F1_virus_1">"1"</definedName>
    <definedName name="F1_virus_2">""</definedName>
    <definedName name="F1_virus_3">""</definedName>
    <definedName name="F1_virus_4">""</definedName>
    <definedName name="F1_virus_5">""</definedName>
    <definedName name="F3_Machine">"Machine Name"</definedName>
    <definedName name="F3_Machine_1">""</definedName>
    <definedName name="F3_Machine_2">""</definedName>
    <definedName name="F3_Machine_3">""</definedName>
    <definedName name="F3_Machine_4">""</definedName>
    <definedName name="F3_Machine_5">""</definedName>
    <definedName name="F3_Virus_1">""</definedName>
    <definedName name="F3_Virus_2">""</definedName>
    <definedName name="F3_Virus_3">""</definedName>
    <definedName name="F3_Virus_4">""</definedName>
    <definedName name="F3_Virus_5">""</definedName>
    <definedName name="F3_Viruses">"# of Viruses "</definedName>
    <definedName name="FGW_Month">#REF!</definedName>
    <definedName name="FGW_YTD">#REF!</definedName>
    <definedName name="Figure_1_Comment">""</definedName>
    <definedName name="Figure_1_Head">"Virus Entry Point Analysis ( Server )"</definedName>
    <definedName name="Figure_2_Head">"Overall Score"</definedName>
    <definedName name="Figure_3_Comment">""</definedName>
    <definedName name="Figure_3_Head">"Virus Entry Point Analysis ( Client )"</definedName>
    <definedName name="Figure_4_Comment">" 
"</definedName>
    <definedName name="Figure_4_Head">"Daily Virus Count"</definedName>
    <definedName name="Figure_5_Comment">" 
"</definedName>
    <definedName name="Figure_5_Head">"Virus Type Analysis"</definedName>
    <definedName name="Figure_6_Comment">" 
"</definedName>
    <definedName name="Figure_6_Head">"Common Viruses"</definedName>
    <definedName name="Figure_7_Comment">" 
"</definedName>
    <definedName name="Figure_7_Head">"Virus Source Analysis"</definedName>
    <definedName name="Figure_8_Comment">" 
"</definedName>
    <definedName name="Figure_8_Head">"Virus Destination Analysis"</definedName>
    <definedName name="FileName">#REF!</definedName>
    <definedName name="FileServer">"File Server"</definedName>
    <definedName name="FileServer_Grade">"C"</definedName>
    <definedName name="FILLZERO">#REF!</definedName>
    <definedName name="FIRSTYEAR">#REF!</definedName>
    <definedName name="Fitting">#REF!</definedName>
    <definedName name="FIVE">#REF!</definedName>
    <definedName name="FIVE1">#REF!</definedName>
    <definedName name="FIX">#REF!</definedName>
    <definedName name="FlowStatusQuo">#REF!</definedName>
    <definedName name="FOB">#REF!</definedName>
    <definedName name="Forecast_Summary">#REF!</definedName>
    <definedName name="FORMAT">#REF!</definedName>
    <definedName name="FormMRtrv2">#REF!</definedName>
    <definedName name="FormMRtrv3">#REF!</definedName>
    <definedName name="FormMSend1">#REF!</definedName>
    <definedName name="FOUR">#REF!</definedName>
    <definedName name="FOUR1">#REF!</definedName>
    <definedName name="FXRtrv1">#REF!</definedName>
    <definedName name="FXRtrv2">#REF!</definedName>
    <definedName name="gEEV">#REF!</definedName>
    <definedName name="Glb_Mktg_Month">#REF!</definedName>
    <definedName name="Glb_Mktg_YTD">#REF!</definedName>
    <definedName name="Grade">"C"</definedName>
    <definedName name="Grade_Level">"Grade "</definedName>
    <definedName name="gtsd">#REF!</definedName>
    <definedName name="hf">#REF!</definedName>
    <definedName name="hid_switch">#REF!</definedName>
    <definedName name="hidden">#REF!</definedName>
    <definedName name="HKI">#REF!</definedName>
    <definedName name="Home">#REF!</definedName>
    <definedName name="HOWMANY">#REF!</definedName>
    <definedName name="HPL_Month">#REF!</definedName>
    <definedName name="HPL_YTD">#REF!</definedName>
    <definedName name="id">#REF!</definedName>
    <definedName name="INFL1">#REF!</definedName>
    <definedName name="INFL2">#REF!</definedName>
    <definedName name="INFLATION">#REF!</definedName>
    <definedName name="INPUT">#REF!</definedName>
    <definedName name="INPUT_J.VENTURE">#REF!</definedName>
    <definedName name="Instruments_Database">#REF!</definedName>
    <definedName name="InternetProtection">"Internet Protection"</definedName>
    <definedName name="InternetProtection_Grade">"C"</definedName>
    <definedName name="IRR">#REF!</definedName>
    <definedName name="JunHdr">#REF!</definedName>
    <definedName name="JVDATA">#REF!</definedName>
    <definedName name="KONS">#REF!</definedName>
    <definedName name="KPI">#REF!</definedName>
    <definedName name="KPI_Inputs">#REF!</definedName>
    <definedName name="kri">#REF!</definedName>
    <definedName name="kuwhgeduqwebacjkbsjdkcbs">#REF!</definedName>
    <definedName name="L1FixPeriodCost">#REF!</definedName>
    <definedName name="L1FlexPeriodCost">#REF!</definedName>
    <definedName name="L1PBaseCost">#REF!</definedName>
    <definedName name="L1VarCost">#REF!</definedName>
    <definedName name="L2FixPeriodCost">#REF!</definedName>
    <definedName name="L2FlexPeriodCost">#REF!</definedName>
    <definedName name="L2NProdCost">#REF!</definedName>
    <definedName name="L2VarCost">#REF!</definedName>
    <definedName name="L3FixPeriodCost">#REF!</definedName>
    <definedName name="L3FlexPeriodCost">#REF!</definedName>
    <definedName name="L3NProdCost">#REF!</definedName>
    <definedName name="L3VarCost">#REF!</definedName>
    <definedName name="LandedIndia">#REF!</definedName>
    <definedName name="LAST">#REF!</definedName>
    <definedName name="LIFE">#REF!</definedName>
    <definedName name="Lister">#REF!</definedName>
    <definedName name="LISTPRICE">#REF!</definedName>
    <definedName name="Loadability">#REF!</definedName>
    <definedName name="Loc">#REF!</definedName>
    <definedName name="LPC_Month">#REF!</definedName>
    <definedName name="LPC_YTD">#REF!</definedName>
    <definedName name="LRF_EPG_Region__Bev_Fritz_">#REF!</definedName>
    <definedName name="M_ERESIDUAL">#REF!</definedName>
    <definedName name="macro1">#REF!</definedName>
    <definedName name="MailSystem">"Mail System"</definedName>
    <definedName name="MailSystem_Grade">"C"</definedName>
    <definedName name="Mbr_List">#REF!</definedName>
    <definedName name="mbr_no">#REF!</definedName>
    <definedName name="MbrAlias">#REF!</definedName>
    <definedName name="MbrName">#REF!</definedName>
    <definedName name="MENU">#REF!</definedName>
    <definedName name="Month">#REF!</definedName>
    <definedName name="MSH150X6X3">#REF!</definedName>
    <definedName name="mybit">#REF!</definedName>
    <definedName name="NAME">#REF!</definedName>
    <definedName name="namee">#REF!</definedName>
    <definedName name="Net_Sales_Transfers">#REF!</definedName>
    <definedName name="Networkptions">#REF!</definedName>
    <definedName name="NINE">#REF!</definedName>
    <definedName name="NINE1">#REF!</definedName>
    <definedName name="NoYes">#REF!</definedName>
    <definedName name="NPI_ADJ_AND_SALES_ORD">#REF!</definedName>
    <definedName name="NSK">#REF!</definedName>
    <definedName name="OcFreight">#REF!</definedName>
    <definedName name="OFF">#REF!</definedName>
    <definedName name="Olly_Summed_ACL">#REF!</definedName>
    <definedName name="OLY_Join___Apr_June">#REF!</definedName>
    <definedName name="OLY_Joined">#REF!</definedName>
    <definedName name="Oly_Rebrand_Joined_Final">#REF!</definedName>
    <definedName name="Oly_Rebrand_Summed">#REF!</definedName>
    <definedName name="OLY_Sep06_YTD_Summed___ACL">#REF!</definedName>
    <definedName name="ON">#REF!</definedName>
    <definedName name="ONE">#REF!</definedName>
    <definedName name="OptimTime">#REF!</definedName>
    <definedName name="P1Land">#REF!</definedName>
    <definedName name="P2Land">#REF!</definedName>
    <definedName name="P3Land">#REF!</definedName>
    <definedName name="percent">#REF!</definedName>
    <definedName name="PERCENTAGE">#REF!</definedName>
    <definedName name="PIA_RPT">#REF!</definedName>
    <definedName name="PL_names">#REF!</definedName>
    <definedName name="PLBUflag">#REF!</definedName>
    <definedName name="PLBUflag2">#REF!</definedName>
    <definedName name="PLRtrv1">#REF!</definedName>
    <definedName name="PLRtrv2">#REF!</definedName>
    <definedName name="PondiApr">#REF!</definedName>
    <definedName name="PondiAug">#REF!</definedName>
    <definedName name="PondiDec">#REF!</definedName>
    <definedName name="PondiFeb">#REF!</definedName>
    <definedName name="PondiJan">#REF!</definedName>
    <definedName name="PondiJly">#REF!</definedName>
    <definedName name="PondiJun">#REF!</definedName>
    <definedName name="PondiMar">#REF!</definedName>
    <definedName name="PondiMay">#REF!</definedName>
    <definedName name="PondiNov">#REF!</definedName>
    <definedName name="PondiOct">#REF!</definedName>
    <definedName name="PondiSep">#REF!</definedName>
    <definedName name="Port">#REF!</definedName>
    <definedName name="PrdCostRtrv1">#REF!</definedName>
    <definedName name="PrdCostRtrv2">#REF!</definedName>
    <definedName name="PRICE">#REF!</definedName>
    <definedName name="PRINT_SplitTTT_2002">#REF!</definedName>
    <definedName name="PRINT_SplitTTT_2003">#REF!</definedName>
    <definedName name="PRINT_STEX_2002">#REF!</definedName>
    <definedName name="PRINT_STEX_2003">#REF!</definedName>
    <definedName name="PRINT_Totaux_2002">#REF!</definedName>
    <definedName name="PRINT_Totaux_2003">#REF!</definedName>
    <definedName name="PRINT_TTL_2002">#REF!,#REF!</definedName>
    <definedName name="PRINT_TTL_2003">#REF!,#REF!</definedName>
    <definedName name="PRINT_TTT_2002">#REF!</definedName>
    <definedName name="PRINT_TTT_2003">#REF!</definedName>
    <definedName name="PRINT_TTT_TTL_2002">#REF!</definedName>
    <definedName name="PRINT_TTT_TTL_2003">#REF!</definedName>
    <definedName name="PRINT1">#REF!</definedName>
    <definedName name="PRINTJV">#REF!</definedName>
    <definedName name="PRIOR_MTH">#REF!</definedName>
    <definedName name="PRIOR_QTR">#REF!</definedName>
    <definedName name="PriorMonth">#REF!</definedName>
    <definedName name="Prod">#REF!</definedName>
    <definedName name="ProductivityOptions">#REF!</definedName>
    <definedName name="prog_clrarea">#REF!,#REF!,#REF!,#REF!,#REF!,#REF!</definedName>
    <definedName name="Project_Name">#REF!</definedName>
    <definedName name="Project_Number">#REF!</definedName>
    <definedName name="PT_YEAR">#REF!</definedName>
    <definedName name="q">#REF!</definedName>
    <definedName name="QTR">#REF!</definedName>
    <definedName name="QTY">#REF!</definedName>
    <definedName name="RBM___ADJUSTMENT_4__VOLUMES_EFFECT_ON_VARIABLE">#REF!</definedName>
    <definedName name="RECOMMENDATION">" 
"</definedName>
    <definedName name="REMARK">#REF!</definedName>
    <definedName name="REMARK_1">#REF!</definedName>
    <definedName name="Report_Title">"Trend eDoctor Virus Diagnostic Report for  Trend_Micro_HK_Limited"</definedName>
    <definedName name="RepPartsKey">#REF!</definedName>
    <definedName name="RESIDUAL">#REF!</definedName>
    <definedName name="RETURN1">#REF!</definedName>
    <definedName name="RETURN2">#REF!</definedName>
    <definedName name="RETURN3">#REF!</definedName>
    <definedName name="RETURN4">#REF!</definedName>
    <definedName name="RNG_TIME">#REF!</definedName>
    <definedName name="ROI">#REF!</definedName>
    <definedName name="s">#REF!</definedName>
    <definedName name="SALES">#REF!</definedName>
    <definedName name="SAPBEXrevision" hidden="1">2</definedName>
    <definedName name="SAPBEXsysID" hidden="1">"CBP"</definedName>
    <definedName name="SAPBEXwbID" hidden="1">"3YD0ZR9CTB994QJO15M69JYUD"</definedName>
    <definedName name="Scenario">#REF!</definedName>
    <definedName name="ScenarioNum">#REF!</definedName>
    <definedName name="SCORE">#REF!</definedName>
    <definedName name="scores">#REF!</definedName>
    <definedName name="sdcdsc">#REF!</definedName>
    <definedName name="SE_NAME">""</definedName>
    <definedName name="SEITE1">#REF!</definedName>
    <definedName name="SepHdr">#REF!</definedName>
    <definedName name="SERIES_1">#REF!</definedName>
    <definedName name="SERIES_2">#REF!</definedName>
    <definedName name="Service_Type">"Service Type"</definedName>
    <definedName name="SEVEN">#REF!</definedName>
    <definedName name="SEVEN1">#REF!</definedName>
    <definedName name="Shipping">#REF!</definedName>
    <definedName name="SI_NAME">"Trend Micro HK eDoctor"</definedName>
    <definedName name="SIX">#REF!</definedName>
    <definedName name="SixSigma">#REF!</definedName>
    <definedName name="SlsRcnRtrv2">#REF!</definedName>
    <definedName name="SlsRcnSend1">#REF!</definedName>
    <definedName name="SonDad">#REF!</definedName>
    <definedName name="SS_MaxPattern">"Max Pattern Number "</definedName>
    <definedName name="SS_MaxPattern_1">""</definedName>
    <definedName name="SS_MaxPattern_2">""</definedName>
    <definedName name="SS_MaxPattern_3">""</definedName>
    <definedName name="SS_MaxPattern_4">""</definedName>
    <definedName name="SS_MaxPattern_5">""</definedName>
    <definedName name="SS_MaxPattern_6">""</definedName>
    <definedName name="SS_MinPattern">"Min Pattern Number "</definedName>
    <definedName name="SS_MinPattern_1">""</definedName>
    <definedName name="SS_MinPattern_2">""</definedName>
    <definedName name="SS_MinPattern_3">""</definedName>
    <definedName name="SS_MinPattern_4">""</definedName>
    <definedName name="SS_MinPattern_5">""</definedName>
    <definedName name="SS_MinPattern_6">""</definedName>
    <definedName name="SS_ServerNo">"Number of Serveres "</definedName>
    <definedName name="SS_ServerNo_1">""</definedName>
    <definedName name="SS_ServerNo_2">""</definedName>
    <definedName name="SS_ServerNo_3">""</definedName>
    <definedName name="SS_ServerNo_4">""</definedName>
    <definedName name="SS_ServerNo_5">""</definedName>
    <definedName name="SS_ServerNo_6">""</definedName>
    <definedName name="SS_SiteName">"Site Name"</definedName>
    <definedName name="SS_SiteName_1">""</definedName>
    <definedName name="SS_SiteName_2">""</definedName>
    <definedName name="SS_SiteName_3">""</definedName>
    <definedName name="SS_SiteName_4">""</definedName>
    <definedName name="SS_SiteName_5">""</definedName>
    <definedName name="SS_SiteName_6">""</definedName>
    <definedName name="SS_VirusNo">"Number of Viruses "</definedName>
    <definedName name="SS_VirusNo_1">""</definedName>
    <definedName name="SS_VirusNo_2">""</definedName>
    <definedName name="SS_VirusNo_3">""</definedName>
    <definedName name="SS_VirusNo_4">""</definedName>
    <definedName name="SS_VirusNo_5">""</definedName>
    <definedName name="SS_VirusNo_6">""</definedName>
    <definedName name="ssss">#REF!</definedName>
    <definedName name="START">#REF!</definedName>
    <definedName name="startPLflagA">#REF!</definedName>
    <definedName name="startPLflagB">#REF!</definedName>
    <definedName name="startPLflagC">#REF!</definedName>
    <definedName name="StartPLflagD">#REF!</definedName>
    <definedName name="startPLflagE">#REF!</definedName>
    <definedName name="startPLflagF">#REF!</definedName>
    <definedName name="startPLflagG">#REF!</definedName>
    <definedName name="startPLflagH">#REF!</definedName>
    <definedName name="startPLflagI">#REF!</definedName>
    <definedName name="status">#REF!</definedName>
    <definedName name="Submission">#REF!</definedName>
    <definedName name="SUMMARY_PRINT">#REF!</definedName>
    <definedName name="Summed">#REF!</definedName>
    <definedName name="SUPPLIER_1">#REF!</definedName>
    <definedName name="SUPPLIER_2">#REF!</definedName>
    <definedName name="SYN_ItemType">#REF!</definedName>
    <definedName name="SYNLocationType">#REF!</definedName>
    <definedName name="TABLE">#REF!</definedName>
    <definedName name="table1">#REF!</definedName>
    <definedName name="TechnologyOptions">#REF!</definedName>
    <definedName name="Telephone">"eDoctor"</definedName>
    <definedName name="TEN">#REF!</definedName>
    <definedName name="Terminal">#REF!</definedName>
    <definedName name="tese2">#REF!</definedName>
    <definedName name="test">#REF!</definedName>
    <definedName name="TEST0">#REF!</definedName>
    <definedName name="TESTHKEY">#REF!</definedName>
    <definedName name="TESTKEYS">#REF!</definedName>
    <definedName name="TestRange">#REF!</definedName>
    <definedName name="TESTVKEY">#REF!</definedName>
    <definedName name="TextRefCopy1">#REF!</definedName>
    <definedName name="TextRefCopy2">#REF!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8</definedName>
    <definedName name="THREE">#REF!</definedName>
    <definedName name="THREE1">#REF!</definedName>
    <definedName name="TOTALCONTCOST">#REF!</definedName>
    <definedName name="TransYld">#REF!</definedName>
    <definedName name="TruckTYPE">#REF!</definedName>
    <definedName name="TWO">#REF!</definedName>
    <definedName name="TYPE">#REF!</definedName>
    <definedName name="Type_of_Plant">#REF!</definedName>
    <definedName name="Type_of_Sale">#REF!</definedName>
    <definedName name="Types">#REF!</definedName>
    <definedName name="VALUE_1">#REF!</definedName>
    <definedName name="VALUE_2">#REF!</definedName>
    <definedName name="VALUE_3">#REF!</definedName>
    <definedName name="VALUE_4">#REF!</definedName>
    <definedName name="VALUE_5">#REF!</definedName>
    <definedName name="VALUE_6">#REF!</definedName>
    <definedName name="VALUE_7">#REF!</definedName>
    <definedName name="VALUE_8">#REF!</definedName>
    <definedName name="VarCstRtrv1">#REF!</definedName>
    <definedName name="VarCstRtrv2">#REF!</definedName>
    <definedName name="VarCstRtrv3">#REF!</definedName>
    <definedName name="Variable_Margin">#REF!</definedName>
    <definedName name="Variant2">#REF!</definedName>
    <definedName name="VIEW1">#REF!</definedName>
    <definedName name="VIEWJV">#REF!</definedName>
    <definedName name="VOL_EXT">#REF!</definedName>
    <definedName name="VolumeSend1">#REF!</definedName>
    <definedName name="VolumeSend2">#REF!</definedName>
    <definedName name="VOLYR1">#REF!</definedName>
    <definedName name="WBGLOBAL">1</definedName>
    <definedName name="we">#REF!</definedName>
    <definedName name="wwwwwwwwwwwwwwwwwwwwwwwwwwwwwwwwwww">#REF!</definedName>
    <definedName name="xfer_grid">#REF!</definedName>
    <definedName name="XfersCostRtrv1">#REF!</definedName>
    <definedName name="XfersIntrcoRtrv1">#REF!</definedName>
    <definedName name="Y_N">#REF!</definedName>
    <definedName name="Year">#REF!</definedName>
    <definedName name="YEARONE">#REF!</definedName>
    <definedName name="ZERO">#REF!</definedName>
    <definedName name="ZEROFILL">#REF!</definedName>
    <definedName name="ZERON">#REF!</definedName>
    <definedName name="ZEROY">#REF!</definedName>
    <definedName name="ZICO">#REF!</definedName>
    <definedName name="ｻﾏﾘ増減">#REF!</definedName>
    <definedName name="ｻﾏﾘ購買">#REF!</definedName>
    <definedName name="上在庫">#REF!</definedName>
    <definedName name="全体">#REF!</definedName>
    <definedName name="国内在庫">#REF!</definedName>
    <definedName name="国内生産">#REF!</definedName>
    <definedName name="国内販01">#REF!</definedName>
    <definedName name="国内販02">#REF!</definedName>
    <definedName name="国内販03">#REF!</definedName>
    <definedName name="国内販04">#REF!</definedName>
    <definedName name="国内販05">#REF!</definedName>
    <definedName name="国内販06">#REF!</definedName>
    <definedName name="国内販07">#REF!</definedName>
    <definedName name="国内販08">#REF!</definedName>
    <definedName name="国内販09">#REF!</definedName>
    <definedName name="国内販10">#REF!</definedName>
    <definedName name="国内販11">#REF!</definedName>
    <definedName name="国内販12">#REF!</definedName>
    <definedName name="国内販fh">#REF!</definedName>
    <definedName name="国内販lh">#REF!</definedName>
    <definedName name="国販9404">#REF!</definedName>
    <definedName name="国販9405">#REF!</definedName>
    <definedName name="国販9406">#REF!</definedName>
    <definedName name="国販9407">#REF!</definedName>
    <definedName name="国販9408">#REF!</definedName>
    <definedName name="国販9409">#REF!</definedName>
    <definedName name="機種">#REF!</definedName>
    <definedName name="海外在庫">#REF!</definedName>
    <definedName name="海外基準在庫">#REF!</definedName>
    <definedName name="海外基準在庫3ヵ年">#REF!</definedName>
    <definedName name="海外生産">#REF!</definedName>
    <definedName name="海外販01">#REF!</definedName>
    <definedName name="海外販02">#REF!</definedName>
    <definedName name="海外販03">#REF!</definedName>
    <definedName name="海外販04">#REF!</definedName>
    <definedName name="海外販05">#REF!</definedName>
    <definedName name="海外販06">#REF!</definedName>
    <definedName name="海外販07">#REF!</definedName>
    <definedName name="海外販08">#REF!</definedName>
    <definedName name="海外販09">#REF!</definedName>
    <definedName name="海外販10">#REF!</definedName>
    <definedName name="海外販11">#REF!</definedName>
    <definedName name="海外販12">#REF!</definedName>
    <definedName name="海外販fh">#REF!</definedName>
    <definedName name="海外販lh">#REF!</definedName>
    <definedName name="海販9404">#REF!</definedName>
    <definedName name="海販9405">#REF!</definedName>
    <definedName name="海販9406">#REF!</definedName>
    <definedName name="海販9407">#REF!</definedName>
    <definedName name="海販9408">#REF!</definedName>
    <definedName name="海販9409">#REF!</definedName>
    <definedName name="英ｻﾏﾘ">#REF!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2" i="21" l="1"/>
  <c r="C52" i="21" s="1"/>
  <c r="B51" i="21"/>
  <c r="C51" i="21" s="1"/>
  <c r="B50" i="21"/>
  <c r="C50" i="21" s="1"/>
  <c r="B49" i="21"/>
  <c r="C49" i="21" s="1"/>
  <c r="B48" i="21"/>
  <c r="C48" i="21" s="1"/>
  <c r="B47" i="21"/>
  <c r="C47" i="21" s="1"/>
  <c r="B46" i="21"/>
  <c r="C46" i="21" s="1"/>
  <c r="B45" i="21"/>
  <c r="C45" i="21" s="1"/>
  <c r="B44" i="21"/>
  <c r="C44" i="21" s="1"/>
  <c r="B43" i="21"/>
  <c r="C43" i="21" s="1"/>
  <c r="H125" i="22"/>
  <c r="G125" i="22"/>
  <c r="H124" i="22"/>
  <c r="G124" i="22"/>
  <c r="H123" i="22"/>
  <c r="G123" i="22"/>
  <c r="H122" i="22"/>
  <c r="G122" i="22"/>
  <c r="H121" i="22"/>
  <c r="G121" i="22"/>
  <c r="H120" i="22"/>
  <c r="G120" i="22"/>
  <c r="H119" i="22"/>
  <c r="G119" i="22"/>
  <c r="D119" i="22"/>
  <c r="H118" i="22"/>
  <c r="G118" i="22"/>
  <c r="D118" i="22"/>
  <c r="H117" i="22"/>
  <c r="G117" i="22"/>
  <c r="H116" i="22"/>
  <c r="G116" i="22"/>
  <c r="D116" i="22"/>
  <c r="H115" i="22"/>
  <c r="G115" i="22"/>
  <c r="H114" i="22"/>
  <c r="G114" i="22"/>
  <c r="D114" i="22"/>
  <c r="H113" i="22"/>
  <c r="G113" i="22"/>
  <c r="D113" i="22"/>
  <c r="H112" i="22"/>
  <c r="G112" i="22"/>
  <c r="H111" i="22"/>
  <c r="G111" i="22"/>
  <c r="D111" i="22"/>
  <c r="H110" i="22"/>
  <c r="G110" i="22"/>
  <c r="D110" i="22"/>
  <c r="H109" i="22"/>
  <c r="G109" i="22"/>
  <c r="D109" i="22"/>
  <c r="H108" i="22"/>
  <c r="G108" i="22"/>
  <c r="D108" i="22"/>
  <c r="H107" i="22"/>
  <c r="G107" i="22"/>
  <c r="D107" i="22"/>
  <c r="H106" i="22"/>
  <c r="G106" i="22"/>
  <c r="D106" i="22"/>
  <c r="H105" i="22"/>
  <c r="G105" i="22"/>
  <c r="D105" i="22"/>
  <c r="H104" i="22"/>
  <c r="G104" i="22"/>
  <c r="D104" i="22"/>
  <c r="H103" i="22"/>
  <c r="G103" i="22"/>
  <c r="H102" i="22"/>
  <c r="G102" i="22"/>
  <c r="H101" i="22"/>
  <c r="G101" i="22"/>
  <c r="D101" i="22"/>
  <c r="H100" i="22"/>
  <c r="G100" i="22"/>
  <c r="D100" i="22"/>
  <c r="H99" i="22"/>
  <c r="G99" i="22"/>
  <c r="D99" i="22"/>
  <c r="D98" i="22"/>
  <c r="H97" i="22"/>
  <c r="G97" i="22"/>
  <c r="D97" i="22"/>
  <c r="H96" i="22"/>
  <c r="G96" i="22"/>
  <c r="D96" i="22"/>
  <c r="H95" i="22"/>
  <c r="G95" i="22"/>
  <c r="D95" i="22"/>
  <c r="D94" i="22"/>
  <c r="H93" i="22"/>
  <c r="G93" i="22"/>
  <c r="D93" i="22"/>
  <c r="H92" i="22"/>
  <c r="G92" i="22"/>
  <c r="D92" i="22"/>
  <c r="H91" i="22"/>
  <c r="G91" i="22"/>
  <c r="D91" i="22"/>
  <c r="H90" i="22"/>
  <c r="G90" i="22"/>
  <c r="D90" i="22"/>
  <c r="H89" i="22"/>
  <c r="G89" i="22"/>
  <c r="D89" i="22"/>
  <c r="H88" i="22"/>
  <c r="G88" i="22"/>
  <c r="D88" i="22"/>
  <c r="H87" i="22"/>
  <c r="G87" i="22"/>
  <c r="D87" i="22"/>
  <c r="H86" i="22"/>
  <c r="G86" i="22"/>
  <c r="H85" i="22"/>
  <c r="G85" i="22"/>
  <c r="D85" i="22"/>
  <c r="H84" i="22"/>
  <c r="G84" i="22"/>
  <c r="D84" i="22"/>
  <c r="H83" i="22"/>
  <c r="G83" i="22"/>
  <c r="H82" i="22"/>
  <c r="G82" i="22"/>
  <c r="D82" i="22"/>
  <c r="H81" i="22"/>
  <c r="G81" i="22"/>
  <c r="D81" i="22"/>
  <c r="H80" i="22"/>
  <c r="G80" i="22"/>
  <c r="D80" i="22"/>
  <c r="H79" i="22"/>
  <c r="G79" i="22"/>
  <c r="D79" i="22"/>
  <c r="H78" i="22"/>
  <c r="G78" i="22"/>
  <c r="D78" i="22"/>
  <c r="H77" i="22"/>
  <c r="G77" i="22"/>
  <c r="D77" i="22"/>
  <c r="H76" i="22"/>
  <c r="G76" i="22"/>
  <c r="D76" i="22"/>
  <c r="H75" i="22"/>
  <c r="G75" i="22"/>
  <c r="D75" i="22"/>
  <c r="H74" i="22"/>
  <c r="G74" i="22"/>
  <c r="D74" i="22"/>
  <c r="H73" i="22"/>
  <c r="G73" i="22"/>
  <c r="D73" i="22"/>
  <c r="H72" i="22"/>
  <c r="G72" i="22"/>
  <c r="H71" i="22"/>
  <c r="G71" i="22"/>
  <c r="H70" i="22"/>
  <c r="G70" i="22"/>
  <c r="D70" i="22"/>
  <c r="H69" i="22"/>
  <c r="G69" i="22"/>
  <c r="D69" i="22"/>
  <c r="H68" i="22"/>
  <c r="G68" i="22"/>
  <c r="H67" i="22"/>
  <c r="G67" i="22"/>
  <c r="H66" i="22"/>
  <c r="G66" i="22"/>
  <c r="H65" i="22"/>
  <c r="G65" i="22"/>
  <c r="H64" i="22"/>
  <c r="G64" i="22"/>
  <c r="H63" i="22"/>
  <c r="G63" i="22"/>
  <c r="H62" i="22"/>
  <c r="G62" i="22"/>
  <c r="H61" i="22"/>
  <c r="G61" i="22"/>
  <c r="H60" i="22"/>
  <c r="G60" i="22"/>
  <c r="H59" i="22"/>
  <c r="G59" i="22"/>
  <c r="H58" i="22"/>
  <c r="G58" i="22"/>
  <c r="H57" i="22"/>
  <c r="G57" i="22"/>
  <c r="H56" i="22"/>
  <c r="G56" i="22"/>
  <c r="H55" i="22"/>
  <c r="G55" i="22"/>
  <c r="H54" i="22"/>
  <c r="G54" i="22"/>
  <c r="H53" i="22"/>
  <c r="G53" i="22"/>
  <c r="H52" i="22"/>
  <c r="G52" i="22"/>
  <c r="H51" i="22"/>
  <c r="G51" i="22"/>
  <c r="H50" i="22"/>
  <c r="G50" i="22"/>
  <c r="H49" i="22"/>
  <c r="G49" i="22"/>
  <c r="H48" i="22"/>
  <c r="G48" i="22"/>
  <c r="H47" i="22"/>
  <c r="G47" i="22"/>
  <c r="H46" i="22"/>
  <c r="G46" i="22"/>
  <c r="H45" i="22"/>
  <c r="G45" i="22"/>
  <c r="H44" i="22"/>
  <c r="G44" i="22"/>
  <c r="H43" i="22"/>
  <c r="G43" i="22"/>
  <c r="H42" i="22"/>
  <c r="G42" i="22"/>
  <c r="H41" i="22"/>
  <c r="G41" i="22"/>
  <c r="H40" i="22"/>
  <c r="G40" i="22"/>
  <c r="H39" i="22"/>
  <c r="G39" i="22"/>
  <c r="H38" i="22"/>
  <c r="G38" i="22"/>
  <c r="H37" i="22"/>
  <c r="G37" i="22"/>
  <c r="H36" i="22"/>
  <c r="G36" i="22"/>
  <c r="H35" i="22"/>
  <c r="G35" i="22"/>
  <c r="H34" i="22"/>
  <c r="G34" i="22"/>
  <c r="H33" i="22"/>
  <c r="G33" i="22"/>
  <c r="H32" i="22"/>
  <c r="G32" i="22"/>
  <c r="H31" i="22"/>
  <c r="G31" i="22"/>
  <c r="H30" i="22"/>
  <c r="G30" i="22"/>
  <c r="H29" i="22"/>
  <c r="G29" i="22"/>
  <c r="H28" i="22"/>
  <c r="G28" i="22"/>
  <c r="H27" i="22"/>
  <c r="G27" i="22"/>
  <c r="H26" i="22"/>
  <c r="G26" i="22"/>
  <c r="H25" i="22"/>
  <c r="G25" i="22"/>
  <c r="H24" i="22"/>
  <c r="G24" i="22"/>
  <c r="H23" i="22"/>
  <c r="G23" i="22"/>
  <c r="H22" i="22"/>
  <c r="G22" i="22"/>
  <c r="H21" i="22"/>
  <c r="G21" i="22"/>
  <c r="H20" i="22"/>
  <c r="G20" i="22"/>
  <c r="H19" i="22"/>
  <c r="G19" i="22"/>
  <c r="H18" i="22"/>
  <c r="G18" i="22"/>
  <c r="H17" i="22"/>
  <c r="G17" i="22"/>
  <c r="H16" i="22"/>
  <c r="G16" i="22"/>
  <c r="H15" i="22"/>
  <c r="G15" i="22"/>
  <c r="H14" i="22"/>
  <c r="G14" i="22"/>
  <c r="H13" i="22"/>
  <c r="G13" i="22"/>
  <c r="H12" i="22"/>
  <c r="G12" i="22"/>
  <c r="H11" i="22"/>
  <c r="G11" i="22"/>
  <c r="H10" i="22"/>
  <c r="G10" i="22"/>
  <c r="H9" i="22"/>
  <c r="G9" i="22"/>
  <c r="H8" i="22"/>
  <c r="G8" i="22"/>
  <c r="H7" i="22"/>
  <c r="G7" i="22"/>
  <c r="H6" i="22"/>
  <c r="G6" i="22"/>
  <c r="H5" i="22"/>
  <c r="G5" i="22"/>
  <c r="H4" i="22"/>
  <c r="G4" i="22"/>
  <c r="H3" i="22"/>
  <c r="G3" i="22"/>
  <c r="H2" i="22"/>
  <c r="G2" i="22"/>
  <c r="A4" i="19"/>
  <c r="A5" i="19" s="1"/>
  <c r="A6" i="19" s="1"/>
  <c r="A7" i="19" s="1"/>
  <c r="A8" i="19" s="1"/>
  <c r="A9" i="19" s="1"/>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A91" i="19" s="1"/>
  <c r="A92" i="19" s="1"/>
  <c r="A93" i="19" s="1"/>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 r="A114" i="19" s="1"/>
  <c r="A115" i="19" s="1"/>
  <c r="A116" i="19" s="1"/>
  <c r="A117" i="19" s="1"/>
  <c r="A118" i="19" s="1"/>
  <c r="A119" i="19" s="1"/>
  <c r="A120" i="19" s="1"/>
  <c r="A121" i="19" s="1"/>
  <c r="A122" i="19" s="1"/>
  <c r="A123" i="19" s="1"/>
  <c r="A124" i="19" s="1"/>
  <c r="A125" i="19" s="1"/>
  <c r="A126" i="19" s="1"/>
  <c r="A127" i="19" s="1"/>
  <c r="A128" i="19" s="1"/>
  <c r="A129" i="19" s="1"/>
  <c r="A130" i="19" s="1"/>
  <c r="A131" i="19" s="1"/>
  <c r="A132" i="19" s="1"/>
  <c r="H304" i="10"/>
  <c r="H303" i="10"/>
  <c r="H302" i="10"/>
  <c r="H301" i="10"/>
  <c r="H300" i="10"/>
  <c r="H299" i="10"/>
  <c r="H298" i="10"/>
  <c r="H297" i="10"/>
  <c r="H296" i="10"/>
  <c r="H295" i="10"/>
  <c r="H294" i="10"/>
  <c r="H293" i="10"/>
  <c r="H292" i="10"/>
  <c r="H291" i="10"/>
  <c r="H290" i="10"/>
  <c r="H289" i="10"/>
  <c r="H288" i="10"/>
  <c r="H287" i="10"/>
  <c r="H286" i="10"/>
  <c r="H285" i="10"/>
  <c r="H284" i="10"/>
  <c r="H283" i="10"/>
  <c r="H282" i="10"/>
  <c r="H281" i="10"/>
  <c r="H280" i="10"/>
  <c r="H279" i="10"/>
  <c r="H278" i="10"/>
  <c r="H277" i="10"/>
  <c r="H276" i="10"/>
  <c r="H275" i="10"/>
  <c r="H274" i="10"/>
  <c r="H273" i="10"/>
  <c r="H272" i="10"/>
  <c r="H271" i="10"/>
  <c r="H270" i="10"/>
  <c r="H269" i="10"/>
  <c r="H268" i="10"/>
  <c r="H267" i="10"/>
  <c r="H266" i="10"/>
  <c r="H265" i="10"/>
  <c r="H264" i="10"/>
  <c r="H263" i="10"/>
  <c r="H262" i="10"/>
  <c r="H261" i="10"/>
  <c r="H260" i="10"/>
  <c r="H259" i="10"/>
  <c r="H258" i="10"/>
  <c r="H257" i="10"/>
  <c r="H256" i="10"/>
  <c r="H255" i="10"/>
  <c r="H254" i="10"/>
  <c r="H253" i="10"/>
  <c r="H252" i="10"/>
  <c r="H251" i="10"/>
  <c r="H250" i="10"/>
  <c r="H249" i="10"/>
  <c r="H248" i="10"/>
  <c r="H247" i="10"/>
  <c r="H246" i="10"/>
  <c r="H245" i="10"/>
  <c r="H244" i="10"/>
  <c r="H243" i="10"/>
  <c r="H242" i="10"/>
  <c r="H241" i="10"/>
  <c r="H240" i="10"/>
  <c r="H239" i="10"/>
  <c r="H238" i="10"/>
  <c r="H237" i="10"/>
  <c r="H236" i="10"/>
  <c r="H235" i="10"/>
  <c r="H234" i="10"/>
  <c r="H233" i="10"/>
  <c r="H232" i="10"/>
  <c r="H231" i="10"/>
  <c r="H230" i="10"/>
  <c r="H229" i="10"/>
  <c r="H228" i="10"/>
  <c r="H227" i="10"/>
  <c r="H226" i="10"/>
  <c r="H225" i="10"/>
  <c r="H224" i="10"/>
  <c r="H223" i="10"/>
  <c r="H222" i="10"/>
  <c r="H221" i="10"/>
  <c r="H220" i="10"/>
  <c r="H219" i="10"/>
  <c r="H218" i="10"/>
  <c r="H217" i="10"/>
  <c r="H216" i="10"/>
  <c r="H215" i="10"/>
  <c r="H214" i="10"/>
  <c r="H213" i="10"/>
  <c r="H212" i="10"/>
  <c r="H211" i="10"/>
  <c r="H210" i="10"/>
  <c r="H209" i="10"/>
  <c r="H208" i="10"/>
  <c r="H207" i="10"/>
  <c r="H206" i="10"/>
  <c r="H205" i="10"/>
  <c r="H204" i="10"/>
  <c r="H203" i="10"/>
  <c r="H202" i="10"/>
  <c r="H201" i="10"/>
  <c r="H200" i="10"/>
  <c r="H199" i="10"/>
  <c r="H198" i="10"/>
  <c r="H197" i="10"/>
  <c r="H196" i="10"/>
  <c r="H195" i="10"/>
  <c r="H194" i="10"/>
  <c r="H193" i="10"/>
  <c r="H192" i="10"/>
  <c r="H191" i="10"/>
  <c r="H190" i="10"/>
  <c r="H189" i="10"/>
  <c r="H188" i="10"/>
  <c r="H187" i="10"/>
  <c r="H186" i="10"/>
  <c r="H185" i="10"/>
  <c r="H184" i="10"/>
  <c r="H183" i="10"/>
  <c r="H182" i="10"/>
  <c r="H181" i="10"/>
  <c r="H180" i="10"/>
  <c r="H179" i="10"/>
  <c r="H178" i="10"/>
  <c r="H177" i="10"/>
  <c r="H176" i="10"/>
  <c r="H175" i="10"/>
  <c r="H174" i="10"/>
  <c r="H173" i="10"/>
  <c r="H172" i="10"/>
  <c r="H171" i="10"/>
  <c r="H170" i="10"/>
  <c r="H169" i="10"/>
  <c r="H168" i="10"/>
  <c r="H167" i="10"/>
  <c r="H166" i="10"/>
  <c r="H165" i="10"/>
  <c r="H164" i="10"/>
  <c r="H163" i="10"/>
  <c r="H162" i="10"/>
  <c r="H161" i="10"/>
  <c r="H160" i="10"/>
  <c r="H159" i="10"/>
  <c r="H158" i="10"/>
  <c r="H157" i="10"/>
  <c r="H156" i="10"/>
  <c r="H155" i="10"/>
  <c r="H154" i="10"/>
  <c r="H153" i="10"/>
  <c r="H152" i="10"/>
  <c r="H151" i="10"/>
  <c r="H150" i="10"/>
  <c r="H149" i="10"/>
  <c r="H148" i="10"/>
  <c r="H147" i="10"/>
  <c r="H146" i="10"/>
  <c r="H145" i="10"/>
  <c r="H144" i="10"/>
  <c r="H143" i="10"/>
  <c r="H142" i="10"/>
  <c r="H141" i="10"/>
  <c r="H140" i="10"/>
  <c r="H139" i="10"/>
  <c r="H138" i="10"/>
  <c r="H137" i="10"/>
  <c r="H136" i="10"/>
  <c r="H135" i="10"/>
  <c r="H134" i="10"/>
  <c r="H133" i="10"/>
  <c r="H132" i="10"/>
  <c r="H131" i="10"/>
  <c r="H130" i="10"/>
  <c r="H129" i="10"/>
  <c r="H128" i="10"/>
  <c r="H127" i="10"/>
  <c r="H126" i="10"/>
  <c r="H125" i="10"/>
  <c r="H124" i="10"/>
  <c r="H123" i="10"/>
  <c r="H122" i="10"/>
  <c r="H121" i="10"/>
  <c r="H120" i="10"/>
  <c r="H119" i="10"/>
  <c r="H118" i="10"/>
  <c r="H117" i="10"/>
  <c r="H116" i="10"/>
  <c r="H115" i="10"/>
  <c r="H114" i="10"/>
  <c r="H113" i="10"/>
  <c r="H112" i="10"/>
  <c r="H111" i="10"/>
  <c r="H110" i="10"/>
  <c r="H109" i="10"/>
  <c r="H108" i="10"/>
  <c r="H107" i="10"/>
  <c r="H106" i="10"/>
  <c r="H105" i="10"/>
  <c r="H104" i="10"/>
  <c r="H103" i="10"/>
  <c r="H102" i="10"/>
  <c r="H101" i="10"/>
  <c r="H100" i="10"/>
  <c r="H99" i="10"/>
  <c r="H98" i="10"/>
  <c r="H97" i="10"/>
  <c r="H96" i="10"/>
  <c r="H95" i="10"/>
  <c r="H94" i="10"/>
  <c r="H93" i="10"/>
  <c r="H92" i="10"/>
  <c r="H91" i="10"/>
  <c r="H90" i="10"/>
  <c r="H89" i="10"/>
  <c r="H88" i="10"/>
  <c r="H87" i="10"/>
  <c r="H86" i="10"/>
  <c r="H85" i="10"/>
  <c r="H84" i="10"/>
  <c r="H83" i="10"/>
  <c r="H82" i="10"/>
  <c r="H81" i="10"/>
  <c r="H80" i="10"/>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6" i="10"/>
  <c r="H5" i="10"/>
  <c r="H4" i="10"/>
  <c r="H3" i="10"/>
  <c r="H2" i="10"/>
  <c r="M47" i="7"/>
  <c r="I47" i="7"/>
  <c r="E47" i="9" s="1"/>
  <c r="M46" i="7"/>
  <c r="I46" i="7"/>
  <c r="E46" i="9" s="1"/>
  <c r="M45" i="7"/>
  <c r="I45" i="7"/>
  <c r="E45" i="9" s="1"/>
  <c r="M44" i="7"/>
  <c r="I44" i="7"/>
  <c r="E44" i="9" s="1"/>
  <c r="M43" i="7"/>
  <c r="I43" i="7"/>
  <c r="E43" i="9" s="1"/>
  <c r="M42" i="7"/>
  <c r="I42" i="7"/>
  <c r="E42" i="9" s="1"/>
  <c r="M41" i="7"/>
  <c r="I41" i="7"/>
  <c r="E41" i="9" s="1"/>
  <c r="M40" i="7"/>
  <c r="I40" i="7"/>
  <c r="E40" i="9" s="1"/>
  <c r="M39" i="7"/>
  <c r="I39" i="7"/>
  <c r="E39" i="9" s="1"/>
  <c r="M38" i="7"/>
  <c r="I38" i="7"/>
  <c r="E38" i="9" s="1"/>
  <c r="M37" i="7"/>
  <c r="I37" i="7"/>
  <c r="E37" i="9" s="1"/>
  <c r="M36" i="7"/>
  <c r="I36" i="7"/>
  <c r="E36" i="9" s="1"/>
  <c r="M35" i="7"/>
  <c r="I35" i="7"/>
  <c r="E35" i="9" s="1"/>
  <c r="M34" i="7"/>
  <c r="I34" i="7"/>
  <c r="E34" i="9" s="1"/>
  <c r="M33" i="7"/>
  <c r="I33" i="7"/>
  <c r="E33" i="9" s="1"/>
  <c r="M32" i="7"/>
  <c r="I32" i="7"/>
  <c r="E32" i="9" s="1"/>
  <c r="M31" i="7"/>
  <c r="I31" i="7"/>
  <c r="E31" i="9" s="1"/>
  <c r="M30" i="7"/>
  <c r="I30" i="7"/>
  <c r="E30" i="9" s="1"/>
  <c r="M29" i="7"/>
  <c r="I29" i="7"/>
  <c r="E29" i="9" s="1"/>
  <c r="M28" i="7"/>
  <c r="I28" i="7"/>
  <c r="E28" i="9" s="1"/>
  <c r="M27" i="7"/>
  <c r="I27" i="7"/>
  <c r="E27" i="9" s="1"/>
  <c r="M26" i="7"/>
  <c r="I26" i="7"/>
  <c r="E26" i="9" s="1"/>
  <c r="M25" i="7"/>
  <c r="I25" i="7"/>
  <c r="E25" i="9" s="1"/>
  <c r="M24" i="7"/>
  <c r="I24" i="7"/>
  <c r="E24" i="9" s="1"/>
  <c r="M23" i="7"/>
  <c r="I23" i="7"/>
  <c r="E23" i="9" s="1"/>
  <c r="M22" i="7"/>
  <c r="I22" i="7"/>
  <c r="E22" i="9" s="1"/>
  <c r="M21" i="7"/>
  <c r="I21" i="7"/>
  <c r="E21" i="9" s="1"/>
  <c r="M20" i="7"/>
  <c r="I20" i="7"/>
  <c r="E20" i="9" s="1"/>
  <c r="M19" i="7"/>
  <c r="I19" i="7"/>
  <c r="E19" i="9" s="1"/>
  <c r="M18" i="7"/>
  <c r="I18" i="7"/>
  <c r="E18" i="9" s="1"/>
  <c r="M17" i="7"/>
  <c r="I17" i="7"/>
  <c r="E17" i="9" s="1"/>
  <c r="M16" i="7"/>
  <c r="I16" i="7"/>
  <c r="E16" i="9" s="1"/>
  <c r="M15" i="7"/>
  <c r="I15" i="7"/>
  <c r="E15" i="9" s="1"/>
  <c r="M14" i="7"/>
  <c r="I14" i="7"/>
  <c r="E14" i="9" s="1"/>
  <c r="M13" i="7"/>
  <c r="I13" i="7"/>
  <c r="E13" i="9" s="1"/>
  <c r="M12" i="7"/>
  <c r="I12" i="7"/>
  <c r="E12" i="9" s="1"/>
  <c r="M11" i="7"/>
  <c r="I11" i="7"/>
  <c r="E11" i="9" s="1"/>
  <c r="M10" i="7"/>
  <c r="I10" i="7"/>
  <c r="E10" i="9" s="1"/>
  <c r="M9" i="7"/>
  <c r="I9" i="7"/>
  <c r="E9" i="9" s="1"/>
  <c r="M8" i="7"/>
  <c r="I8" i="7"/>
  <c r="E8" i="9" s="1"/>
  <c r="M7" i="7"/>
  <c r="I7" i="7"/>
  <c r="E7" i="9" s="1"/>
  <c r="M6" i="7"/>
  <c r="I6" i="7"/>
  <c r="E6" i="9" s="1"/>
  <c r="M5" i="7"/>
  <c r="I5" i="7"/>
  <c r="E5" i="9" s="1"/>
  <c r="M4" i="7"/>
  <c r="I4" i="7"/>
  <c r="E4" i="9" s="1"/>
  <c r="M3" i="7"/>
  <c r="I3" i="7"/>
  <c r="E3" i="9" s="1"/>
  <c r="M2" i="7"/>
  <c r="I2" i="7"/>
  <c r="E2" i="9" s="1"/>
  <c r="K3" i="6"/>
  <c r="K2" i="6"/>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3" i="5"/>
  <c r="K2" i="5"/>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K2" i="3"/>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R2" i="1"/>
</calcChain>
</file>

<file path=xl/sharedStrings.xml><?xml version="1.0" encoding="utf-8"?>
<sst xmlns="http://schemas.openxmlformats.org/spreadsheetml/2006/main" count="34719" uniqueCount="4672">
  <si>
    <t>Contract Name</t>
  </si>
  <si>
    <t>Truck Size</t>
  </si>
  <si>
    <t>Division</t>
  </si>
  <si>
    <t>Truck Tonnage</t>
  </si>
  <si>
    <t>Client</t>
  </si>
  <si>
    <t>Client Main Location</t>
  </si>
  <si>
    <t>Loading Point</t>
  </si>
  <si>
    <t>Loading State</t>
  </si>
  <si>
    <t>Destination (corrected)</t>
  </si>
  <si>
    <t>Destination State</t>
  </si>
  <si>
    <t>Region (geopolitical zone)</t>
  </si>
  <si>
    <t>Delivery Type</t>
  </si>
  <si>
    <t>Internal Zone</t>
  </si>
  <si>
    <t>Stops (in drive order)</t>
  </si>
  <si>
    <t>Leg Breakdown (km)</t>
  </si>
  <si>
    <t>Leg 1 - Outbound KM</t>
  </si>
  <si>
    <t>Leg 2 - Return KM</t>
  </si>
  <si>
    <t>Total Round Trip KM</t>
  </si>
  <si>
    <t>KM Source</t>
  </si>
  <si>
    <t>Notes</t>
  </si>
  <si>
    <t>JAT-45T-NBL-DSL-JUMBO</t>
  </si>
  <si>
    <t>JUMBO</t>
  </si>
  <si>
    <t>NBL-DSL</t>
  </si>
  <si>
    <t>45T</t>
  </si>
  <si>
    <t>JAT</t>
  </si>
  <si>
    <t>Ibadan</t>
  </si>
  <si>
    <t>Oyo</t>
  </si>
  <si>
    <t>Kano</t>
  </si>
  <si>
    <t>North West</t>
  </si>
  <si>
    <t>Interstate</t>
  </si>
  <si>
    <t>Ibadan &gt; Kano: 876 | Return Kano &gt; Ibadan: 876</t>
  </si>
  <si>
    <t>Estimated (calibrated)</t>
  </si>
  <si>
    <t>ABBA SALEH-45T-NBL-DSL-JUMBO</t>
  </si>
  <si>
    <t>ABBA SALEH</t>
  </si>
  <si>
    <t>Keffi</t>
  </si>
  <si>
    <t>Nasarawa</t>
  </si>
  <si>
    <t>Ogere</t>
  </si>
  <si>
    <t>Ogun</t>
  </si>
  <si>
    <t>South West</t>
  </si>
  <si>
    <t>Keffi &gt; Ogere: 728 | Return Ogere &gt; Keffi: 728</t>
  </si>
  <si>
    <t>Road-routed (OpenStreetMap)</t>
  </si>
  <si>
    <t>ABBA SALEH-30T-NBL-DSL-JUMBO</t>
  </si>
  <si>
    <t>30T</t>
  </si>
  <si>
    <t>Abuja</t>
  </si>
  <si>
    <t>FCT</t>
  </si>
  <si>
    <t>North Central</t>
  </si>
  <si>
    <t>Ibadan &gt; Abuja: 612 | Return Abuja &gt; Ibadan: 612</t>
  </si>
  <si>
    <t>Suleja</t>
  </si>
  <si>
    <t>Niger</t>
  </si>
  <si>
    <t>Ibadan &gt; Suleja: 578 | Return Suleja &gt; Ibadan: 578</t>
  </si>
  <si>
    <t>Sokoto</t>
  </si>
  <si>
    <t>Ibadan &gt; Sokoto: 787 | Return Sokoto &gt; Ibadan: 787</t>
  </si>
  <si>
    <t>Wukari</t>
  </si>
  <si>
    <t>Taraba</t>
  </si>
  <si>
    <t>North East</t>
  </si>
  <si>
    <t>Ibadan &gt; Wukari: 846 | Return Wukari &gt; Ibadan: 846</t>
  </si>
  <si>
    <t>Jalingo</t>
  </si>
  <si>
    <t>Ibadan &gt; Jalingo: 1090 | Return Jalingo &gt; Ibadan: 1090</t>
  </si>
  <si>
    <t>Kontagora</t>
  </si>
  <si>
    <t>Ibadan &gt; Kontagora: 527 | Return Kontagora &gt; Ibadan: 527</t>
  </si>
  <si>
    <t>Gombe</t>
  </si>
  <si>
    <t>Ibadan &gt; Gombe: 1120 | Return Gombe &gt; Ibadan: 1120</t>
  </si>
  <si>
    <t>Minna</t>
  </si>
  <si>
    <t>Ibadan &gt; Minna: 535 | Return Minna &gt; Ibadan: 535</t>
  </si>
  <si>
    <t>Zaria</t>
  </si>
  <si>
    <t>Kaduna</t>
  </si>
  <si>
    <t>Ibadan &gt; Zaria: 713 | Return Zaria &gt; Ibadan: 713</t>
  </si>
  <si>
    <t>Funtua</t>
  </si>
  <si>
    <t>Katsina</t>
  </si>
  <si>
    <t>Ibadan &gt; Funtua: 721 | Return Funtua &gt; Ibadan: 721</t>
  </si>
  <si>
    <t>Bauchi</t>
  </si>
  <si>
    <t>Ibadan &gt; Bauchi: 949 | Return Bauchi &gt; Ibadan: 949</t>
  </si>
  <si>
    <t>Yola</t>
  </si>
  <si>
    <t>Adamawa</t>
  </si>
  <si>
    <t>Ibadan &gt; Yola: 1258 | Return Yola &gt; Ibadan: 1258</t>
  </si>
  <si>
    <t>Ibadan &gt; Kaduna: 635 | Return Kaduna &gt; Ibadan: 635</t>
  </si>
  <si>
    <t>Jos</t>
  </si>
  <si>
    <t>Plateau</t>
  </si>
  <si>
    <t>Ibadan &gt; Jos: 858 | Return Jos &gt; Ibadan: 858</t>
  </si>
  <si>
    <t>Saminaka</t>
  </si>
  <si>
    <t>Ibadan &gt; Saminaka: 759 | Return Saminaka &gt; Ibadan: 759</t>
  </si>
  <si>
    <t>Makurdi</t>
  </si>
  <si>
    <t>Benue</t>
  </si>
  <si>
    <t>Ibadan &gt; Makurdi: 716 | Return Makurdi &gt; Ibadan: 716</t>
  </si>
  <si>
    <t>Lafia</t>
  </si>
  <si>
    <t>Ibadan &gt; Lafia: 733 | Return Lafia &gt; Ibadan: 733</t>
  </si>
  <si>
    <t>Ibadan &gt; Keffi: 654 | Return Keffi &gt; Ibadan: 654</t>
  </si>
  <si>
    <t>Bida</t>
  </si>
  <si>
    <t>Ibadan &gt; Bida: 420 | Return Bida &gt; Ibadan: 420</t>
  </si>
  <si>
    <t>Idah</t>
  </si>
  <si>
    <t>Kogi</t>
  </si>
  <si>
    <t>Ibadan &gt; Idah: 441 | Return Idah &gt; Ibadan: 441</t>
  </si>
  <si>
    <t>Gusau</t>
  </si>
  <si>
    <t>Zamfara</t>
  </si>
  <si>
    <t>Ibadan &gt; Gusau: 744 | Return Gusau &gt; Ibadan: 744</t>
  </si>
  <si>
    <t>Kabba</t>
  </si>
  <si>
    <t>Ibadan &gt; Kabba: 318 | Return Kabba &gt; Ibadan: 318</t>
  </si>
  <si>
    <t>Takum</t>
  </si>
  <si>
    <t>Ibadan &gt; Takum: 873 | Return Takum &gt; Ibadan: 873</t>
  </si>
  <si>
    <t>Lokoja</t>
  </si>
  <si>
    <t>Ibadan &gt; Lokoja: 444 | Return Lokoja &gt; Ibadan: 444</t>
  </si>
  <si>
    <t>Anyigba</t>
  </si>
  <si>
    <t>Ibadan &gt; Anyigba: 500 | Return Anyigba &gt; Ibadan: 500</t>
  </si>
  <si>
    <t>Yauri</t>
  </si>
  <si>
    <t>Kebbi</t>
  </si>
  <si>
    <t>Ibadan &gt; Yauri: 480 | Return Yauri &gt; Ibadan: 480</t>
  </si>
  <si>
    <t>Ganye</t>
  </si>
  <si>
    <t>Ibadan &gt; Ganye: 1177 | Return Ganye &gt; Ibadan: 1177</t>
  </si>
  <si>
    <t>Gboko</t>
  </si>
  <si>
    <t>Ibadan &gt; Gboko: 788 | Return Gboko &gt; Ibadan: 788</t>
  </si>
  <si>
    <t>Potiskum</t>
  </si>
  <si>
    <t>Yobe</t>
  </si>
  <si>
    <t>Ibadan &gt; Potiskum: 1199 | Return Potiskum &gt; Ibadan: 1199</t>
  </si>
  <si>
    <t>Mubi</t>
  </si>
  <si>
    <t>Ibadan &gt; Mubi: 1401 | Return Mubi &gt; Ibadan: 1401</t>
  </si>
  <si>
    <t>Abaji</t>
  </si>
  <si>
    <t>Ibadan &gt; Abaji: 500 | Return Abaji &gt; Ibadan: 500</t>
  </si>
  <si>
    <t>Tegina</t>
  </si>
  <si>
    <t>Ibadan &gt; Tegina: 546 | Return Tegina &gt; Ibadan: 546</t>
  </si>
  <si>
    <t>Maiduguri</t>
  </si>
  <si>
    <t>Borno</t>
  </si>
  <si>
    <t>Ibadan &gt; Maiduguri: 1469 | Return Maiduguri &gt; Ibadan: 1469</t>
  </si>
  <si>
    <t>Shendam</t>
  </si>
  <si>
    <t>Ibadan &gt; Shendam: 899 | Return Shendam &gt; Ibadan: 899</t>
  </si>
  <si>
    <t>Koko (Kebbi)</t>
  </si>
  <si>
    <t>Koko</t>
  </si>
  <si>
    <t>Ibadan &gt; Koko: 553 | Return Koko &gt; Ibadan: 553</t>
  </si>
  <si>
    <t>Internal (within state)</t>
  </si>
  <si>
    <t>Outside listed zones</t>
  </si>
  <si>
    <t>Ibadan &gt; Ibadan: 10 | Return Ibadan &gt; Ibadan: 10</t>
  </si>
  <si>
    <t>Delivery inside the loading town - 10 km allowance each way</t>
  </si>
  <si>
    <t>Ekpoma</t>
  </si>
  <si>
    <t>Edo</t>
  </si>
  <si>
    <t>South South</t>
  </si>
  <si>
    <t>Ibadan &gt; Ekpoma: 315 | Return Ekpoma &gt; Ibadan: 315</t>
  </si>
  <si>
    <t>Aba</t>
  </si>
  <si>
    <t>Abia</t>
  </si>
  <si>
    <t>South East</t>
  </si>
  <si>
    <t>Ibadan &gt; Aba: 580 | Return Aba &gt; Ibadan: 580</t>
  </si>
  <si>
    <t>Agbor</t>
  </si>
  <si>
    <t>Delta</t>
  </si>
  <si>
    <t>Ibadan &gt; Agbor: 357 | Return Agbor &gt; Ibadan: 357</t>
  </si>
  <si>
    <t>Onitsha</t>
  </si>
  <si>
    <t>Anambra</t>
  </si>
  <si>
    <t>Ibadan &gt; Onitsha: 442 | Return Onitsha &gt; Ibadan: 442</t>
  </si>
  <si>
    <t>Abakaliki</t>
  </si>
  <si>
    <t>Ebonyi</t>
  </si>
  <si>
    <t>Ibadan &gt; Abakaliki: 631 | Return Abakaliki &gt; Ibadan: 631</t>
  </si>
  <si>
    <t>Otukpo</t>
  </si>
  <si>
    <t>Ibadan &gt; Otukpo: 655 | Return Otukpo &gt; Ibadan: 655</t>
  </si>
  <si>
    <t>Givanas-45T-NBL-DSL-JUMBO</t>
  </si>
  <si>
    <t>Givanas</t>
  </si>
  <si>
    <t>Lagos</t>
  </si>
  <si>
    <t>Amuwo Odofin</t>
  </si>
  <si>
    <t>Amuwo Odofin &gt; Onitsha: 483 | Return Onitsha &gt; Amuwo Odofin: 483</t>
  </si>
  <si>
    <t>Amuwo Odofin &gt; Kano: 1021 | Return Kano &gt; Amuwo Odofin: 1021</t>
  </si>
  <si>
    <t>Amuwo Odofin &gt; Sokoto: 928 | Return Sokoto &gt; Amuwo Odofin: 928</t>
  </si>
  <si>
    <t>JAMARA-30T-NBL-DSL-JUMBO</t>
  </si>
  <si>
    <t>JAMARA</t>
  </si>
  <si>
    <t>JMG Gbagada</t>
  </si>
  <si>
    <t>Port Harcourt</t>
  </si>
  <si>
    <t>Rivers</t>
  </si>
  <si>
    <t>JMG Gbagada &gt; Port Harcourt: 603 | Return Port Harcourt &gt; JMG Gbagada: 603</t>
  </si>
  <si>
    <t>JMG Gbagada &gt; Abuja: 740 | Return Abuja &gt; JMG Gbagada: 740</t>
  </si>
  <si>
    <t>JMG Gbagada &gt; Kano: 984 | Return Kano &gt; JMG Gbagada: 984</t>
  </si>
  <si>
    <t>JMG Gbagada &gt; Ibadan: 124 | Return Ibadan &gt; JMG Gbagada: 124</t>
  </si>
  <si>
    <t>JMG-30T-NBL-DSL-FLATBED</t>
  </si>
  <si>
    <t>FLATBED</t>
  </si>
  <si>
    <t>JMG</t>
  </si>
  <si>
    <t>JMG Gbagada &gt; Kaduna: 762 | Return Kaduna &gt; JMG Gbagada: 762</t>
  </si>
  <si>
    <t>Interstyle-30T-NBL-DSL-JUMBO</t>
  </si>
  <si>
    <t>Interstyle</t>
  </si>
  <si>
    <t>Apapa</t>
  </si>
  <si>
    <t>Apapa &gt; Abuja: 756 | Return Abuja &gt; Apapa: 756</t>
  </si>
  <si>
    <t>Warri</t>
  </si>
  <si>
    <t>Apapa &gt; Warri: 425 | Return Warri &gt; Apapa: 425</t>
  </si>
  <si>
    <t>Mega Manu-45T-NBL-DSL-JUMBO</t>
  </si>
  <si>
    <t>Mega Manu</t>
  </si>
  <si>
    <t>Apapa &gt; Onitsha: 475 | Return Onitsha &gt; Apapa: 475</t>
  </si>
  <si>
    <t>Apapa &gt; Aba: 612 | Return Aba &gt; Apapa: 612</t>
  </si>
  <si>
    <t>Apapa &gt; Kano: 1017 | Return Kano &gt; Apapa: 1017</t>
  </si>
  <si>
    <t>Apapa &gt; Ibadan: 156 | Return Ibadan &gt; Apapa: 156</t>
  </si>
  <si>
    <t>Apapa &gt; Kaduna: 774 | Return Kaduna &gt; Apapa: 774</t>
  </si>
  <si>
    <t>Mega Manu-Local-30T-NBL-DSL-JUMBO</t>
  </si>
  <si>
    <t>Mega Manu-Local</t>
  </si>
  <si>
    <t>Agbara</t>
  </si>
  <si>
    <t>Ojo–Badagry</t>
  </si>
  <si>
    <t>Apapa &gt; Agbara: 43 | Return Agbara &gt; Apapa: 43</t>
  </si>
  <si>
    <t>Mainland</t>
  </si>
  <si>
    <t>Apapa &gt; Amuwo Odofin: 10 | Return Amuwo Odofin &gt; Apapa: 10</t>
  </si>
  <si>
    <t>Isolo</t>
  </si>
  <si>
    <t>Apapa &gt; Isolo: 15 | Return Isolo &gt; Apapa: 15</t>
  </si>
  <si>
    <t>Sango Ota</t>
  </si>
  <si>
    <t>Apapa &gt; Sango Ota: 42 | Return Sango Ota &gt; Apapa: 42</t>
  </si>
  <si>
    <t>Matori</t>
  </si>
  <si>
    <t>Apapa &gt; Matori: 15 | Return Matori &gt; Apapa: 15</t>
  </si>
  <si>
    <t>Fatai Atere</t>
  </si>
  <si>
    <t>Apapa &gt; Fatai Atere: 12 | Return Fatai Atere &gt; Apapa: 12</t>
  </si>
  <si>
    <t>Igbesa</t>
  </si>
  <si>
    <t>Apapa &gt; Igbesa: 39 | Return Igbesa &gt; Apapa: 39</t>
  </si>
  <si>
    <t>Ikeja</t>
  </si>
  <si>
    <t>Apapa &gt; Ikeja: 23 | Return Ikeja &gt; Apapa: 23</t>
  </si>
  <si>
    <t>Dopemu</t>
  </si>
  <si>
    <t>Apapa &gt; Dopemu: 27 | Return Dopemu &gt; Apapa: 27</t>
  </si>
  <si>
    <t>Sagamu</t>
  </si>
  <si>
    <t>Apapa &gt; Sagamu: 70 | Return Sagamu &gt; Apapa: 70</t>
  </si>
  <si>
    <t>Mowe</t>
  </si>
  <si>
    <t>Apapa &gt; Mowe: 53 | Return Mowe &gt; Apapa: 53</t>
  </si>
  <si>
    <t>Ijebu Ososa</t>
  </si>
  <si>
    <t>Apapa &gt; Ijebu Ososa: 81 | Return Ijebu Ososa &gt; Apapa: 81</t>
  </si>
  <si>
    <t>Ojota</t>
  </si>
  <si>
    <t>Apapa &gt; Ojota: 21 | Return Ojota &gt; Apapa: 21</t>
  </si>
  <si>
    <t>Ijebu Ode</t>
  </si>
  <si>
    <t>Apapa &gt; Ijebu Ode: 96 | Return Ijebu Ode &gt; Apapa: 96</t>
  </si>
  <si>
    <t>Apapa &gt; Apapa: 10 | Return Apapa &gt; Apapa: 10</t>
  </si>
  <si>
    <t>Ilupeju</t>
  </si>
  <si>
    <t>Apapa &gt; Ilupeju: 16 | Return Ilupeju &gt; Apapa: 16</t>
  </si>
  <si>
    <t>Ajao Estate</t>
  </si>
  <si>
    <t>Apapa &gt; Ajao Estate: 16 | Return Ajao Estate &gt; Apapa: 16</t>
  </si>
  <si>
    <t>Okota</t>
  </si>
  <si>
    <t>Apapa &gt; Okota: 12 | Return Okota &gt; Apapa: 12</t>
  </si>
  <si>
    <t>Oshodi</t>
  </si>
  <si>
    <t>Apapa &gt; Oshodi: 17 | Return Oshodi &gt; Apapa: 17</t>
  </si>
  <si>
    <t>Apapa &gt; Ogere: 83 | Return Ogere &gt; Apapa: 83</t>
  </si>
  <si>
    <t>Lekki</t>
  </si>
  <si>
    <t>Island</t>
  </si>
  <si>
    <t>Apapa &gt; Lekki: 17 | Return Lekki &gt; Apapa: 17</t>
  </si>
  <si>
    <t>Ogba</t>
  </si>
  <si>
    <t>Apapa &gt; Ogba: 28 | Return Ogba &gt; Apapa: 28</t>
  </si>
  <si>
    <t>Ilorin</t>
  </si>
  <si>
    <t>Kwara</t>
  </si>
  <si>
    <t>Apapa &gt; Ilorin: 367 | Return Ilorin &gt; Apapa: 367</t>
  </si>
  <si>
    <t>Mega Manu-Local-45T-NBL-DSL-JUMBO</t>
  </si>
  <si>
    <t>VANDERA-45T-NBL-DSL-JUMBO</t>
  </si>
  <si>
    <t>VANDERA</t>
  </si>
  <si>
    <t>Calabar</t>
  </si>
  <si>
    <t>Cross River</t>
  </si>
  <si>
    <t>Apapa &gt; Calabar: 742 | Return Calabar &gt; Apapa: 742</t>
  </si>
  <si>
    <t>Lacasera-45T-NBL-DSL-JUMBO</t>
  </si>
  <si>
    <t>Lacasera</t>
  </si>
  <si>
    <t>Mile 2</t>
  </si>
  <si>
    <t>Mile 2 &gt; Aba: 619 | Return Aba &gt; Mile 2: 619</t>
  </si>
  <si>
    <t>Mile 2 &gt; Port Harcourt: 612 | Return Port Harcourt &gt; Mile 2: 612</t>
  </si>
  <si>
    <t>Mile 2 &gt; Abuja: 761 | Return Abuja &gt; Mile 2: 761</t>
  </si>
  <si>
    <t>Mile 2 &gt; Kano: 1020 | Return Kano &gt; Mile 2: 1020</t>
  </si>
  <si>
    <t>Mile 2 &gt; Ibadan: 157 | Return Ibadan &gt; Mile 2: 157</t>
  </si>
  <si>
    <t>Benin City</t>
  </si>
  <si>
    <t>Mile 2 &gt; Benin City: 312 | Return Benin City &gt; Mile 2: 312</t>
  </si>
  <si>
    <t>Mile 2 &gt; Onitsha: 481 | Return Onitsha &gt; Mile 2: 481</t>
  </si>
  <si>
    <t>NATURAL BEAUTY-45T-NBL-DSL-JUMBO</t>
  </si>
  <si>
    <t>NATURAL BEAUTY</t>
  </si>
  <si>
    <t>Isolo &gt; Kano: 990 | Return Kano &gt; Isolo: 990</t>
  </si>
  <si>
    <t>Isolo &gt; Maiduguri: 1557 | Return Maiduguri &gt; Isolo: 1557</t>
  </si>
  <si>
    <t>NATURAL BEAUTY-30T-NBL-DSL-JUMBO</t>
  </si>
  <si>
    <t>SASO-45T-NBL-DSL-JUMBO</t>
  </si>
  <si>
    <t>SASO</t>
  </si>
  <si>
    <t>Amuwo Odofin &gt; Abuja: 763 | Return Abuja &gt; Amuwo Odofin: 763</t>
  </si>
  <si>
    <t>Amuwo Odofin &gt; Funtua: 868 | Return Funtua &gt; Amuwo Odofin: 868</t>
  </si>
  <si>
    <t>Amuwo Odofin &gt; Kaduna: 779 | Return Kaduna &gt; Amuwo Odofin: 779</t>
  </si>
  <si>
    <t>Amuwo Odofin &gt; Zaria: 858 | Return Zaria &gt; Amuwo Odofin: 858</t>
  </si>
  <si>
    <t>Amuwo Odofin &gt; Gombe: 1253 | Return Gombe &gt; Amuwo Odofin: 1253</t>
  </si>
  <si>
    <t>Amuwo Odofin &gt; Yola: 1375 | Return Yola &gt; Amuwo Odofin: 1375</t>
  </si>
  <si>
    <t>Amuwo Odofin &gt; Mubi: 1527 | Return Mubi &gt; Amuwo Odofin: 1527</t>
  </si>
  <si>
    <t>Amuwo Odofin &gt; Jalingo: 1207 | Return Jalingo &gt; Amuwo Odofin: 1207</t>
  </si>
  <si>
    <t>SASO-30T-NBL-DSL-JUMBO</t>
  </si>
  <si>
    <t>Amuwo Odofin &gt; Katsina: 1051 | Return Katsina &gt; Amuwo Odofin: 1051</t>
  </si>
  <si>
    <t>I'HS-30T-NBL-DSL-FLATBED</t>
  </si>
  <si>
    <t>I'HS</t>
  </si>
  <si>
    <t>IKM</t>
  </si>
  <si>
    <t>LOCATION NOT FOUND</t>
  </si>
  <si>
    <t>Place not recognised - send the exact location/address and it will be filled in</t>
  </si>
  <si>
    <t>Epe</t>
  </si>
  <si>
    <t>Epe &amp; Ibeju-Lekki</t>
  </si>
  <si>
    <t>JMG Gbagada &gt; Epe: 85 | Return Epe &gt; JMG Gbagada: 85</t>
  </si>
  <si>
    <t>JAMARA-30T-NBL-DSL-CONTAINARIZED</t>
  </si>
  <si>
    <t>CONTAINERIZED</t>
  </si>
  <si>
    <t>Ekiti (Ado Ekiti)</t>
  </si>
  <si>
    <t>Ekiti</t>
  </si>
  <si>
    <t>Ado Ekiti</t>
  </si>
  <si>
    <t>JMG Gbagada &gt; Ado Ekiti: 305 | Return Ado Ekiti &gt; JMG Gbagada: 305</t>
  </si>
  <si>
    <t>Ondo State (Akure)</t>
  </si>
  <si>
    <t>Ondo</t>
  </si>
  <si>
    <t>Akure</t>
  </si>
  <si>
    <t>JMG Gbagada &gt; Akure: 278 | Return Akure &gt; JMG Gbagada: 278</t>
  </si>
  <si>
    <t>Osun (Osogbo)</t>
  </si>
  <si>
    <t>Osun</t>
  </si>
  <si>
    <t>Osogbo</t>
  </si>
  <si>
    <t>JMG Gbagada &gt; Osogbo: 243 | Return Osogbo &gt; JMG Gbagada: 243</t>
  </si>
  <si>
    <t>Kwara (Ilorin)</t>
  </si>
  <si>
    <t>JMG Gbagada &gt; Ilorin: 351 | Return Ilorin &gt; JMG Gbagada: 351</t>
  </si>
  <si>
    <t>Omu Aran</t>
  </si>
  <si>
    <t>JMG Gbagada &gt; Omu Aran: 361 | Return Omu Aran &gt; JMG Gbagada: 361</t>
  </si>
  <si>
    <t>Abeokuta</t>
  </si>
  <si>
    <t>JMG Gbagada &gt; Abeokuta: 85 | Return Abeokuta &gt; JMG Gbagada: 85</t>
  </si>
  <si>
    <t>JMG Gbagada &gt; Benin City: 303 | Return Benin City &gt; JMG Gbagada: 303</t>
  </si>
  <si>
    <t>Abule Egba - Ijaiye - Moshalashi - Kola - Sango Ota</t>
  </si>
  <si>
    <t>Abule Egba &gt; Sango Ota &gt; Kola &gt; Moshalashi &gt; Ijaiye</t>
  </si>
  <si>
    <t>JMG Gbagada &gt; Abule Egba: 19 | Abule Egba &gt; Sango Ota: 12 | Sango Ota &gt; Kola: 4 | Kola &gt; Moshalashi: 8 | Moshalashi &gt; Ijaiye: 3 | Return Ijaiye &gt; JMG Gbagada: 17</t>
  </si>
  <si>
    <t>Drop order re-sequenced for the shortest loop (written order would be 69 km round trip); Multi-drop: Leg 1 = sum of drop-to-drop legs</t>
  </si>
  <si>
    <t>Agbara - Badagry</t>
  </si>
  <si>
    <t>Agbara &gt; Badagry</t>
  </si>
  <si>
    <t>JMG Gbagada &gt; Agbara: 46 | Agbara &gt; Badagry: 34 | Return Badagry &gt; JMG Gbagada: 75</t>
  </si>
  <si>
    <t>Multi-drop: Leg 1 = sum of drop-to-drop legs</t>
  </si>
  <si>
    <t>Festac - Mile 2 - Amuwo Odofin - Okota</t>
  </si>
  <si>
    <t>Mile 2 &gt; Amuwo Odofin &gt; Festac &gt; Okota</t>
  </si>
  <si>
    <t>JMG Gbagada &gt; Mile 2: 18 | Mile 2 &gt; Amuwo Odofin: 3 | Amuwo Odofin &gt; Festac: 3 | Festac &gt; Okota: 8 | Return Okota &gt; JMG Gbagada: 14</t>
  </si>
  <si>
    <t>Drop order re-sequenced for the shortest loop (written order would be 50 km round trip); Multi-drop: Leg 1 = sum of drop-to-drop legs</t>
  </si>
  <si>
    <t>Alaba</t>
  </si>
  <si>
    <t>JMG Gbagada &gt; Alaba: 34 | Return Alaba &gt; JMG Gbagada: 34</t>
  </si>
  <si>
    <t>Ikeja - Agege - Dopemu - Magodo</t>
  </si>
  <si>
    <t>Ikeja &gt; Dopemu &gt; Agege &gt; Magodo</t>
  </si>
  <si>
    <t>JMG Gbagada &gt; Ikeja: 9 | Ikeja &gt; Dopemu: 6 | Dopemu &gt; Agege: 3 | Agege &gt; Magodo: 9 | Return Magodo &gt; JMG Gbagada: 10</t>
  </si>
  <si>
    <t>IKM - Shagari - Ejigbo - Ipaja - Ayobo - Okokomaiko - Oshodi - Isolo</t>
  </si>
  <si>
    <t>Multi-zone</t>
  </si>
  <si>
    <t>Oshodi &gt; Ejigbo &gt; Shagari Estate &gt; Ipaja &gt; Ayobo &gt; Okokomaiko &gt; Isolo</t>
  </si>
  <si>
    <t>JMG Gbagada &gt; Oshodi: 7 | Oshodi &gt; Ejigbo: 7 | Ejigbo &gt; Shagari Estate: 7 | Shagari Estate &gt; Ipaja: 4 | Ipaja &gt; Ayobo: 3 | Ayobo &gt; Okokomaiko: 22 | Okokomaiko &gt; Isolo: 21 | Return Isolo &gt; JMG Gbagada: 11</t>
  </si>
  <si>
    <t>Drop order re-sequenced for the shortest loop (written order would be 100 km round trip); Multi-drop: Leg 1 = sum of drop-to-drop legs; IKM not found on maps - route starts at Shagari; please confirm IKM location</t>
  </si>
  <si>
    <t>Ilupeju - Gbagada - Apapa - Mushin - Okota - Fadeyi</t>
  </si>
  <si>
    <t>Ilupeju &gt; Mushin &gt; Okota &gt; Apapa &gt; Fadeyi &gt; Gbagada</t>
  </si>
  <si>
    <t>JMG Gbagada &gt; Ilupeju: 5 | Ilupeju &gt; Mushin: 3 | Mushin &gt; Okota: 7 | Okota &gt; Apapa: 12 | Apapa &gt; Fadeyi: 13 | Fadeyi &gt; Gbagada: 4 | Return Gbagada &gt; JMG Gbagada: 3</t>
  </si>
  <si>
    <t>Drop order re-sequenced for the shortest loop (written order would be 60 km round trip); Multi-drop: Leg 1 = sum of drop-to-drop legs</t>
  </si>
  <si>
    <t>Ketu - Ikorodu</t>
  </si>
  <si>
    <t>Ketu &gt; Ikorodu</t>
  </si>
  <si>
    <t>JMG Gbagada &gt; Ketu: 6 | Ketu &gt; Ikorodu: 18 | Return Ikorodu &gt; JMG Gbagada: 20</t>
  </si>
  <si>
    <t>Lagos Island - Marina</t>
  </si>
  <si>
    <t>Lagos Island &gt; Marina</t>
  </si>
  <si>
    <t>JMG Gbagada &gt; Lagos Island: 16 | Lagos Island &gt; Marina: 3 | Return Marina &gt; JMG Gbagada: 16</t>
  </si>
  <si>
    <t>Ojodu - Akute - Mowe</t>
  </si>
  <si>
    <t>Ojodu &gt; Akute &gt; Mowe</t>
  </si>
  <si>
    <t>JMG Gbagada &gt; Ojodu: 13 | Ojodu &gt; Akute: 7 | Akute &gt; Mowe: 22 | Return Mowe &gt; JMG Gbagada: 39</t>
  </si>
  <si>
    <t>Surulere - Tejuosho - Yaba - Ebute Metta - Oyingbo</t>
  </si>
  <si>
    <t>Tejuosho &gt; Surulere &gt; Ebute Metta &gt; Oyingbo &gt; Yaba</t>
  </si>
  <si>
    <t>JMG Gbagada &gt; Tejuosho: 8 | Tejuosho &gt; Surulere: 3 | Surulere &gt; Ebute Metta: 5 | Ebute Metta &gt; Oyingbo: 3 | Oyingbo &gt; Yaba: 4 | Return Yaba &gt; JMG Gbagada: 7</t>
  </si>
  <si>
    <t>Drop order re-sequenced for the shortest loop (written order would be 34 km round trip); Multi-drop: Leg 1 = sum of drop-to-drop legs</t>
  </si>
  <si>
    <t>Victoria Island - Lekki - Ajah</t>
  </si>
  <si>
    <t>Victoria Island &gt; Lekki &gt; Ajah</t>
  </si>
  <si>
    <t>JMG Gbagada &gt; Victoria Island: 20 | Victoria Island &gt; Lekki: 9 | Lekki &gt; Ajah: 14 | Return Ajah &gt; JMG Gbagada: 30</t>
  </si>
  <si>
    <t>I'HS-30T-NBL-DSL-FLATBED-local</t>
  </si>
  <si>
    <t>FLATBED-local</t>
  </si>
  <si>
    <t>JMG-30T-NBL-DSL-FLATBED-local</t>
  </si>
  <si>
    <t>JAT-30T-NBL-DSL-JUMBO</t>
  </si>
  <si>
    <t>Orca-45T-NBL-DSL-JUMBO</t>
  </si>
  <si>
    <t>Orca</t>
  </si>
  <si>
    <t>Karame-City</t>
  </si>
  <si>
    <t>Asaba</t>
  </si>
  <si>
    <t>Apapa &gt; Asaba: 466 | Return Asaba &gt; Apapa: 466</t>
  </si>
  <si>
    <t>Karame-City not found on maps - measured from Apapa as a stand-in; please confirm address</t>
  </si>
  <si>
    <t>Ikot Ekpene</t>
  </si>
  <si>
    <t>Akwa Ibom</t>
  </si>
  <si>
    <t>Mile 2 &gt; Ikot Ekpene: 656 | Return Ikot Ekpene &gt; Mile 2: 656</t>
  </si>
  <si>
    <t>Oron</t>
  </si>
  <si>
    <t>Mile 2 &gt; Oron: 745 | Return Oron &gt; Mile 2: 745</t>
  </si>
  <si>
    <t>Yenagoa</t>
  </si>
  <si>
    <t>Bayelsa</t>
  </si>
  <si>
    <t>Mile 2 &gt; Yenagoa: 536 | Return Yenagoa &gt; Mile 2: 536</t>
  </si>
  <si>
    <t>Mile 2 &gt; Makurdi: 828 | Return Makurdi &gt; Mile 2: 828</t>
  </si>
  <si>
    <t>Mile 2 &gt; Calabar: 749 | Return Calabar &gt; Mile 2: 749</t>
  </si>
  <si>
    <t>Mile 2 &gt; Abakaliki: 669 | Return Abakaliki &gt; Mile 2: 669</t>
  </si>
  <si>
    <t>Enugu</t>
  </si>
  <si>
    <t>Mile 2 &gt; Enugu: 583 | Return Enugu &gt; Mile 2: 583</t>
  </si>
  <si>
    <t>Nsukka</t>
  </si>
  <si>
    <t>Mile 2 &gt; Nsukka: 577 | Return Nsukka &gt; Mile 2: 577</t>
  </si>
  <si>
    <t>Owerri</t>
  </si>
  <si>
    <t>Imo</t>
  </si>
  <si>
    <t>Mile 2 &gt; Owerri: 549 | Return Owerri &gt; Mile 2: 549</t>
  </si>
  <si>
    <t>Uyo</t>
  </si>
  <si>
    <t>Mile 2 &gt; Uyo: 690 | Return Uyo &gt; Mile 2: 690</t>
  </si>
  <si>
    <t>Umunze</t>
  </si>
  <si>
    <t>Mile 2 &gt; Umunze: 548 | Return Umunze &gt; Mile 2: 548</t>
  </si>
  <si>
    <t>Abak</t>
  </si>
  <si>
    <t>Mile 2 &gt; Abak: 679 | Return Abak &gt; Mile 2: 679</t>
  </si>
  <si>
    <t>Awka</t>
  </si>
  <si>
    <t>Mile 2 &gt; Awka: 521 | Return Awka &gt; Mile 2: 521</t>
  </si>
  <si>
    <t>Ikom</t>
  </si>
  <si>
    <t>Mile 2 &gt; Ikom: 758 | Return Ikom &gt; Mile 2: 758</t>
  </si>
  <si>
    <t>Obubra</t>
  </si>
  <si>
    <t>Mile 2 &gt; Obubra: 703 | Return Obubra &gt; Mile 2: 703</t>
  </si>
  <si>
    <t>Bori</t>
  </si>
  <si>
    <t>Mile 2 &gt; Bori: 659 | Return Bori &gt; Mile 2: 659</t>
  </si>
  <si>
    <t>Eket</t>
  </si>
  <si>
    <t>Mile 2 &gt; Eket: 723 | Return Eket &gt; Mile 2: 723</t>
  </si>
  <si>
    <t>Mile 2 &gt; Bauchi: 1086 | Return Bauchi &gt; Mile 2: 1086</t>
  </si>
  <si>
    <t>Mile 2 &gt; Maiduguri: 1605 | Return Maiduguri &gt; Mile 2: 1605</t>
  </si>
  <si>
    <t>Mile 2 &gt; Gombe: 1251 | Return Gombe &gt; Mile 2: 1251</t>
  </si>
  <si>
    <t>Mile 2 &gt; Kaduna: 777 | Return Kaduna &gt; Mile 2: 777</t>
  </si>
  <si>
    <t>Mile 2 &gt; Zaria: 856 | Return Zaria &gt; Mile 2: 856</t>
  </si>
  <si>
    <t>Ajaokuta</t>
  </si>
  <si>
    <t>Mile 2 &gt; Ajaokuta: 543 | Return Ajaokuta &gt; Mile 2: 543</t>
  </si>
  <si>
    <t>Mile 2 &gt; Lokoja: 569 | Return Lokoja &gt; Mile 2: 569</t>
  </si>
  <si>
    <t>Mile 2 &gt; Anyigba: 612 | Return Anyigba &gt; Mile 2: 612</t>
  </si>
  <si>
    <t>Okene</t>
  </si>
  <si>
    <t>Mile 2 &gt; Okene: 482 | Return Okene &gt; Mile 2: 482</t>
  </si>
  <si>
    <t>Akwanga</t>
  </si>
  <si>
    <t>Mile 2 &gt; Akwanga: 872 | Return Akwanga &gt; Mile 2: 872</t>
  </si>
  <si>
    <t>Mile 2 &gt; Keffi: 795 | Return Keffi &gt; Mile 2: 795</t>
  </si>
  <si>
    <t>Mile 2 &gt; Lafia: 863 | Return Lafia &gt; Mile 2: 863</t>
  </si>
  <si>
    <t>Mile 2 &gt; Kontagora: 696 | Return Kontagora &gt; Mile 2: 696</t>
  </si>
  <si>
    <t>Mile 2 &gt; Minna: 699 | Return Minna &gt; Mile 2: 699</t>
  </si>
  <si>
    <t>Mile 2 &gt; Jos: 1007 | Return Jos &gt; Mile 2: 1007</t>
  </si>
  <si>
    <t>Mile 2 &gt; Shendam: 1030 | Return Shendam &gt; Mile 2: 1030</t>
  </si>
  <si>
    <t>Mile 2 &gt; Sokoto: 927 | Return Sokoto &gt; Mile 2: 927</t>
  </si>
  <si>
    <t>Birnin Kebbi</t>
  </si>
  <si>
    <t>Mile 2 &gt; Birnin Kebbi: 817 | Return Birnin Kebbi &gt; Mile 2: 817</t>
  </si>
  <si>
    <t>Illela</t>
  </si>
  <si>
    <t>Mile 2 &gt; Illela: 1016 | Return Illela &gt; Mile 2: 1016</t>
  </si>
  <si>
    <t>Mile 2 &gt; Jalingo: 1205 | Return Jalingo &gt; Mile 2: 1205</t>
  </si>
  <si>
    <t>Mile 2 &gt; Wukari: 949 | Return Wukari &gt; Mile 2: 949</t>
  </si>
  <si>
    <t>Mile 2 &gt; Gusau: 891 | Return Gusau &gt; Mile 2: 891</t>
  </si>
  <si>
    <t>Mile 2 &gt; Yola: 1373 | Return Yola &gt; Mile 2: 1373</t>
  </si>
  <si>
    <t>Mile 2 &gt; Mubi: 1525 | Return Mubi &gt; Mile 2: 1525</t>
  </si>
  <si>
    <t>Madagali</t>
  </si>
  <si>
    <t>Mile 2 &gt; Madagali: 1606 | Return Madagali &gt; Mile 2: 1606</t>
  </si>
  <si>
    <t>Mile 2 &gt; Bida: 583 | Return Bida &gt; Mile 2: 583</t>
  </si>
  <si>
    <t>Mile 2 &gt; Katsina: 1050 | Return Katsina &gt; Mile 2: 1050</t>
  </si>
  <si>
    <t>Jebba</t>
  </si>
  <si>
    <t>Mile 2 &gt; Jebba: 477 | Return Jebba &gt; Mile 2: 477</t>
  </si>
  <si>
    <t>Mile 2 &gt; Ilorin: 369 | Return Ilorin &gt; Mile 2: 369</t>
  </si>
  <si>
    <t>Offa</t>
  </si>
  <si>
    <t>Mile 2 &gt; Offa: 316 | Return Offa &gt; Mile 2: 316</t>
  </si>
  <si>
    <t>Mile 2 &gt; Akure: 293 | Return Akure &gt; Mile 2: 293</t>
  </si>
  <si>
    <t>Iseyin</t>
  </si>
  <si>
    <t>Mile 2 &gt; Iseyin: 221 | Return Iseyin &gt; Mile 2: 221</t>
  </si>
  <si>
    <t>Ilara (Yewa)</t>
  </si>
  <si>
    <t>Mile 2 &gt; Ilara (Yewa): 135 | Return Ilara (Yewa) &gt; Mile 2: 135</t>
  </si>
  <si>
    <t>Mile 2 &gt; Osogbo: 259 | Return Osogbo &gt; Mile 2: 259</t>
  </si>
  <si>
    <t>Mile 2 &gt; Ado Ekiti: 320 | Return Ado Ekiti &gt; Mile 2: 320</t>
  </si>
  <si>
    <t>Auchi</t>
  </si>
  <si>
    <t>Mile 2 &gt; Auchi: 406 | Return Auchi &gt; Mile 2: 406</t>
  </si>
  <si>
    <t>Oja Odan</t>
  </si>
  <si>
    <t>Mile 2 &gt; Oja Odan: 90 | Return Oja Odan &gt; Mile 2: 90</t>
  </si>
  <si>
    <t>Kaiama</t>
  </si>
  <si>
    <t>Mile 2 &gt; Kaiama: 500 | Return Kaiama &gt; Mile 2: 500</t>
  </si>
  <si>
    <t>Imeko</t>
  </si>
  <si>
    <t>Mile 2 &gt; Imeko: 157 | Return Imeko &gt; Mile 2: 157</t>
  </si>
  <si>
    <t>Uromi</t>
  </si>
  <si>
    <t>Mile 2 &gt; Uromi: 408 | Return Uromi &gt; Mile 2: 408</t>
  </si>
  <si>
    <t>Mile 2 &gt; Warri: 432 | Return Warri &gt; Mile 2: 432</t>
  </si>
  <si>
    <t>Zaki Biam</t>
  </si>
  <si>
    <t>Mile 2 &gt; Zaki Biam: 987 | Return Zaki Biam &gt; Mile 2: 987</t>
  </si>
  <si>
    <t>Katsina Ala</t>
  </si>
  <si>
    <t>Mile 2 &gt; Katsina Ala: 929 | Return Katsina Ala &gt; Mile 2: 929</t>
  </si>
  <si>
    <t>Adikpo</t>
  </si>
  <si>
    <t>Mile 2 &gt; Adikpo: 917 | Return Adikpo &gt; Mile 2: 917</t>
  </si>
  <si>
    <t>Mile 2 &gt; Takum: 964 | Return Takum &gt; Mile 2: 964</t>
  </si>
  <si>
    <t>Mutum Biyu</t>
  </si>
  <si>
    <t>Mile 2 &gt; Mutum Biyu: 1116 | Return Mutum Biyu &gt; Mile 2: 1116</t>
  </si>
  <si>
    <t>Chikanda</t>
  </si>
  <si>
    <t>Mile 2 &gt; Chikanda: 408 | Return Chikanda &gt; Mile 2: 408</t>
  </si>
  <si>
    <t>Ifon</t>
  </si>
  <si>
    <t>Mile 2 &gt; Ifon: 366 | Return Ifon &gt; Mile 2: 366</t>
  </si>
  <si>
    <t>NIGER BISCUIT-30T-NBL-DSL-JUMBO</t>
  </si>
  <si>
    <t>NIGER BISCUIT</t>
  </si>
  <si>
    <t>Apapa &gt; Port Harcourt: 606 | Return Port Harcourt &gt; Apapa: 606</t>
  </si>
  <si>
    <t>Apapa &gt; Lokoja: 563 | Return Lokoja &gt; Apapa: 563</t>
  </si>
  <si>
    <t>Apapa &gt; Ikot Ekpene: 649 | Return Ikot Ekpene &gt; Apapa: 649</t>
  </si>
  <si>
    <t>Apapa &gt; Lafia: 857 | Return Lafia &gt; Apapa: 857</t>
  </si>
  <si>
    <t>Apapa &gt; Enugu: 577 | Return Enugu &gt; Apapa: 577</t>
  </si>
  <si>
    <t>Apapa &gt; Owerri: 542 | Return Owerri &gt; Apapa: 542</t>
  </si>
  <si>
    <t>Kwale</t>
  </si>
  <si>
    <t>Apapa &gt; Kwale: 453 | Return Kwale &gt; Apapa: 453</t>
  </si>
  <si>
    <t>Apapa &gt; Abakaliki: 663 | Return Abakaliki &gt; Apapa: 663</t>
  </si>
  <si>
    <t>Apapa &gt; Uyo: 683 | Return Uyo &gt; Apapa: 683</t>
  </si>
  <si>
    <t>Apapa &gt; Maiduguri: 1600 | Return Maiduguri &gt; Apapa: 1600</t>
  </si>
  <si>
    <t>Apapa &gt; Yenagoa: 529 | Return Yenagoa &gt; Apapa: 529</t>
  </si>
  <si>
    <t>Keffi &gt; Lafia: 127 | Return Lafia &gt; Keffi: 127</t>
  </si>
  <si>
    <t>Main location Ogere but loading point Keffi - measured from Keffi as listed</t>
  </si>
  <si>
    <t>WALTER &amp; Hiffy-30T-NBL-DSL-JUMBO</t>
  </si>
  <si>
    <t>WALTER &amp; Hiffy</t>
  </si>
  <si>
    <t>Port Harcourt &gt; Benin City: 300 | Return Benin City &gt; Port Harcourt: 300</t>
  </si>
  <si>
    <t>Lebruni-30T-NBL-DSL-JUMBO</t>
  </si>
  <si>
    <t>Lebruni</t>
  </si>
  <si>
    <t>Ibadan &gt; Benin City: 273 | Return Benin City &gt; Ibadan: 273</t>
  </si>
  <si>
    <t>Ibadan &gt; Port Harcourt: 574 | Return Port Harcourt &gt; Ibadan: 574</t>
  </si>
  <si>
    <t>Ibadan &gt; Warri: 393 | Return Warri &gt; Ibadan: 393</t>
  </si>
  <si>
    <t>Imo (Owerri)</t>
  </si>
  <si>
    <t>Ibadan &gt; Owerri: 510 | Return Owerri &gt; Ibadan: 510</t>
  </si>
  <si>
    <t>Ibadan &gt; Akure: 187 | Return Akure &gt; Ibadan: 187</t>
  </si>
  <si>
    <t>Ibadan &gt; Ikom: 719 | Return Ikom &gt; Ibadan: 719</t>
  </si>
  <si>
    <t>Ibadan &gt; Abeokuta: 84 | Return Abeokuta &gt; Ibadan: 84</t>
  </si>
  <si>
    <t>Idiroko</t>
  </si>
  <si>
    <t>Ibadan &gt; Idiroko: 201 | Return Idiroko &gt; Ibadan: 201</t>
  </si>
  <si>
    <t>Ibafo</t>
  </si>
  <si>
    <t>Ibadan &gt; Ibafo: 116 | Return Ibafo &gt; Ibadan: 116</t>
  </si>
  <si>
    <t>Ibadan &gt; Sango Ota: 138 | Return Sango Ota &gt; Ibadan: 138</t>
  </si>
  <si>
    <t>Ibadan &gt; Sagamu: 87 | Return Sagamu &gt; Ibadan: 87</t>
  </si>
  <si>
    <t>Ibadan &gt; Ilorin: 185 | Return Ilorin &gt; Ibadan: 185</t>
  </si>
  <si>
    <t>Ibadan &gt; Awka: 482 | Return Awka &gt; Ibadan: 482</t>
  </si>
  <si>
    <t>Ibadan &gt; Calabar: 710 | Return Calabar &gt; Ibadan: 710</t>
  </si>
  <si>
    <t>Ibadan &gt; Enugu: 544 | Return Enugu &gt; Ibadan: 544</t>
  </si>
  <si>
    <t>Ibadan (Toll Gate)</t>
  </si>
  <si>
    <t>Ibadan Toll Gate</t>
  </si>
  <si>
    <t>Ibadan &gt; Ibadan Toll Gate: 12 | Return Ibadan Toll Gate &gt; Ibadan: 12</t>
  </si>
  <si>
    <t>Ibadan Town</t>
  </si>
  <si>
    <t>Ogbomoso</t>
  </si>
  <si>
    <t>Ibadan &gt; Ogbomoso: 119 | Return Ogbomoso &gt; Ibadan: 119</t>
  </si>
  <si>
    <t>Lagos - Ikeja</t>
  </si>
  <si>
    <t>Ibadan &gt; Ikeja: 138 | Return Ikeja &gt; Ibadan: 138</t>
  </si>
  <si>
    <t>Lagos Island</t>
  </si>
  <si>
    <t>Ibadan &gt; Lagos Island: 153 | Return Lagos Island &gt; Ibadan: 153</t>
  </si>
  <si>
    <t>Ibadan &gt; Lekki: 149 | Return Lekki &gt; Ibadan: 149</t>
  </si>
  <si>
    <t>Ibadan &gt; Asaba: 434 | Return Asaba &gt; Ibadan: 434</t>
  </si>
  <si>
    <t>Ondo Town</t>
  </si>
  <si>
    <t>Ibadan &gt; Ondo Town: 141 | Return Ondo Town &gt; Ibadan: 141</t>
  </si>
  <si>
    <t>Umuahia</t>
  </si>
  <si>
    <t>Ibadan &gt; Umuahia: 566 | Return Umuahia &gt; Ibadan: 566</t>
  </si>
  <si>
    <t>Ibadan &gt; Osogbo: 110 | Return Osogbo &gt; Ibadan: 110</t>
  </si>
  <si>
    <t>Lebruni-40T-NBL-DSL-JUMBO</t>
  </si>
  <si>
    <t>40T</t>
  </si>
  <si>
    <t>Lebruni-45T-NBL-DSL-JUMBO</t>
  </si>
  <si>
    <t>Jamara-3T-16CBM</t>
  </si>
  <si>
    <t>16CBM</t>
  </si>
  <si>
    <t>Closed Body Logistics</t>
  </si>
  <si>
    <t>3T</t>
  </si>
  <si>
    <t>Jamara</t>
  </si>
  <si>
    <t>JMG Gbagada &gt; Sango Ota: 31 | Return Sango Ota &gt; JMG Gbagada: 31</t>
  </si>
  <si>
    <t>Abule Egba</t>
  </si>
  <si>
    <t>JMG Gbagada &gt; Abule Egba: 19 | Return Abule Egba &gt; JMG Gbagada: 19</t>
  </si>
  <si>
    <t>Agbado</t>
  </si>
  <si>
    <t>JMG Gbagada &gt; Agbado: 24 | Return Agbado &gt; JMG Gbagada: 24</t>
  </si>
  <si>
    <t>Ijaiye</t>
  </si>
  <si>
    <t>JMG Gbagada &gt; Ijaiye: 17 | Return Ijaiye &gt; JMG Gbagada: 17</t>
  </si>
  <si>
    <t>JMG Gbagada &gt; Agbara: 46 | Return Agbara &gt; JMG Gbagada: 46</t>
  </si>
  <si>
    <t>Festac</t>
  </si>
  <si>
    <t>JMG Gbagada &gt; Festac: 21 | Return Festac &gt; JMG Gbagada: 21</t>
  </si>
  <si>
    <t>JMG Gbagada &gt; Mile 2: 18 | Return Mile 2 &gt; JMG Gbagada: 18</t>
  </si>
  <si>
    <t>Ojo</t>
  </si>
  <si>
    <t>JMG Gbagada &gt; Ojo: 35 | Return Ojo &gt; JMG Gbagada: 35</t>
  </si>
  <si>
    <t>Magodo</t>
  </si>
  <si>
    <t>JMG Gbagada &gt; Magodo: 10 | Return Magodo &gt; JMG Gbagada: 10</t>
  </si>
  <si>
    <t>Agege</t>
  </si>
  <si>
    <t>JMG Gbagada &gt; Agege: 14 | Return Agege &gt; JMG Gbagada: 14</t>
  </si>
  <si>
    <t>JMG Gbagada &gt; Ikeja: 9 | Return Ikeja &gt; JMG Gbagada: 9</t>
  </si>
  <si>
    <t>Ikotun</t>
  </si>
  <si>
    <t>JMG Gbagada &gt; Ikotun: 19 | Return Ikotun &gt; JMG Gbagada: 19</t>
  </si>
  <si>
    <t>Ipaja</t>
  </si>
  <si>
    <t>JMG Gbagada &gt; Ipaja: 21 | Return Ipaja &gt; JMG Gbagada: 21</t>
  </si>
  <si>
    <t>Ejigbo</t>
  </si>
  <si>
    <t>JMG Gbagada &gt; Ejigbo: 14 | Return Ejigbo &gt; JMG Gbagada: 14</t>
  </si>
  <si>
    <t>JMG Gbagada &gt; Isolo: 11 | Return Isolo &gt; JMG Gbagada: 11</t>
  </si>
  <si>
    <t>JMG Gbagada &gt; Oshodi: 7 | Return Oshodi &gt; JMG Gbagada: 7</t>
  </si>
  <si>
    <t>Mushin</t>
  </si>
  <si>
    <t>JMG Gbagada &gt; Mushin: 7 | Return Mushin &gt; JMG Gbagada: 7</t>
  </si>
  <si>
    <t>Fadeyi</t>
  </si>
  <si>
    <t>JMG Gbagada &gt; Fadeyi: 4 | Return Fadeyi &gt; JMG Gbagada: 4</t>
  </si>
  <si>
    <t>JMG Gbagada &gt; Okota: 14 | Return Okota &gt; JMG Gbagada: 14</t>
  </si>
  <si>
    <t>JMG Gbagada &gt; Apapa: 17 | Return Apapa &gt; JMG Gbagada: 17</t>
  </si>
  <si>
    <t>JMG Gbagada &gt; Matori: 9 | Return Matori &gt; JMG Gbagada: 9</t>
  </si>
  <si>
    <t>Gbagada</t>
  </si>
  <si>
    <t>JMG Gbagada &gt; Gbagada: 3 | Return Gbagada &gt; JMG Gbagada: 3</t>
  </si>
  <si>
    <t>JMG Gbagada &gt; Ilupeju: 5 | Return Ilupeju &gt; JMG Gbagada: 5</t>
  </si>
  <si>
    <t>Ikorodu</t>
  </si>
  <si>
    <t>JMG Gbagada &gt; Ikorodu: 20 | Return Ikorodu &gt; JMG Gbagada: 20</t>
  </si>
  <si>
    <t>Ketu</t>
  </si>
  <si>
    <t>JMG Gbagada &gt; Ketu: 6 | Return Ketu &gt; JMG Gbagada: 6</t>
  </si>
  <si>
    <t>JMG Gbagada &gt; Lagos Island: 16 | Return Lagos Island &gt; JMG Gbagada: 16</t>
  </si>
  <si>
    <t>Marina</t>
  </si>
  <si>
    <t>JMG Gbagada &gt; Marina: 16 | Return Marina &gt; JMG Gbagada: 16</t>
  </si>
  <si>
    <t>JMG Gbagada &gt; Ijebu Ode: 85 | Return Ijebu Ode &gt; JMG Gbagada: 85</t>
  </si>
  <si>
    <t>JMG Gbagada &gt; Sagamu: 55 | Return Sagamu &gt; JMG Gbagada: 55</t>
  </si>
  <si>
    <t>Magboro</t>
  </si>
  <si>
    <t>JMG Gbagada &gt; Magboro: 24 | Return Magboro &gt; JMG Gbagada: 24</t>
  </si>
  <si>
    <t>Akute</t>
  </si>
  <si>
    <t>JMG Gbagada &gt; Akute: 19 | Return Akute &gt; JMG Gbagada: 19</t>
  </si>
  <si>
    <t>Ojodu</t>
  </si>
  <si>
    <t>JMG Gbagada &gt; Ojodu: 13 | Return Ojodu &gt; JMG Gbagada: 13</t>
  </si>
  <si>
    <t>Yaba</t>
  </si>
  <si>
    <t>JMG Gbagada &gt; Yaba: 7 | Return Yaba &gt; JMG Gbagada: 7</t>
  </si>
  <si>
    <t>Surulere</t>
  </si>
  <si>
    <t>JMG Gbagada &gt; Surulere: 10 | Return Surulere &gt; JMG Gbagada: 10</t>
  </si>
  <si>
    <t>Tejuosho</t>
  </si>
  <si>
    <t>JMG Gbagada &gt; Tejuosho: 8 | Return Tejuosho &gt; JMG Gbagada: 8</t>
  </si>
  <si>
    <t>Ibeju Lekki</t>
  </si>
  <si>
    <t>JMG Gbagada &gt; Ibeju Lekki: 72 | Return Ibeju Lekki &gt; JMG Gbagada: 72</t>
  </si>
  <si>
    <t>Ajah</t>
  </si>
  <si>
    <t>Lekki–Ajah</t>
  </si>
  <si>
    <t>JMG Gbagada &gt; Ajah: 30 | Return Ajah &gt; JMG Gbagada: 30</t>
  </si>
  <si>
    <t>JMG Gbagada &gt; Lekki: 21 | Return Lekki &gt; JMG Gbagada: 21</t>
  </si>
  <si>
    <t>Victoria Island</t>
  </si>
  <si>
    <t>JMG Gbagada &gt; Victoria Island: 20 | Return Victoria Island &gt; JMG Gbagada: 20</t>
  </si>
  <si>
    <t>Oniru</t>
  </si>
  <si>
    <t>JMG Gbagada &gt; Oniru: 21 | Return Oniru &gt; JMG Gbagada: 21</t>
  </si>
  <si>
    <t>Benin City (direct)</t>
  </si>
  <si>
    <t>Delta (Asaba, direct)</t>
  </si>
  <si>
    <t>JMG Gbagada &gt; Asaba: 463 | Return Asaba &gt; JMG Gbagada: 463</t>
  </si>
  <si>
    <t>Abuja (direct)</t>
  </si>
  <si>
    <t>Jamara-8T-25CBM</t>
  </si>
  <si>
    <t>25CBM</t>
  </si>
  <si>
    <t>8T</t>
  </si>
  <si>
    <t>JMG-10T-Hiabs Logistics-Upcountry</t>
  </si>
  <si>
    <t>Upcountry</t>
  </si>
  <si>
    <t>Hiabs Logistics</t>
  </si>
  <si>
    <t>10T</t>
  </si>
  <si>
    <t>Obudu Cattle Ranch</t>
  </si>
  <si>
    <t>Port Harcourt &gt; Obudu Cattle Ranch: 412 | Return Obudu Cattle Ranch &gt; Port Harcourt: 412</t>
  </si>
  <si>
    <t>Measured from JMG Port Harcourt (client main location); sheet lists JMG Gbagada as loading point</t>
  </si>
  <si>
    <t>Port Harcourt &gt; Makurdi: 483 | Return Makurdi &gt; Port Harcourt: 483</t>
  </si>
  <si>
    <t>Okpoko (Onitsha)</t>
  </si>
  <si>
    <t>Okpoko</t>
  </si>
  <si>
    <t>Port Harcourt &gt; Okpoko: 191 | Return Okpoko &gt; Port Harcourt: 191</t>
  </si>
  <si>
    <t>Ogoja</t>
  </si>
  <si>
    <t>Port Harcourt &gt; Ogoja: 375 | Return Ogoja &gt; Port Harcourt: 375</t>
  </si>
  <si>
    <t>Port Harcourt &gt; Otukpo: 386 | Return Otukpo &gt; Port Harcourt: 386</t>
  </si>
  <si>
    <t>Port Harcourt &gt; Ikom: 291 | Return Ikom &gt; Port Harcourt: 291</t>
  </si>
  <si>
    <t>Port Harcourt &gt; Ekpoma: 308 | Return Ekpoma &gt; Port Harcourt: 308</t>
  </si>
  <si>
    <t>Port Harcourt &gt; Auchi: 352 | Return Auchi &gt; Port Harcourt: 352</t>
  </si>
  <si>
    <t>Otukpa</t>
  </si>
  <si>
    <t>Port Harcourt &gt; Otukpa: 349 | Return Otukpa &gt; Port Harcourt: 349</t>
  </si>
  <si>
    <t>Port Harcourt &gt; Nsukka: 300 | Return Nsukka &gt; Port Harcourt: 300</t>
  </si>
  <si>
    <t>Port Harcourt &gt; Uromi: 291 | Return Uromi &gt; Port Harcourt: 291</t>
  </si>
  <si>
    <t>Ebonyi (Abakaliki)</t>
  </si>
  <si>
    <t>Port Harcourt &gt; Abakaliki: 266 | Return Abakaliki &gt; Port Harcourt: 266</t>
  </si>
  <si>
    <t>Port Harcourt &gt; Agbor: 241 | Return Agbor &gt; Port Harcourt: 241</t>
  </si>
  <si>
    <t>Akpabuyo</t>
  </si>
  <si>
    <t>Port Harcourt &gt; Akpabuyo: 200 | Return Akpabuyo &gt; Port Harcourt: 200</t>
  </si>
  <si>
    <t>Port Harcourt &gt; Enugu: 246 | Return Enugu &gt; Port Harcourt: 246</t>
  </si>
  <si>
    <t>Sapele</t>
  </si>
  <si>
    <t>Port Harcourt &gt; Sapele: 252 | Return Sapele &gt; Port Harcourt: 252</t>
  </si>
  <si>
    <t>Port Harcourt &gt; Calabar: 185 | Return Calabar &gt; Port Harcourt: 185</t>
  </si>
  <si>
    <t>Port Harcourt &gt; Kwale: 156 | Return Kwale &gt; Port Harcourt: 156</t>
  </si>
  <si>
    <t>Anambra (Awka)</t>
  </si>
  <si>
    <t>Port Harcourt &gt; Awka: 202 | Return Awka &gt; Port Harcourt: 202</t>
  </si>
  <si>
    <t>Akamkpa</t>
  </si>
  <si>
    <t>Port Harcourt &gt; Akamkpa: 201 | Return Akamkpa &gt; Port Harcourt: 201</t>
  </si>
  <si>
    <t>Odukpani</t>
  </si>
  <si>
    <t>Port Harcourt &gt; Odukpani: 191 | Return Odukpani &gt; Port Harcourt: 191</t>
  </si>
  <si>
    <t>Abraka</t>
  </si>
  <si>
    <t>Port Harcourt &gt; Abraka: 196 | Return Abraka &gt; Port Harcourt: 196</t>
  </si>
  <si>
    <t>Oji River</t>
  </si>
  <si>
    <t>Port Harcourt &gt; Oji River: 212 | Return Oji River &gt; Port Harcourt: 212</t>
  </si>
  <si>
    <t>Port Harcourt &gt; Asaba: 205 | Return Asaba &gt; Port Harcourt: 205</t>
  </si>
  <si>
    <t>Port Harcourt &gt; Warri: 213 | Return Warri &gt; Port Harcourt: 213</t>
  </si>
  <si>
    <t>Arochukwu</t>
  </si>
  <si>
    <t>Port Harcourt &gt; Arochukwu: 150 | Return Arochukwu &gt; Port Harcourt: 150</t>
  </si>
  <si>
    <t>Port Harcourt &gt; Onitsha: 196 | Return Onitsha &gt; Port Harcourt: 196</t>
  </si>
  <si>
    <t>Nnewi</t>
  </si>
  <si>
    <t>Port Harcourt &gt; Nnewi: 175 | Return Nnewi &gt; Port Harcourt: 175</t>
  </si>
  <si>
    <t>Arondizuogu</t>
  </si>
  <si>
    <t>Port Harcourt &gt; Arondizuogu: 165 | Return Arondizuogu &gt; Port Harcourt: 165</t>
  </si>
  <si>
    <t>Ughelli</t>
  </si>
  <si>
    <t>Port Harcourt &gt; Ughelli: 183 | Return Ughelli &gt; Port Harcourt: 183</t>
  </si>
  <si>
    <t>Ohafia</t>
  </si>
  <si>
    <t>Port Harcourt &gt; Ohafia: 162 | Return Ohafia &gt; Port Harcourt: 162</t>
  </si>
  <si>
    <t>Mbo</t>
  </si>
  <si>
    <t>Port Harcourt &gt; Mbo: 184 | Return Mbo &gt; Port Harcourt: 184</t>
  </si>
  <si>
    <t>Uturu</t>
  </si>
  <si>
    <t>Port Harcourt &gt; Uturu: 156 | Return Uturu &gt; Port Harcourt: 156</t>
  </si>
  <si>
    <t>Okobo</t>
  </si>
  <si>
    <t>Port Harcourt &gt; Okobo: 157 | Return Okobo &gt; Port Harcourt: 157</t>
  </si>
  <si>
    <t>Port Harcourt &gt; Oron: 171 | Return Oron &gt; Port Harcourt: 171</t>
  </si>
  <si>
    <t>Oguta</t>
  </si>
  <si>
    <t>Port Harcourt &gt; Oguta: 134 | Return Oguta &gt; Port Harcourt: 134</t>
  </si>
  <si>
    <t>Okigwe</t>
  </si>
  <si>
    <t>Port Harcourt &gt; Okigwe: 153 | Return Okigwe &gt; Port Harcourt: 153</t>
  </si>
  <si>
    <t>Itu</t>
  </si>
  <si>
    <t>Port Harcourt &gt; Itu: 146 | Return Itu &gt; Port Harcourt: 146</t>
  </si>
  <si>
    <t>Port Harcourt &gt; Uyo: 128 | Return Uyo &gt; Port Harcourt: 128</t>
  </si>
  <si>
    <t>Port Harcourt &gt; Ikot Ekpene: 110 | Return Ikot Ekpene &gt; Port Harcourt: 110</t>
  </si>
  <si>
    <t>Akwa Ibom (Uyo)</t>
  </si>
  <si>
    <t>Nsit Ibom</t>
  </si>
  <si>
    <t>Port Harcourt &gt; Nsit Ibom: 120 | Return Nsit Ibom &gt; Port Harcourt: 120</t>
  </si>
  <si>
    <t>Sagbama</t>
  </si>
  <si>
    <t>Port Harcourt &gt; Sagbama: 132 | Return Sagbama &gt; Port Harcourt: 132</t>
  </si>
  <si>
    <t>Imo State (Owerri)</t>
  </si>
  <si>
    <t>Port Harcourt &gt; Owerri: 97 | Return Owerri &gt; Port Harcourt: 97</t>
  </si>
  <si>
    <t>Port Harcourt &gt; Yenagoa: 114 | Return Yenagoa &gt; Port Harcourt: 114</t>
  </si>
  <si>
    <t>Bayelsa (Yenagoa)</t>
  </si>
  <si>
    <t>Port Harcourt &gt; Umuahia: 121 | Return Umuahia &gt; Port Harcourt: 121</t>
  </si>
  <si>
    <t>Port Harcourt &gt; Eket: 128 | Return Eket &gt; Port Harcourt: 128</t>
  </si>
  <si>
    <t>Ikot Abasi</t>
  </si>
  <si>
    <t>Port Harcourt &gt; Ikot Abasi: 83 | Return Ikot Abasi &gt; Port Harcourt: 83</t>
  </si>
  <si>
    <t>Omoku</t>
  </si>
  <si>
    <t>Port Harcourt &gt; Omoku: 95 | Return Omoku &gt; Port Harcourt: 95</t>
  </si>
  <si>
    <t>Mbiama</t>
  </si>
  <si>
    <t>Port Harcourt &gt; Mbiama: 95 | Return Mbiama &gt; Port Harcourt: 95</t>
  </si>
  <si>
    <t>Abua</t>
  </si>
  <si>
    <t>Port Harcourt &gt; Abua: 60 | Return Abua &gt; Port Harcourt: 60</t>
  </si>
  <si>
    <t>Ahoada</t>
  </si>
  <si>
    <t>Port Harcourt &gt; Ahoada: 69 | Return Ahoada &gt; Port Harcourt: 69</t>
  </si>
  <si>
    <t>Port Harcourt &gt; Aba: 62 | Return Aba &gt; Port Harcourt: 62</t>
  </si>
  <si>
    <t>Mbaise</t>
  </si>
  <si>
    <t>Port Harcourt &gt; Mbaise: 99 | Return Mbaise &gt; Port Harcourt: 99</t>
  </si>
  <si>
    <t>Elele</t>
  </si>
  <si>
    <t>Port Harcourt &gt; Elele: 53 | Return Elele &gt; Port Harcourt: 53</t>
  </si>
  <si>
    <t>JMG-10T-Hiabs Logistics-Local</t>
  </si>
  <si>
    <t>Local</t>
  </si>
  <si>
    <t>Port Harcourt &gt; Bori: 53 | Return Bori &gt; Port Harcourt: 53</t>
  </si>
  <si>
    <t>Isiokpo</t>
  </si>
  <si>
    <t>Airport Road</t>
  </si>
  <si>
    <t>Port Harcourt &gt; Isiokpo: 34 | Return Isiokpo &gt; Port Harcourt: 34</t>
  </si>
  <si>
    <t>Omagwa</t>
  </si>
  <si>
    <t>Port Harcourt &gt; Omagwa: 31 | Return Omagwa &gt; Port Harcourt: 31</t>
  </si>
  <si>
    <t>Choba</t>
  </si>
  <si>
    <t>Rumuokoro–Choba</t>
  </si>
  <si>
    <t>Port Harcourt &gt; Choba: 26 | Return Choba &gt; Port Harcourt: 26</t>
  </si>
  <si>
    <t>Onne</t>
  </si>
  <si>
    <t>Eleme–Onne–Oyigbo</t>
  </si>
  <si>
    <t>Port Harcourt &gt; Onne: 21 | Return Onne &gt; Port Harcourt: 21</t>
  </si>
  <si>
    <t>Alakahia</t>
  </si>
  <si>
    <t>Port Harcourt &gt; Alakahia: 22 | Return Alakahia &gt; Port Harcourt: 22</t>
  </si>
  <si>
    <t>Oyigbo</t>
  </si>
  <si>
    <t>Port Harcourt &gt; Oyigbo: 16 | Return Oyigbo &gt; Port Harcourt: 16</t>
  </si>
  <si>
    <t>Okrika</t>
  </si>
  <si>
    <t>Port Harcourt &gt; Okrika: 14 | Return Okrika &gt; Port Harcourt: 14</t>
  </si>
  <si>
    <t>Ogoni (Bori)</t>
  </si>
  <si>
    <t>PH Airport Road</t>
  </si>
  <si>
    <t>Port Harcourt &gt; PH Airport Road: 19 | Return PH Airport Road &gt; Port Harcourt: 19</t>
  </si>
  <si>
    <t>Eleme</t>
  </si>
  <si>
    <t>Port Harcourt &gt; Eleme: 12 | Return Eleme &gt; Port Harcourt: 12</t>
  </si>
  <si>
    <t>Rumuokwurusi</t>
  </si>
  <si>
    <t>GRA–Trans-Amadi</t>
  </si>
  <si>
    <t>Port Harcourt &gt; Rumuokwurusi: 7 | Return Rumuokwurusi &gt; Port Harcourt: 7</t>
  </si>
  <si>
    <t>Rumuepirikom</t>
  </si>
  <si>
    <t>Port Harcourt &gt; Rumuepirikom: 14 | Return Rumuepirikom &gt; Port Harcourt: 14</t>
  </si>
  <si>
    <t>Ogbunabali</t>
  </si>
  <si>
    <t>Port Harcourt &gt; Ogbunabali: 3 | Return Ogbunabali &gt; Port Harcourt: 3</t>
  </si>
  <si>
    <t>Elekahia</t>
  </si>
  <si>
    <t>Port Harcourt &gt; Elekahia: 5 | Return Elekahia &gt; Port Harcourt: 5</t>
  </si>
  <si>
    <t>Trans-Amadi</t>
  </si>
  <si>
    <t>Trans Amadi</t>
  </si>
  <si>
    <t>Port Harcourt &gt; Trans Amadi: 3 | Return Trans Amadi &gt; Port Harcourt: 3</t>
  </si>
  <si>
    <t>Abuja &gt; Mubi: 860 | Return Mubi &gt; Abuja: 860</t>
  </si>
  <si>
    <t>Measured from JMG Abuja (client main location); sheet lists JMG Gbagada as loading point</t>
  </si>
  <si>
    <t>Abuja &gt; Maiduguri: 921 | Return Maiduguri &gt; Abuja: 921</t>
  </si>
  <si>
    <t>Abuja &gt; Yola: 730 | Return Yola &gt; Abuja: 730</t>
  </si>
  <si>
    <t>Yobe (Damaturu)</t>
  </si>
  <si>
    <t>Damaturu</t>
  </si>
  <si>
    <t>Abuja &gt; Damaturu: 762 | Return Damaturu &gt; Abuja: 762</t>
  </si>
  <si>
    <t>Lagos (Gbagada)</t>
  </si>
  <si>
    <t>Abuja &gt; Lagos (Gbagada): 740 | Return Lagos (Gbagada) &gt; Abuja: 740</t>
  </si>
  <si>
    <t>Abuja &gt; Port Harcourt: 631 | Return Port Harcourt &gt; Abuja: 631</t>
  </si>
  <si>
    <t>Abuja &gt; Abeokuta: 703 | Return Abeokuta &gt; Abuja: 703</t>
  </si>
  <si>
    <t>Abuja &gt; Birnin Kebbi: 694 | Return Birnin Kebbi &gt; Abuja: 694</t>
  </si>
  <si>
    <t>Abuja &gt; Sokoto: 676 | Return Sokoto &gt; Abuja: 676</t>
  </si>
  <si>
    <t>Abuja &gt; Jalingo: 565 | Return Jalingo &gt; Abuja: 565</t>
  </si>
  <si>
    <t>Abuja &gt; Warri: 583 | Return Warri &gt; Abuja: 583</t>
  </si>
  <si>
    <t>Abuja &gt; Ibadan: 612 | Return Ibadan &gt; Abuja: 612</t>
  </si>
  <si>
    <t>Abuja &gt; Gombe: 565 | Return Gombe &gt; Abuja: 565</t>
  </si>
  <si>
    <t>Zamfara (Gusau)</t>
  </si>
  <si>
    <t>Abuja &gt; Gusau: 476 | Return Gusau &gt; Abuja: 476</t>
  </si>
  <si>
    <t>Abuja &gt; Benin City: 487 | Return Benin City &gt; Abuja: 487</t>
  </si>
  <si>
    <t>Abuja &gt; Kano: 460 | Return Kano &gt; Abuja: 460</t>
  </si>
  <si>
    <t>Abuja &gt; Bauchi: 389 | Return Bauchi &gt; Abuja: 389</t>
  </si>
  <si>
    <t>Abuja &gt; Gboko: 338 | Return Gboko &gt; Abuja: 338</t>
  </si>
  <si>
    <t>Ankpa</t>
  </si>
  <si>
    <t>Abuja &gt; Ankpa: 240 | Return Ankpa &gt; Abuja: 240</t>
  </si>
  <si>
    <t>Abuja &gt; Idah: 302 | Return Idah &gt; Abuja: 302</t>
  </si>
  <si>
    <t>Abuja &gt; Makurdi: 241 | Return Makurdi &gt; Abuja: 241</t>
  </si>
  <si>
    <t>Abuja &gt; Otukpo: 285 | Return Otukpo &gt; Abuja: 285</t>
  </si>
  <si>
    <t>Abuja &gt; Okene: 283 | Return Okene &gt; Abuja: 283</t>
  </si>
  <si>
    <t>Abuja &gt; Jos: 229 | Return Jos &gt; Abuja: 229</t>
  </si>
  <si>
    <t>Obajana</t>
  </si>
  <si>
    <t>Abuja &gt; Obajana: 224 | Return Obajana &gt; Abuja: 224</t>
  </si>
  <si>
    <t>Abuja &gt; Lokoja: 211 | Return Lokoja &gt; Abuja: 211</t>
  </si>
  <si>
    <t>Abuja &gt; Kaduna: 212 | Return Kaduna &gt; Abuja: 212</t>
  </si>
  <si>
    <t>Abuja &gt; Lafia: 167 | Return Lafia &gt; Abuja: 167</t>
  </si>
  <si>
    <t>Abuja &gt; Minna: 157 | Return Minna &gt; Abuja: 157</t>
  </si>
  <si>
    <t>Abuja &gt; Keffi: 62 | Return Keffi &gt; Abuja: 62</t>
  </si>
  <si>
    <t>Abuja &gt; Suleja: 51 | Return Suleja &gt; Abuja: 51</t>
  </si>
  <si>
    <t>Gwagwalada</t>
  </si>
  <si>
    <t>Abuja &gt; Gwagwalada: 61 | Return Gwagwalada &gt; Abuja: 61</t>
  </si>
  <si>
    <t>Karshi</t>
  </si>
  <si>
    <t>Nyanya–Karu</t>
  </si>
  <si>
    <t>Abuja &gt; Karshi: 36 | Return Karshi &gt; Abuja: 36</t>
  </si>
  <si>
    <t>Zuba</t>
  </si>
  <si>
    <t>Kubwa–Bwari</t>
  </si>
  <si>
    <t>Abuja &gt; Zuba: 43 | Return Zuba &gt; Abuja: 43</t>
  </si>
  <si>
    <t>Bwari</t>
  </si>
  <si>
    <t>Abuja &gt; Bwari: 38 | Return Bwari &gt; Abuja: 38</t>
  </si>
  <si>
    <t>Kuje</t>
  </si>
  <si>
    <t>Airport Road–Lugbe</t>
  </si>
  <si>
    <t>Abuja &gt; Kuje: 49 | Return Kuje &gt; Abuja: 49</t>
  </si>
  <si>
    <t>Kurudu</t>
  </si>
  <si>
    <t>Abuja &gt; Kurudu: 17 | Return Kurudu &gt; Abuja: 17</t>
  </si>
  <si>
    <t>Kubwa</t>
  </si>
  <si>
    <t>Abuja &gt; Kubwa: 28 | Return Kubwa &gt; Abuja: 28</t>
  </si>
  <si>
    <t>Jega</t>
  </si>
  <si>
    <t>Measured from JMG Abuja (client main location); sheet lists JMG Gbagada as loading point; Place not recognised - send the exact location/address and it will be filled in</t>
  </si>
  <si>
    <t>Mararaba</t>
  </si>
  <si>
    <t>Abuja &gt; Mararaba: 17 | Return Mararaba &gt; Abuja: 17</t>
  </si>
  <si>
    <t>Karu</t>
  </si>
  <si>
    <t>Abuja &gt; Karu: 14 | Return Karu &gt; Abuja: 14</t>
  </si>
  <si>
    <t>Jikwoyi</t>
  </si>
  <si>
    <t>Abuja &gt; Jikwoyi: 15 | Return Jikwoyi &gt; Abuja: 15</t>
  </si>
  <si>
    <t>Nyanya</t>
  </si>
  <si>
    <t>Abuja &gt; Nyanya: 13 | Return Nyanya &gt; Abuja: 13</t>
  </si>
  <si>
    <t>Kasana</t>
  </si>
  <si>
    <t>Abuja &gt; Kasana: 21 | Return Kasana &gt; Abuja: 21</t>
  </si>
  <si>
    <t>River Park</t>
  </si>
  <si>
    <t>Abuja &gt; River Park: 14 | Return River Park &gt; Abuja: 14</t>
  </si>
  <si>
    <t>Pyakasa</t>
  </si>
  <si>
    <t>Abuja &gt; Pyakasa: 22 | Return Pyakasa &gt; Abuja: 22</t>
  </si>
  <si>
    <t>Abuja Airport Road</t>
  </si>
  <si>
    <t>Abuja &gt; Abuja Airport Road: 18 | Return Abuja Airport Road &gt; Abuja: 18</t>
  </si>
  <si>
    <t>Dutse Alhaji</t>
  </si>
  <si>
    <t>Abuja &gt; Dutse Alhaji: 18 | Return Dutse Alhaji &gt; Abuja: 18</t>
  </si>
  <si>
    <t>Lugbe</t>
  </si>
  <si>
    <t>Abuja &gt; Lugbe: 21 | Return Lugbe &gt; Abuja: 21</t>
  </si>
  <si>
    <t>Lokogoma</t>
  </si>
  <si>
    <t>Apo–Lokogoma</t>
  </si>
  <si>
    <t>Abuja &gt; Lokogoma: 12 | Return Lokogoma &gt; Abuja: 12</t>
  </si>
  <si>
    <t>Aya (Asokoro)</t>
  </si>
  <si>
    <t>City Centre</t>
  </si>
  <si>
    <t>Abuja &gt; Aya (Asokoro): 6 | Return Aya (Asokoro) &gt; Abuja: 6</t>
  </si>
  <si>
    <t>Apo Mechanic Village</t>
  </si>
  <si>
    <t>Abuja &gt; Apo Mechanic Village: 11 | Return Apo Mechanic Village &gt; Abuja: 11</t>
  </si>
  <si>
    <t>Abuja &gt; Bida: 211 | Return Bida &gt; Abuja: 211</t>
  </si>
  <si>
    <t>Sunnyvale</t>
  </si>
  <si>
    <t>Abuja &gt; Sunnyvale: 15 | Return Sunnyvale &gt; Abuja: 15</t>
  </si>
  <si>
    <t>Asokoro</t>
  </si>
  <si>
    <t>Abuja &gt; Asokoro: 5 | Return Asokoro &gt; Abuja: 5</t>
  </si>
  <si>
    <t>Karmo</t>
  </si>
  <si>
    <t>Jabi–Gwarinpa</t>
  </si>
  <si>
    <t>Abuja &gt; Karmo: 16 | Return Karmo &gt; Abuja: 16</t>
  </si>
  <si>
    <t>Mpape</t>
  </si>
  <si>
    <t>Abuja &gt; Mpape: 10 | Return Mpape &gt; Abuja: 10</t>
  </si>
  <si>
    <t>Guzape</t>
  </si>
  <si>
    <t>Abuja &gt; Guzape: 8 | Return Guzape &gt; Abuja: 8</t>
  </si>
  <si>
    <t>Sun City</t>
  </si>
  <si>
    <t>Abuja &gt; Sun City: 13 | Return Sun City &gt; Abuja: 13</t>
  </si>
  <si>
    <t>Garki 2</t>
  </si>
  <si>
    <t>Abuja &gt; Garki 2: 4 | Return Garki 2 &gt; Abuja: 4</t>
  </si>
  <si>
    <t>Galadimawa</t>
  </si>
  <si>
    <t>Abuja &gt; Galadimawa: 15 | Return Galadimawa &gt; Abuja: 15</t>
  </si>
  <si>
    <t>Area 11, Garki</t>
  </si>
  <si>
    <t>Area 11 Garki</t>
  </si>
  <si>
    <t>Abuja &gt; Area 11 Garki: 3 | Return Area 11 Garki &gt; Abuja: 3</t>
  </si>
  <si>
    <t>EFAB (Lokogoma)</t>
  </si>
  <si>
    <t>Abuja &gt; EFAB (Lokogoma): 12 | Return EFAB (Lokogoma) &gt; Abuja: 12</t>
  </si>
  <si>
    <t>Dei-Dei</t>
  </si>
  <si>
    <t>Dei Dei</t>
  </si>
  <si>
    <t>Abuja &gt; Dei Dei: 32 | Return Dei Dei &gt; Abuja: 32</t>
  </si>
  <si>
    <t>Games Village</t>
  </si>
  <si>
    <t>Abuja &gt; Games Village: 9 | Return Games Village &gt; Abuja: 9</t>
  </si>
  <si>
    <t>CITEC (Mbora)</t>
  </si>
  <si>
    <t>Abuja &gt; CITEC (Mbora): 12 | Return CITEC (Mbora) &gt; Abuja: 12</t>
  </si>
  <si>
    <t>Gudu</t>
  </si>
  <si>
    <t>Abuja &gt; Gudu: 8 | Return Gudu &gt; Abuja: 8</t>
  </si>
  <si>
    <t>Gwarinpa</t>
  </si>
  <si>
    <t>Abuja &gt; Gwarinpa: 16 | Return Gwarinpa &gt; Abuja: 16</t>
  </si>
  <si>
    <t>Apo</t>
  </si>
  <si>
    <t>Abuja &gt; Apo: 9 | Return Apo &gt; Abuja: 9</t>
  </si>
  <si>
    <t>Apo - Gudu</t>
  </si>
  <si>
    <t>Apo &gt; Gudu</t>
  </si>
  <si>
    <t>Abuja &gt; Apo: 9 | Apo &gt; Gudu: 5 | Return Gudu &gt; Abuja: 8</t>
  </si>
  <si>
    <t>Measured from JMG Abuja (client main location); sheet lists JMG Gbagada as loading point; Multi-drop: Leg 1 = sum of drop-to-drop legs</t>
  </si>
  <si>
    <t>Maitama</t>
  </si>
  <si>
    <t>Abuja &gt; Maitama: 5 | Return Maitama &gt; Abuja: 5</t>
  </si>
  <si>
    <t>Life Camp</t>
  </si>
  <si>
    <t>Abuja &gt; Life Camp: 12 | Return Life Camp &gt; Abuja: 12</t>
  </si>
  <si>
    <t>Kado</t>
  </si>
  <si>
    <t>Abuja &gt; Kado: 10 | Return Kado &gt; Abuja: 10</t>
  </si>
  <si>
    <t>Katampe</t>
  </si>
  <si>
    <t>Abuja &gt; Katampe: 11 | Return Katampe &gt; Abuja: 11</t>
  </si>
  <si>
    <t>Durumi</t>
  </si>
  <si>
    <t>Abuja &gt; Durumi: 7 | Return Durumi &gt; Abuja: 7</t>
  </si>
  <si>
    <t>Wuse</t>
  </si>
  <si>
    <t>Abuja &gt; Wuse: 4 | Return Wuse &gt; Abuja: 4</t>
  </si>
  <si>
    <t>Wuse 2</t>
  </si>
  <si>
    <t>Abuja &gt; Wuse 2: 5 | Return Wuse 2 &gt; Abuja: 5</t>
  </si>
  <si>
    <t>Jabi</t>
  </si>
  <si>
    <t>Abuja &gt; Jabi: 12 | Return Jabi &gt; Abuja: 12</t>
  </si>
  <si>
    <t>Wuse Zone 6</t>
  </si>
  <si>
    <t>Wuse Zone 5</t>
  </si>
  <si>
    <t>Utako</t>
  </si>
  <si>
    <t>Abuja &gt; Utako: 8 | Return Utako &gt; Abuja: 8</t>
  </si>
  <si>
    <t>JMG Gbagada &gt; Uyo: 681 | Return Uyo &gt; JMG Gbagada: 681</t>
  </si>
  <si>
    <t>JMG Gbagada &gt; Awka: 512 | Return Awka &gt; JMG Gbagada: 512</t>
  </si>
  <si>
    <t>JMG Gbagada &gt; Onitsha: 472 | Return Onitsha &gt; JMG Gbagada: 472</t>
  </si>
  <si>
    <t>JMG Gbagada &gt; Warri: 423 | Return Warri &gt; JMG Gbagada: 423</t>
  </si>
  <si>
    <t>JMG Gbagada &gt; Iseyin: 206 | Return Iseyin &gt; JMG Gbagada: 206</t>
  </si>
  <si>
    <t>Ile-Ife</t>
  </si>
  <si>
    <t>Ile Ife</t>
  </si>
  <si>
    <t>JMG Gbagada &gt; Ile Ife: 215 | Return Ile Ife &gt; JMG Gbagada: 215</t>
  </si>
  <si>
    <t>Ogun (Abeokuta)</t>
  </si>
  <si>
    <t>Okokomaiko</t>
  </si>
  <si>
    <t>JMG Gbagada &gt; Okokomaiko: 32 | Return Okokomaiko &gt; JMG Gbagada: 32</t>
  </si>
  <si>
    <t>JMG Gbagada &gt; Mowe: 39 | Return Mowe &gt; JMG Gbagada: 39</t>
  </si>
  <si>
    <t>Trade Fair</t>
  </si>
  <si>
    <t>JMG Gbagada &gt; Trade Fair: 25 | Return Trade Fair &gt; JMG Gbagada: 25</t>
  </si>
  <si>
    <t>Bar Beach</t>
  </si>
  <si>
    <t>JMG Gbagada &gt; Bar Beach: 22 | Return Bar Beach &gt; JMG Gbagada: 22</t>
  </si>
  <si>
    <t>Adeola Odeku</t>
  </si>
  <si>
    <t>JMG Gbagada &gt; Adeola Odeku: 20 | Return Adeola Odeku &gt; JMG Gbagada: 20</t>
  </si>
  <si>
    <t>Dembal</t>
  </si>
  <si>
    <t>Iyana Ipaja</t>
  </si>
  <si>
    <t>JMG Gbagada &gt; Iyana Ipaja: 18 | Return Iyana Ipaja &gt; JMG Gbagada: 18</t>
  </si>
  <si>
    <t>Jankara</t>
  </si>
  <si>
    <t>JMG Gbagada &gt; Jankara: 15 | Return Jankara &gt; JMG Gbagada: 15</t>
  </si>
  <si>
    <t>Orile</t>
  </si>
  <si>
    <t>JMG Gbagada &gt; Orile: 14 | Return Orile &gt; JMG Gbagada: 14</t>
  </si>
  <si>
    <t>JMG Gbagada &gt; Ogba: 13 | Return Ogba &gt; JMG Gbagada: 13</t>
  </si>
  <si>
    <t>Ebute Metta</t>
  </si>
  <si>
    <t>JMG Gbagada &gt; Ebute Metta: 11 | Return Ebute Metta &gt; JMG Gbagada: 11</t>
  </si>
  <si>
    <t>Nigerian Gas</t>
  </si>
  <si>
    <t>Ikeja Branch</t>
  </si>
  <si>
    <t>Alapere</t>
  </si>
  <si>
    <t>JMG Gbagada &gt; Alapere: 5 | Return Alapere &gt; JMG Gbagada: 5</t>
  </si>
  <si>
    <t>Kodesho</t>
  </si>
  <si>
    <t>JMG Gbagada &gt; Kodesho: 9 | Return Kodesho &gt; JMG Gbagada: 9</t>
  </si>
  <si>
    <t>Bariga</t>
  </si>
  <si>
    <t>JMG Gbagada &gt; Bariga: 3 | Return Bariga &gt; JMG Gbagada: 3</t>
  </si>
  <si>
    <t>JMG-8T-Hiabs Logistics-Upcountry</t>
  </si>
  <si>
    <t>JMG-8T-Hiabs Logistics-Local</t>
  </si>
  <si>
    <t>Destination</t>
  </si>
  <si>
    <t>Region</t>
  </si>
  <si>
    <t>Clients on this lane</t>
  </si>
  <si>
    <t>Givanas, SASO</t>
  </si>
  <si>
    <t>Mega Manu, Mega Manu-Local</t>
  </si>
  <si>
    <t>Interstyle, NIGER BISCUIT</t>
  </si>
  <si>
    <t>Mega Manu, NIGER BISCUIT</t>
  </si>
  <si>
    <t>Mega Manu, NIGER BISCUIT, VANDERA</t>
  </si>
  <si>
    <t>Interstyle, Mega Manu, NIGER BISCUIT</t>
  </si>
  <si>
    <t>Mega Manu, VANDERA</t>
  </si>
  <si>
    <t>JAMARA, JMG, Jamara</t>
  </si>
  <si>
    <t>JAMARA, JMG</t>
  </si>
  <si>
    <t>I'HS, JAMARA, JMG, Jamara</t>
  </si>
  <si>
    <t>I'HS, JMG</t>
  </si>
  <si>
    <t>JMG, Jamara</t>
  </si>
  <si>
    <t>I'HS, JAMARA, JMG</t>
  </si>
  <si>
    <t>JAT, Lebruni</t>
  </si>
  <si>
    <t>JMG, WALTER &amp; Hiffy</t>
  </si>
  <si>
    <t>State</t>
  </si>
  <si>
    <t>Depot</t>
  </si>
  <si>
    <t>Zone (Route)</t>
  </si>
  <si>
    <t>Route Description</t>
  </si>
  <si>
    <t>No. of Areas</t>
  </si>
  <si>
    <t>Zone Centre</t>
  </si>
  <si>
    <t>Centre - Outbound KM</t>
  </si>
  <si>
    <t>Centre - Return KM</t>
  </si>
  <si>
    <t>Centre - Round Trip KM</t>
  </si>
  <si>
    <t>Far End of Zone</t>
  </si>
  <si>
    <t>Far End - Outbound KM</t>
  </si>
  <si>
    <t>Far End - Return KM</t>
  </si>
  <si>
    <t>Far End - Round Trip KM</t>
  </si>
  <si>
    <t>Central and western mainland</t>
  </si>
  <si>
    <t>Alagbado</t>
  </si>
  <si>
    <t>VI, Ikoyi, Lagos Island, Lekki Phase 1</t>
  </si>
  <si>
    <t>Ikoyi / Lagos Island</t>
  </si>
  <si>
    <t>Lekki Phase 1</t>
  </si>
  <si>
    <t>Lekki–Epe Expressway, tollgate to Sangotedo</t>
  </si>
  <si>
    <t>Awoyaya</t>
  </si>
  <si>
    <t>Ikorodu town and corridor beyond Mile 12</t>
  </si>
  <si>
    <t>Ikorodu Garage</t>
  </si>
  <si>
    <t>Imota</t>
  </si>
  <si>
    <t>Lagos–Badagry Expressway</t>
  </si>
  <si>
    <t>Ojo / LASU</t>
  </si>
  <si>
    <t>Seme</t>
  </si>
  <si>
    <t>Far east, past Lakowe</t>
  </si>
  <si>
    <t>Lekki FTZ / Dangote Refinery</t>
  </si>
  <si>
    <t>Ejirin</t>
  </si>
  <si>
    <t>JMG Port Harcourt</t>
  </si>
  <si>
    <t>PH Township</t>
  </si>
  <si>
    <t>Old town and waterfront</t>
  </si>
  <si>
    <t>Town / Mile 1</t>
  </si>
  <si>
    <t>Borokiri</t>
  </si>
  <si>
    <t>New GRA, Trans-Amadi industrial and Woji axis</t>
  </si>
  <si>
    <t>Elelenwo</t>
  </si>
  <si>
    <t>Obio/Akpor, East-West Road to Choba</t>
  </si>
  <si>
    <t>Rumuokoro</t>
  </si>
  <si>
    <t>Aluu</t>
  </si>
  <si>
    <t>Airport corridor, Igwuruta and Omagwa</t>
  </si>
  <si>
    <t>Igwuruta</t>
  </si>
  <si>
    <t>East: refinery, Onne port and Oyigbo</t>
  </si>
  <si>
    <t>Eleme / Alesa</t>
  </si>
  <si>
    <t>Afam</t>
  </si>
  <si>
    <t>JMG Abuja</t>
  </si>
  <si>
    <t>Phase 1: CBD, Garki, Wuse, Maitama, Asokoro</t>
  </si>
  <si>
    <t>Central Business District</t>
  </si>
  <si>
    <t>Phase 2/3 west and north-west</t>
  </si>
  <si>
    <t>Dape</t>
  </si>
  <si>
    <t>South: Apo, Gudu, Lokogoma axis</t>
  </si>
  <si>
    <t>Apo / Gudu</t>
  </si>
  <si>
    <t>Kabusa</t>
  </si>
  <si>
    <t>Airport expressway south-west</t>
  </si>
  <si>
    <t>North: Kubwa expressway to Bwari</t>
  </si>
  <si>
    <t>East: Abuja–Keffi Road</t>
  </si>
  <si>
    <t>Masaka</t>
  </si>
  <si>
    <t>Kano hub (city centre - confirm)</t>
  </si>
  <si>
    <t>Nassarawa–Sabon Gari</t>
  </si>
  <si>
    <t>GRA, Bompai, Sabon Gari and Fagge</t>
  </si>
  <si>
    <t>Sabon Gari</t>
  </si>
  <si>
    <t>Dakata</t>
  </si>
  <si>
    <t>Tarauni–Zoo Road</t>
  </si>
  <si>
    <t>South-central: Zoo Road, Hausawa, Unguwa Uku</t>
  </si>
  <si>
    <t>Zoo Road</t>
  </si>
  <si>
    <t>Hotoro South</t>
  </si>
  <si>
    <t>Kumbotso–BUK New Site</t>
  </si>
  <si>
    <t>South-west: Panshekara, Chalawa, BUK New Campus</t>
  </si>
  <si>
    <t>Panshekara</t>
  </si>
  <si>
    <t>Janguza</t>
  </si>
  <si>
    <t>Ungogo–Rijiyar Zaki</t>
  </si>
  <si>
    <t>North-west: BUK Old Site and Ungogo</t>
  </si>
  <si>
    <t>Rijiyar Zaki</t>
  </si>
  <si>
    <t>Ungogo</t>
  </si>
  <si>
    <t>Hotoro–Maiduguri Road</t>
  </si>
  <si>
    <t>East along Maiduguri Road</t>
  </si>
  <si>
    <t>Hotoro</t>
  </si>
  <si>
    <t>Mariri</t>
  </si>
  <si>
    <t>Area</t>
  </si>
  <si>
    <t>Ikeja GRA</t>
  </si>
  <si>
    <t>Alausa</t>
  </si>
  <si>
    <t>Allen Avenue</t>
  </si>
  <si>
    <t>Opebi</t>
  </si>
  <si>
    <t>Oregun</t>
  </si>
  <si>
    <t>Maryland</t>
  </si>
  <si>
    <t>Agidingbi</t>
  </si>
  <si>
    <t>Omole</t>
  </si>
  <si>
    <t>Berger</t>
  </si>
  <si>
    <t>Isheri</t>
  </si>
  <si>
    <t>Mile 12</t>
  </si>
  <si>
    <t>Ikosi</t>
  </si>
  <si>
    <t>Anthony</t>
  </si>
  <si>
    <t>Ifako</t>
  </si>
  <si>
    <t>Oworonshoki</t>
  </si>
  <si>
    <t>Shomolu</t>
  </si>
  <si>
    <t>Palmgrove</t>
  </si>
  <si>
    <t>Onipanu</t>
  </si>
  <si>
    <t>Idi-Araba</t>
  </si>
  <si>
    <t>Sabo</t>
  </si>
  <si>
    <t>Akoka</t>
  </si>
  <si>
    <t>Oyingbo</t>
  </si>
  <si>
    <t>Iddo</t>
  </si>
  <si>
    <t>Otto</t>
  </si>
  <si>
    <t>Ojuelegba</t>
  </si>
  <si>
    <t>Aguda</t>
  </si>
  <si>
    <t>Itire</t>
  </si>
  <si>
    <t>Lawanson</t>
  </si>
  <si>
    <t>Costain</t>
  </si>
  <si>
    <t>Ijora</t>
  </si>
  <si>
    <t>Ajegunle</t>
  </si>
  <si>
    <t>Satellite Town</t>
  </si>
  <si>
    <t>Ogba-Ijaiye</t>
  </si>
  <si>
    <t>Iju</t>
  </si>
  <si>
    <t>Ifako-Ijaiye</t>
  </si>
  <si>
    <t>Egbeda</t>
  </si>
  <si>
    <t>Idimu</t>
  </si>
  <si>
    <t>Igando</t>
  </si>
  <si>
    <t>Ayobo</t>
  </si>
  <si>
    <t>Akowonjo</t>
  </si>
  <si>
    <t>Iyana Oworo</t>
  </si>
  <si>
    <t>Obanikoro</t>
  </si>
  <si>
    <t>Ilasamaja</t>
  </si>
  <si>
    <t>Victoria Island (VI)</t>
  </si>
  <si>
    <t>Ikoyi</t>
  </si>
  <si>
    <t>Banana Island</t>
  </si>
  <si>
    <t>Parkview</t>
  </si>
  <si>
    <t>Obalende</t>
  </si>
  <si>
    <t>Broad Street</t>
  </si>
  <si>
    <t>CMS</t>
  </si>
  <si>
    <t>Idumota</t>
  </si>
  <si>
    <t>Balogun</t>
  </si>
  <si>
    <t>Eko Atlantic</t>
  </si>
  <si>
    <t>Osborne</t>
  </si>
  <si>
    <t>Dolphin Estate</t>
  </si>
  <si>
    <t>Ademola Adetokunbo</t>
  </si>
  <si>
    <t>Ikate</t>
  </si>
  <si>
    <t>Elegushi</t>
  </si>
  <si>
    <t>Chevron</t>
  </si>
  <si>
    <t>Lekki Phase 2</t>
  </si>
  <si>
    <t>Agungi</t>
  </si>
  <si>
    <t>Osapa London</t>
  </si>
  <si>
    <t>Jakande</t>
  </si>
  <si>
    <t>Ologolo</t>
  </si>
  <si>
    <t>Igbo Efon</t>
  </si>
  <si>
    <t>Idado</t>
  </si>
  <si>
    <t>Salem</t>
  </si>
  <si>
    <t>Ikota</t>
  </si>
  <si>
    <t>VGC</t>
  </si>
  <si>
    <t>Badore</t>
  </si>
  <si>
    <t>Addo</t>
  </si>
  <si>
    <t>Abraham Adesanya</t>
  </si>
  <si>
    <t>Thomas Estate</t>
  </si>
  <si>
    <t>Ado</t>
  </si>
  <si>
    <t>Sangotedo</t>
  </si>
  <si>
    <t>Abijo</t>
  </si>
  <si>
    <t>Lakowe</t>
  </si>
  <si>
    <t>Owutu</t>
  </si>
  <si>
    <t>Agric</t>
  </si>
  <si>
    <t>Ogolonto</t>
  </si>
  <si>
    <t>Ijede</t>
  </si>
  <si>
    <t>Igbogbo</t>
  </si>
  <si>
    <t>Ebute</t>
  </si>
  <si>
    <t>Ibeshe</t>
  </si>
  <si>
    <t>Odogunyan</t>
  </si>
  <si>
    <t>Isawo</t>
  </si>
  <si>
    <t>Bayeku</t>
  </si>
  <si>
    <t>Elepe</t>
  </si>
  <si>
    <t>Lagos Road</t>
  </si>
  <si>
    <t>Sagamu Road</t>
  </si>
  <si>
    <t>Irawo</t>
  </si>
  <si>
    <t>Maidan</t>
  </si>
  <si>
    <t>Ita Oluwo</t>
  </si>
  <si>
    <t>Iyana Iba</t>
  </si>
  <si>
    <t>LASU</t>
  </si>
  <si>
    <t>Igbo Elerin</t>
  </si>
  <si>
    <t>Iba</t>
  </si>
  <si>
    <t>Abule Ado</t>
  </si>
  <si>
    <t>Morogbo</t>
  </si>
  <si>
    <t>Ijanikin</t>
  </si>
  <si>
    <t>Badagry</t>
  </si>
  <si>
    <t>Ibeju-Lekki</t>
  </si>
  <si>
    <t>Bogije</t>
  </si>
  <si>
    <t>Eleko</t>
  </si>
  <si>
    <t>Lekki Free Trade Zone</t>
  </si>
  <si>
    <t>Dangote Refinery</t>
  </si>
  <si>
    <t>Akodo</t>
  </si>
  <si>
    <t>Poka</t>
  </si>
  <si>
    <t>Itoikin</t>
  </si>
  <si>
    <t>Town</t>
  </si>
  <si>
    <t>Old GRA</t>
  </si>
  <si>
    <t>D-Line</t>
  </si>
  <si>
    <t>Diobu</t>
  </si>
  <si>
    <t>Mile 1</t>
  </si>
  <si>
    <t>Mile 3</t>
  </si>
  <si>
    <t>Marine Base</t>
  </si>
  <si>
    <t>Moscow Road</t>
  </si>
  <si>
    <t>Creek Road</t>
  </si>
  <si>
    <t>Abonnema Wharf</t>
  </si>
  <si>
    <t>Nzimiro</t>
  </si>
  <si>
    <t>Harbour Road</t>
  </si>
  <si>
    <t>Aggrey Road</t>
  </si>
  <si>
    <t>Azikiwe Road</t>
  </si>
  <si>
    <t>Bonny Street</t>
  </si>
  <si>
    <t>New GRA</t>
  </si>
  <si>
    <t>GRA Phase 2</t>
  </si>
  <si>
    <t>GRA Phase 3</t>
  </si>
  <si>
    <t>Rumuomasi</t>
  </si>
  <si>
    <t>Rumuola</t>
  </si>
  <si>
    <t>Rumuobiakani</t>
  </si>
  <si>
    <t>Amadi-Ama</t>
  </si>
  <si>
    <t>Woji</t>
  </si>
  <si>
    <t>Rumuogba</t>
  </si>
  <si>
    <t>Rumuibekwe</t>
  </si>
  <si>
    <t>Stadium Road</t>
  </si>
  <si>
    <t>Peter Odili Road</t>
  </si>
  <si>
    <t>Abuloma</t>
  </si>
  <si>
    <t>Oginigba</t>
  </si>
  <si>
    <t>Slaughter</t>
  </si>
  <si>
    <t>Rumuodara</t>
  </si>
  <si>
    <t>Rumuokwuta</t>
  </si>
  <si>
    <t>Rumuigbo</t>
  </si>
  <si>
    <t>Rumukrushi</t>
  </si>
  <si>
    <t>Eliozu</t>
  </si>
  <si>
    <t>Rumuodomaya</t>
  </si>
  <si>
    <t>Rumuagholu</t>
  </si>
  <si>
    <t>Ada George</t>
  </si>
  <si>
    <t>Mgbuoba</t>
  </si>
  <si>
    <t>Rumueme</t>
  </si>
  <si>
    <t>Nkpolu</t>
  </si>
  <si>
    <t>Iwofe</t>
  </si>
  <si>
    <t>Rumuolumeni</t>
  </si>
  <si>
    <t>Rumualogu</t>
  </si>
  <si>
    <t>Ozuoba</t>
  </si>
  <si>
    <t>Rumuosi</t>
  </si>
  <si>
    <t>Rumuekini</t>
  </si>
  <si>
    <t>Rumuokoro Junction (Airport side)</t>
  </si>
  <si>
    <t>Omuanwa</t>
  </si>
  <si>
    <t>Chinda</t>
  </si>
  <si>
    <t>Rumuewhor</t>
  </si>
  <si>
    <t>Sars Road</t>
  </si>
  <si>
    <t>Alesa</t>
  </si>
  <si>
    <t>Aleto</t>
  </si>
  <si>
    <t>Akpajo</t>
  </si>
  <si>
    <t>Ebubu</t>
  </si>
  <si>
    <t>Agbonchia</t>
  </si>
  <si>
    <t>Komkom</t>
  </si>
  <si>
    <t>Obigbo</t>
  </si>
  <si>
    <t>Three Arms Zone</t>
  </si>
  <si>
    <t>Garki</t>
  </si>
  <si>
    <t>Area 1</t>
  </si>
  <si>
    <t>Area 2</t>
  </si>
  <si>
    <t>Area 3</t>
  </si>
  <si>
    <t>Area 7</t>
  </si>
  <si>
    <t>Area 8</t>
  </si>
  <si>
    <t>Area 10</t>
  </si>
  <si>
    <t>Area 11</t>
  </si>
  <si>
    <t>Wuse Zone 1–7</t>
  </si>
  <si>
    <t>Wuse II</t>
  </si>
  <si>
    <t>Berger (Abuja)</t>
  </si>
  <si>
    <t>Wuye</t>
  </si>
  <si>
    <t>Mabushi</t>
  </si>
  <si>
    <t>Jahi</t>
  </si>
  <si>
    <t>Dawaki</t>
  </si>
  <si>
    <t>Kafe</t>
  </si>
  <si>
    <t>Idu</t>
  </si>
  <si>
    <t>Dakibiyu</t>
  </si>
  <si>
    <t>Kaura</t>
  </si>
  <si>
    <t>Wumba</t>
  </si>
  <si>
    <t>Dakwo</t>
  </si>
  <si>
    <t>Gaduwa</t>
  </si>
  <si>
    <t>Lokogoma Extension</t>
  </si>
  <si>
    <t>Sabon Lugbe</t>
  </si>
  <si>
    <t>Chika</t>
  </si>
  <si>
    <t>Aleita</t>
  </si>
  <si>
    <t>Piwoyi</t>
  </si>
  <si>
    <t>Kuchigoro</t>
  </si>
  <si>
    <t>Airport (Nnamdi Azikiwe)</t>
  </si>
  <si>
    <t>Gosa</t>
  </si>
  <si>
    <t>Pegi</t>
  </si>
  <si>
    <t>Byazhin</t>
  </si>
  <si>
    <t>Ushafa</t>
  </si>
  <si>
    <t>Kagini</t>
  </si>
  <si>
    <t>Gbazango</t>
  </si>
  <si>
    <t>Arab Road</t>
  </si>
  <si>
    <t>Orozo</t>
  </si>
  <si>
    <t>New Karu*</t>
  </si>
  <si>
    <t>Mararaba*</t>
  </si>
  <si>
    <t>Masaka*</t>
  </si>
  <si>
    <t>One Man Village*</t>
  </si>
  <si>
    <t>Bompai</t>
  </si>
  <si>
    <t>Fagge</t>
  </si>
  <si>
    <t>Gwagwarwa</t>
  </si>
  <si>
    <t>Tudun Murtala</t>
  </si>
  <si>
    <t>Kawo</t>
  </si>
  <si>
    <t>Badawa</t>
  </si>
  <si>
    <t>Tudun Wada (Nassarawa)</t>
  </si>
  <si>
    <t>Race Course Road</t>
  </si>
  <si>
    <t>Tarauni</t>
  </si>
  <si>
    <t>Hausawa</t>
  </si>
  <si>
    <t>Unguwa Uku</t>
  </si>
  <si>
    <t>Gyadi-Gyadi</t>
  </si>
  <si>
    <t>Kabuga</t>
  </si>
  <si>
    <t>Farm Centre</t>
  </si>
  <si>
    <t>Sharada</t>
  </si>
  <si>
    <t>Kundila</t>
  </si>
  <si>
    <t>Na'ibawa</t>
  </si>
  <si>
    <t>Kumbotso</t>
  </si>
  <si>
    <t>Chalawa</t>
  </si>
  <si>
    <t>Challawa Industrial</t>
  </si>
  <si>
    <t>Sheka</t>
  </si>
  <si>
    <t>Rimin Zakara</t>
  </si>
  <si>
    <t>Dan Maliki</t>
  </si>
  <si>
    <t>BUK New Campus</t>
  </si>
  <si>
    <t>Tamburawa</t>
  </si>
  <si>
    <t>BUK Old Campus</t>
  </si>
  <si>
    <t>Rijiyar Lemo</t>
  </si>
  <si>
    <t>Bachirawa</t>
  </si>
  <si>
    <t>Rangaza</t>
  </si>
  <si>
    <t>Gayawa</t>
  </si>
  <si>
    <t>Tudun Fulani</t>
  </si>
  <si>
    <t>Kurna</t>
  </si>
  <si>
    <t>Hotoro North</t>
  </si>
  <si>
    <t>Kawaji</t>
  </si>
  <si>
    <t>Zawaciki</t>
  </si>
  <si>
    <t>Sabon Titi</t>
  </si>
  <si>
    <t>Dawanau</t>
  </si>
  <si>
    <t>Tokarawa</t>
  </si>
  <si>
    <t>Gama</t>
  </si>
  <si>
    <t>Round Trip KM (zone centre)</t>
  </si>
  <si>
    <t>20FT - Rate per Trip (NGN)</t>
  </si>
  <si>
    <t>25FT - Rate per Trip (NGN)</t>
  </si>
  <si>
    <t>40FT - Rate per Trip (NGN)</t>
  </si>
  <si>
    <t>Crane - Rate per Trip (NGN)</t>
  </si>
  <si>
    <t>Hiab - Rate per Trip (NGN)</t>
  </si>
  <si>
    <t>Flatbed - Rate per Trip (NGN)</t>
  </si>
  <si>
    <t>Forklift - Rate per Trip (NGN)</t>
  </si>
  <si>
    <t>Outbound KM</t>
  </si>
  <si>
    <t>Return KM</t>
  </si>
  <si>
    <t>Round Trip KM</t>
  </si>
  <si>
    <t>As written in your list</t>
  </si>
  <si>
    <t>Corrected to</t>
  </si>
  <si>
    <t>AGBARA-BADAGRI</t>
  </si>
  <si>
    <t>AKAMPA</t>
  </si>
  <si>
    <t>AMUWO</t>
  </si>
  <si>
    <t>APO,GUDU</t>
  </si>
  <si>
    <t>AYA -FCT</t>
  </si>
  <si>
    <t>AYANGBA</t>
  </si>
  <si>
    <t>Abakalike</t>
  </si>
  <si>
    <t>Abekeuta</t>
  </si>
  <si>
    <t>Abuja-Direct</t>
  </si>
  <si>
    <t>Abule-EGBA-Ijayi-Moshalasi-Kola-Sango</t>
  </si>
  <si>
    <t>Ahaoda</t>
  </si>
  <si>
    <t>Akwa-IBOM</t>
  </si>
  <si>
    <t>Akwaibom</t>
  </si>
  <si>
    <t>Arondizogu</t>
  </si>
  <si>
    <t>Ayangba</t>
  </si>
  <si>
    <t>BARBEACH</t>
  </si>
  <si>
    <t>BENIN</t>
  </si>
  <si>
    <t>Benin</t>
  </si>
  <si>
    <t>Bernin Kebi</t>
  </si>
  <si>
    <t>CITEC</t>
  </si>
  <si>
    <t>Deidei</t>
  </si>
  <si>
    <t>Delta-direct</t>
  </si>
  <si>
    <t>Direct Benin</t>
  </si>
  <si>
    <t>EFAB</t>
  </si>
  <si>
    <t>EKITE</t>
  </si>
  <si>
    <t>FESTAC-MILE2 --AMOWO-OKOTA</t>
  </si>
  <si>
    <t>GUZAPE, GARKI</t>
  </si>
  <si>
    <t>IJEBU OSAS</t>
  </si>
  <si>
    <t>IKEJA-AGEGE-DOPEMU-MAGODO</t>
  </si>
  <si>
    <t>IKM-SHAGARI-EGIGBO-IPAJA-AYOBO-OKOKOMAIKO-OSHODI-ISOLO</t>
  </si>
  <si>
    <t>ILE-EFE</t>
  </si>
  <si>
    <t>IMO STATE</t>
  </si>
  <si>
    <t>IYANA PAJA</t>
  </si>
  <si>
    <t>Ibadan 45Tons</t>
  </si>
  <si>
    <t>Ibeju</t>
  </si>
  <si>
    <t>Ilupeju-GBD-APAPA-MUSHIN-OKOTA-FADEYI</t>
  </si>
  <si>
    <t>JIKOYI</t>
  </si>
  <si>
    <t>KETAMPE</t>
  </si>
  <si>
    <t>KETU-IKORODU</t>
  </si>
  <si>
    <t>KOKO</t>
  </si>
  <si>
    <t>KONTANGORA</t>
  </si>
  <si>
    <t>KPOKO</t>
  </si>
  <si>
    <t>KWARA</t>
  </si>
  <si>
    <t>Kastina</t>
  </si>
  <si>
    <t>Kastina ala</t>
  </si>
  <si>
    <t>Kayama</t>
  </si>
  <si>
    <t>Kotongora</t>
  </si>
  <si>
    <t>LAGOS -IKEJA</t>
  </si>
  <si>
    <t>LAGOS ISLA</t>
  </si>
  <si>
    <t>LAGOS-ISLAND-MARINA</t>
  </si>
  <si>
    <t>LAGOS-LAGOS ISLAND</t>
  </si>
  <si>
    <t>LAGOS-LEKKI</t>
  </si>
  <si>
    <t>MAITAMA-FCT</t>
  </si>
  <si>
    <t>MILE2</t>
  </si>
  <si>
    <t>MPAPE ASOKORO</t>
  </si>
  <si>
    <t>Maidugri</t>
  </si>
  <si>
    <t>Mutu biyu</t>
  </si>
  <si>
    <t>NSUKA</t>
  </si>
  <si>
    <t>OGONI</t>
  </si>
  <si>
    <t>OGUN-ABEOKUTA</t>
  </si>
  <si>
    <t>OGUN-IBAFO</t>
  </si>
  <si>
    <t>OGUN-IDIROKO</t>
  </si>
  <si>
    <t>OGUN-SAGAMU</t>
  </si>
  <si>
    <t>OGUN-SANGO OTA</t>
  </si>
  <si>
    <t>OMU-ARAN</t>
  </si>
  <si>
    <t>ONDO</t>
  </si>
  <si>
    <t>ONDO-AKURE</t>
  </si>
  <si>
    <t>ONDO-ONDO</t>
  </si>
  <si>
    <t>OSUN</t>
  </si>
  <si>
    <t>OSUN-OSHOGBO</t>
  </si>
  <si>
    <t>OYO-IBADAN (TOLL GATE)</t>
  </si>
  <si>
    <t>OYO-IBADAN TOWN</t>
  </si>
  <si>
    <t>OYO-OGBOMOSHO</t>
  </si>
  <si>
    <t>Ojodu-Akute-Mowe</t>
  </si>
  <si>
    <t>Oshogbo</t>
  </si>
  <si>
    <t>PHC</t>
  </si>
  <si>
    <t>Rumukpakolosi</t>
  </si>
  <si>
    <t>SANGO OTTA</t>
  </si>
  <si>
    <t>SANGO-OTTA</t>
  </si>
  <si>
    <t>SHANDAM</t>
  </si>
  <si>
    <t>SUNCITY</t>
  </si>
  <si>
    <t>SURULELE-TEJESHU-YABA-EBUTE META-OYINGOBO</t>
  </si>
  <si>
    <t>Sango-Ota</t>
  </si>
  <si>
    <t>Shagamu</t>
  </si>
  <si>
    <t>TEJESHO</t>
  </si>
  <si>
    <t>Tejesho</t>
  </si>
  <si>
    <t>Tigina</t>
  </si>
  <si>
    <t>Transamadi</t>
  </si>
  <si>
    <t>UGHELLE</t>
  </si>
  <si>
    <t>VI</t>
  </si>
  <si>
    <t>VI-Lekki-AJAH</t>
  </si>
  <si>
    <t>WUSE ZONE</t>
  </si>
  <si>
    <t>Zakiblarn</t>
  </si>
  <si>
    <t>lara</t>
  </si>
  <si>
    <t>lella</t>
  </si>
  <si>
    <t>lorin</t>
  </si>
  <si>
    <t>yobe</t>
  </si>
  <si>
    <t>How the KM were worked out</t>
  </si>
  <si>
    <t>Leg 1 - Outbound</t>
  </si>
  <si>
    <t>Road distance from the loading point to the destination. For multi-drop routes it is the sum of every drop-to-drop leg, in the drive order shown in "Stops".</t>
  </si>
  <si>
    <t>Leg 2 - Return</t>
  </si>
  <si>
    <t>Road distance from the last drop back to the loading point.</t>
  </si>
  <si>
    <t>Total</t>
  </si>
  <si>
    <t>Leg 1 + Leg 2 (formula, so editing a blue KM cell updates the total).</t>
  </si>
  <si>
    <t>"Road-routed (OpenStreetMap)" = real driving distance from the OSRM routing engine. "Estimated (calibrated)" = straight-line distance x a road factor tuned against real OSRM results (e.g. Lagos-Ibadan 123.5, Lagos-Abuja 740, Lagos-Kano 984, Keffi-Ogere 729, Isolo-Maiduguri 1,557 km). Trips from the South-West to the South-South/South-East are measured via Benin City. Estimated figures are typically within about 5-10% of Google Maps; they will be replaced with road-routed figures once router.project-osrm.org is allowed in network settings.</t>
  </si>
  <si>
    <t>Routing fix (multi-drop)</t>
  </si>
  <si>
    <t>Every multi-drop route was re-sequenced into the shortest loop from the loading point and back. Where the order changed, the Notes column shows how many km the original written order would have cost.</t>
  </si>
  <si>
    <t>Spellings</t>
  </si>
  <si>
    <t>Destination names were corrected to their standard spelling (see "Spelling Corrections"). Where a state was given instead of a town, the state capital was used and named in brackets, e.g. "Imo State (Owerri)".</t>
  </si>
  <si>
    <t>State and Region</t>
  </si>
  <si>
    <t>Destination State is taken from the corrected town, not from the original sheet (which had errors such as Ibadan = Edo, Ekpoma = Delta, Abakaliki = "Ebo", Koko = "Bin Yauri"). Region uses Nigeria's six geopolitical zones.</t>
  </si>
  <si>
    <t>Delivery type</t>
  </si>
  <si>
    <t>Internal = destination in the same state as the loading point; these are mapped to your route zones (Internal Zones / Zone Areas sheets). Interstate = everything else.</t>
  </si>
  <si>
    <t>Internal zones</t>
  </si>
  <si>
    <t>KM per zone is given to the zone centre and to the far end of the zone, from each depot. Lagos zones are measured from all five Lagos loading points. Kano has no loading point in your list, so Kano zones are measured from Kano city centre - replace with your Kano hub when known.</t>
  </si>
  <si>
    <t>3PL rate cards</t>
  </si>
  <si>
    <t>Yellow cells are for you to enter the per-trip rate each 3rd-party vendor charges for 20FT, 25FT, 40FT, Crane, Hiab, Flatbed and Forklift trucks, for every internal zone and interstate lane.</t>
  </si>
  <si>
    <t>Port Harcourt &amp; Abuja rows</t>
  </si>
  <si>
    <t>Hiab rows list JMG Gbagada as the loading point but the client main location is Port Harcourt / Abuja, so they are measured from Port Harcourt and Abuja city.</t>
  </si>
  <si>
    <t>Not found (yellow rows)</t>
  </si>
  <si>
    <t>IKM, Dembal, Nigerian Gas (Lagos) and Jega (Abuja local list) could not be located; Karame-City (Orca) was measured from Apapa as a stand-in. Send the exact addresses and they will be filled in.</t>
  </si>
  <si>
    <t>Assumed locations</t>
  </si>
  <si>
    <t>Kpoko = Okpoko (Onitsha); Ijebu Osas = Ijebu-Ososa; Lara (Ogun) = Ilara, Yewa North; Rumukpakolosi = Rumuokwurusi; Delta-direct = Asaba.</t>
  </si>
  <si>
    <t xml:space="preserve">Scope </t>
  </si>
  <si>
    <t xml:space="preserve">Equipment Providor </t>
  </si>
  <si>
    <t xml:space="preserve">Travels Upcountry </t>
  </si>
  <si>
    <t xml:space="preserve">Delivery Local within State </t>
  </si>
  <si>
    <t xml:space="preserve">Sell Equiment </t>
  </si>
  <si>
    <t xml:space="preserve">Spare Parts </t>
  </si>
  <si>
    <t xml:space="preserve">External Workshop </t>
  </si>
  <si>
    <t>Tracking Company</t>
  </si>
  <si>
    <t>Diesel Supplier</t>
  </si>
  <si>
    <t>Tyre Supplier</t>
  </si>
  <si>
    <t xml:space="preserve">Expenses Type </t>
  </si>
  <si>
    <t>Opex</t>
  </si>
  <si>
    <t xml:space="preserve">Operation Type </t>
  </si>
  <si>
    <t xml:space="preserve">Capex </t>
  </si>
  <si>
    <t>Opx</t>
  </si>
  <si>
    <t>Supplier account</t>
  </si>
  <si>
    <t>Name</t>
  </si>
  <si>
    <t>Supplier hold</t>
  </si>
  <si>
    <t xml:space="preserve">Proposed </t>
  </si>
  <si>
    <t>Type Of Expenses</t>
  </si>
  <si>
    <t>Used by Division</t>
  </si>
  <si>
    <t>HAIB</t>
  </si>
  <si>
    <t xml:space="preserve">Crane </t>
  </si>
  <si>
    <t>Low-bed</t>
  </si>
  <si>
    <t>20FT</t>
  </si>
  <si>
    <t>25FT</t>
  </si>
  <si>
    <t>40FT</t>
  </si>
  <si>
    <t xml:space="preserve">Upcountry </t>
  </si>
  <si>
    <t xml:space="preserve">Forklift </t>
  </si>
  <si>
    <t xml:space="preserve">Trucks </t>
  </si>
  <si>
    <t xml:space="preserve">Trailers </t>
  </si>
  <si>
    <t xml:space="preserve">Tracking Company </t>
  </si>
  <si>
    <t xml:space="preserve">Diesel Supplier </t>
  </si>
  <si>
    <t>V00001019</t>
  </si>
  <si>
    <t>IRON PRODUCTS INDUSTRIES LTD</t>
  </si>
  <si>
    <t>No</t>
  </si>
  <si>
    <t>30D</t>
  </si>
  <si>
    <t xml:space="preserve">Non Stock </t>
  </si>
  <si>
    <t>Transport Division</t>
  </si>
  <si>
    <t>NO</t>
  </si>
  <si>
    <t>Yes</t>
  </si>
  <si>
    <t>V00001429</t>
  </si>
  <si>
    <t>ONE STOP AFRICA INDUSTRIES LIMITED</t>
  </si>
  <si>
    <t>Stock Item</t>
  </si>
  <si>
    <t>Vehicle Workshop</t>
  </si>
  <si>
    <t>V00001514</t>
  </si>
  <si>
    <t>C.WOERMANN(NIGERIA)LIMITED</t>
  </si>
  <si>
    <t>V00000042</t>
  </si>
  <si>
    <t>HAYYLUCK NIG LTD</t>
  </si>
  <si>
    <t>Payment on Invoice</t>
  </si>
  <si>
    <t>3rd party Logistics</t>
  </si>
  <si>
    <t>YES</t>
  </si>
  <si>
    <t>V00001279</t>
  </si>
  <si>
    <t>QT CONCEPTS LTD</t>
  </si>
  <si>
    <t>V00000699</t>
  </si>
  <si>
    <t>PAT-ELLENZ INTERNATIONAL NIG.</t>
  </si>
  <si>
    <t>V00001297</t>
  </si>
  <si>
    <t>MAM IMPEX CONCEPT LTD</t>
  </si>
  <si>
    <t>V00000802</t>
  </si>
  <si>
    <t>OMOS AND SONS NIGERIA LIMITED</t>
  </si>
  <si>
    <t>V00000185</t>
  </si>
  <si>
    <t>CHRISTMAN AUTO. SUPPLY</t>
  </si>
  <si>
    <t>V00001231</t>
  </si>
  <si>
    <t>ANIBIRE ANIS &amp; SONS NIGERIA ENTERPRIES</t>
  </si>
  <si>
    <t>V00000941</t>
  </si>
  <si>
    <t>MOJEED OSUOLALE ENTERPRISES</t>
  </si>
  <si>
    <t>V00001326</t>
  </si>
  <si>
    <t>OUTLOOK SMART SOLUTION</t>
  </si>
  <si>
    <t>V00001097</t>
  </si>
  <si>
    <t>SLIMCOM GLOBAL SERVICES LIMITED</t>
  </si>
  <si>
    <t>V00001645</t>
  </si>
  <si>
    <t>JINCO AUTO ENTERPRISES</t>
  </si>
  <si>
    <t>V00001586</t>
  </si>
  <si>
    <t>MCMOLOS VENTURES</t>
  </si>
  <si>
    <t>V00000127</t>
  </si>
  <si>
    <t>NWABUEZE NIG CO.</t>
  </si>
  <si>
    <t>V00001134</t>
  </si>
  <si>
    <t>AHMAD IDRIS INTEGRATED VENTURES</t>
  </si>
  <si>
    <t>V00000311</t>
  </si>
  <si>
    <t>MAGAJI ALI HIAB TRANSPORT</t>
  </si>
  <si>
    <t>V00000932</t>
  </si>
  <si>
    <t>BUILDWELL PLANTS &amp; EQUIPMENT IND. LTD</t>
  </si>
  <si>
    <t>V00000518</t>
  </si>
  <si>
    <t>NOVA TRACK LIMITED</t>
  </si>
  <si>
    <t>V00001448</t>
  </si>
  <si>
    <t>MARIDOM GLOBAL SERVICE LIMITED</t>
  </si>
  <si>
    <t>V00001260</t>
  </si>
  <si>
    <t>WOERKA NIGERIA COMPANY LTD</t>
  </si>
  <si>
    <t>V00001430</t>
  </si>
  <si>
    <t>CARBON AUTO TYRE LIMITED</t>
  </si>
  <si>
    <t>V00001510</t>
  </si>
  <si>
    <t>SIZU INTERNATIONAL COMPANY</t>
  </si>
  <si>
    <t>V00001194</t>
  </si>
  <si>
    <t>OSSY INTERNATIONAL AGENCY LTD</t>
  </si>
  <si>
    <t>V00001011</t>
  </si>
  <si>
    <t>DOMINION TREE OF MERCY RESOURCES INT"L LTD</t>
  </si>
  <si>
    <t>V00001365</t>
  </si>
  <si>
    <t>Y.S OLATUNJI AMBA &amp; BROTHER COMPANY</t>
  </si>
  <si>
    <t>V00000467</t>
  </si>
  <si>
    <t>ISIYAKU SANNI VENTURES</t>
  </si>
  <si>
    <t>V00000202</t>
  </si>
  <si>
    <t>MOONME GLOBAL LIMITED</t>
  </si>
  <si>
    <t>V00001268</t>
  </si>
  <si>
    <t>FEMINIK LOGISTICS LTD</t>
  </si>
  <si>
    <t>V00001502</t>
  </si>
  <si>
    <t>JESMAN HAULAGE LTD</t>
  </si>
  <si>
    <t>V00000100</t>
  </si>
  <si>
    <t>TIMOGREAT NIGERIA ENTERPRISE (COSMADY HOLDNGS)</t>
  </si>
  <si>
    <t>V00000069</t>
  </si>
  <si>
    <t>YUSUF  ADEBAYO NIG ENTERPRISES</t>
  </si>
  <si>
    <t>V00001611</t>
  </si>
  <si>
    <t>Golden Stone Investment ltd</t>
  </si>
  <si>
    <t>V00001427</t>
  </si>
  <si>
    <t>FIRST AFLOEE NIG LTD</t>
  </si>
  <si>
    <t>V00001060</t>
  </si>
  <si>
    <t>MAPTEK AUTOMOTIVE WORKSHOP</t>
  </si>
  <si>
    <t>3RD PARTY WORKSHOP</t>
  </si>
  <si>
    <t>V00001479</t>
  </si>
  <si>
    <t>SEKEOBADIMEJI TRANSPORT VENTURE</t>
  </si>
  <si>
    <t>V00001541</t>
  </si>
  <si>
    <t>LAWAL HAMZA TRANSPORT</t>
  </si>
  <si>
    <t>V00000279</t>
  </si>
  <si>
    <t>MANAL NIGERIA LIMITED</t>
  </si>
  <si>
    <t>V00001428</t>
  </si>
  <si>
    <t>SKI CURRENT SERVICES LIMITED</t>
  </si>
  <si>
    <t>V00001604</t>
  </si>
  <si>
    <t>BLACK WHITE ENERGY NIG LTD</t>
  </si>
  <si>
    <t>V00001233</t>
  </si>
  <si>
    <t>ISO ENGERGY &amp; POWER LIMITED</t>
  </si>
  <si>
    <t>V00001022</t>
  </si>
  <si>
    <t>HYDRO TRANS NIG.LTD</t>
  </si>
  <si>
    <t>V00001003</t>
  </si>
  <si>
    <t>A.G. LEVENTIS NIGERIA LIMITED</t>
  </si>
  <si>
    <t>V00001407</t>
  </si>
  <si>
    <t>ANGLO-KINETIQ GLOBAL RESOURCES LIMITED</t>
  </si>
  <si>
    <t>Not Classified</t>
  </si>
  <si>
    <t>V00000288</t>
  </si>
  <si>
    <t>ASAHI BRANDS LIMITED</t>
  </si>
  <si>
    <t>V00001388</t>
  </si>
  <si>
    <t>AUGUSTINE BOSE TRANSPORT SERVICE</t>
  </si>
  <si>
    <t>V00001138</t>
  </si>
  <si>
    <t>DIDOBOSS INTERNATIONAL COMPANY</t>
  </si>
  <si>
    <t>V00001424</t>
  </si>
  <si>
    <t>DODONYARO &amp; PARTNERS NIGERIA LTD</t>
  </si>
  <si>
    <t>V00001417</t>
  </si>
  <si>
    <t>EDEROK ALOT RESOURCES NIGERIA LIMITED</t>
  </si>
  <si>
    <t>V00001105</t>
  </si>
  <si>
    <t>NIGERIAN SINOTRUCKS LTD</t>
  </si>
  <si>
    <t>V00001322</t>
  </si>
  <si>
    <t>SIM ARK CAPITAL</t>
  </si>
  <si>
    <t>V00001478</t>
  </si>
  <si>
    <t>SYLVESTER ESTHER NIG LIMITED</t>
  </si>
  <si>
    <t>V00000021</t>
  </si>
  <si>
    <t>TOTAL NIGERIA PLC</t>
  </si>
  <si>
    <t xml:space="preserve">Diesel </t>
  </si>
  <si>
    <t>V00000328</t>
  </si>
  <si>
    <t>OPTIMAS OE SOLUTIONS LTD</t>
  </si>
  <si>
    <t xml:space="preserve">Haulage </t>
  </si>
  <si>
    <t>Port Operations</t>
  </si>
  <si>
    <t>Hiab</t>
  </si>
  <si>
    <t>Vans</t>
  </si>
  <si>
    <t xml:space="preserve">Crane &amp; Heavy Lifts </t>
  </si>
  <si>
    <t xml:space="preserve">3PL </t>
  </si>
  <si>
    <t>Type</t>
  </si>
  <si>
    <t>Account number</t>
  </si>
  <si>
    <t>Account Name</t>
  </si>
  <si>
    <t xml:space="preserve">Expense Type </t>
  </si>
  <si>
    <t>Operational Expenses</t>
  </si>
  <si>
    <t>Logistics Allowances</t>
  </si>
  <si>
    <t>Drivers Trip Expenses</t>
  </si>
  <si>
    <t>Diesel for Hiabs</t>
  </si>
  <si>
    <t>Diesel from Internal Fuel Dump</t>
  </si>
  <si>
    <t>Diesel for Lorries</t>
  </si>
  <si>
    <t>Fuel and Diesel Logistics Allowances</t>
  </si>
  <si>
    <t xml:space="preserve">Cash Allowance to buy Diesel </t>
  </si>
  <si>
    <t xml:space="preserve">New Account </t>
  </si>
  <si>
    <t xml:space="preserve">CNG Expense </t>
  </si>
  <si>
    <t>Cash Allowance for CNG</t>
  </si>
  <si>
    <t>Logistics Misc Expenses</t>
  </si>
  <si>
    <t xml:space="preserve">Tickets and Sticker Payments </t>
  </si>
  <si>
    <t>Logistics Port Expenses</t>
  </si>
  <si>
    <t xml:space="preserve">Port Operation Expenses </t>
  </si>
  <si>
    <t>Truck Tyre Expenses</t>
  </si>
  <si>
    <t xml:space="preserve">Tyre Expenses </t>
  </si>
  <si>
    <t>Lorries Maintenance Expenses</t>
  </si>
  <si>
    <t xml:space="preserve">Tractor and Trailer Repairs </t>
  </si>
  <si>
    <t>Hiabs Maintenance Expenses</t>
  </si>
  <si>
    <t xml:space="preserve">Hiab </t>
  </si>
  <si>
    <t>Logistics Positioning-Pushing Allowances</t>
  </si>
  <si>
    <t>Manual Pushing</t>
  </si>
  <si>
    <t>Delivery Allowance Misc</t>
  </si>
  <si>
    <t xml:space="preserve">Community Settlement </t>
  </si>
  <si>
    <t>Towing/Other Vehicle Breakdown Expenses</t>
  </si>
  <si>
    <t xml:space="preserve">Towing </t>
  </si>
  <si>
    <t>Transportation And Offloading Of Finished Goods</t>
  </si>
  <si>
    <t xml:space="preserve">3rd Party contracted Trucks </t>
  </si>
  <si>
    <t>Staff Transportation</t>
  </si>
  <si>
    <t>Transport for Operational Staffs</t>
  </si>
  <si>
    <t xml:space="preserve">Tracking System </t>
  </si>
  <si>
    <t xml:space="preserve">For subscription of Tracking </t>
  </si>
  <si>
    <t xml:space="preserve">Non-Operational Expenses </t>
  </si>
  <si>
    <t xml:space="preserve">Insurance </t>
  </si>
  <si>
    <t xml:space="preserve">Vehicle Insurance </t>
  </si>
  <si>
    <t xml:space="preserve">GIT </t>
  </si>
  <si>
    <t xml:space="preserve">Good in Transit </t>
  </si>
  <si>
    <t xml:space="preserve">License and Permit </t>
  </si>
  <si>
    <t xml:space="preserve">Salaries Local and Expat </t>
  </si>
  <si>
    <t xml:space="preserve">Rent </t>
  </si>
  <si>
    <t xml:space="preserve">House rents offices and Yard </t>
  </si>
  <si>
    <t>Depreciation</t>
  </si>
  <si>
    <t>Vehicle Depreciation</t>
  </si>
  <si>
    <t xml:space="preserve">KPI </t>
  </si>
  <si>
    <t xml:space="preserve">Driving KM Per Day for All Upcountry trucks </t>
  </si>
  <si>
    <t>300KM</t>
  </si>
  <si>
    <t xml:space="preserve">Offloading and offloading for all deliveries should be 1 day </t>
  </si>
  <si>
    <t xml:space="preserve">1 Day </t>
  </si>
  <si>
    <t xml:space="preserve">Diesel Hiab </t>
  </si>
  <si>
    <t xml:space="preserve">Flat Bed Diesel needed </t>
  </si>
  <si>
    <t>Haulage Truck 45T 102</t>
  </si>
  <si>
    <t xml:space="preserve">CNG Truck consumption </t>
  </si>
  <si>
    <t>Haulage truck 30T -102</t>
  </si>
  <si>
    <t xml:space="preserve">16CBM Truck </t>
  </si>
  <si>
    <t xml:space="preserve">30CBM Truck </t>
  </si>
  <si>
    <t>Asset code</t>
  </si>
  <si>
    <t>Plate Number</t>
  </si>
  <si>
    <t>Asset Name</t>
  </si>
  <si>
    <t>Tonnage</t>
  </si>
  <si>
    <t>Body Size</t>
  </si>
  <si>
    <t>HR Registered name</t>
  </si>
  <si>
    <t xml:space="preserve">Camanda Driver Name </t>
  </si>
  <si>
    <t>Staff ID no</t>
  </si>
  <si>
    <t>MVEH-000266</t>
  </si>
  <si>
    <t>T2404LA</t>
  </si>
  <si>
    <t>Volswagen Titan Tractor 18-310 Head</t>
  </si>
  <si>
    <t>25T</t>
  </si>
  <si>
    <t>FLAT</t>
  </si>
  <si>
    <t>ABDULSALAM Adams Araga</t>
  </si>
  <si>
    <t>Adams Araga</t>
  </si>
  <si>
    <t>003455</t>
  </si>
  <si>
    <t>AYENI Ebenezer Akintunde</t>
  </si>
  <si>
    <t>MVEH-000267</t>
  </si>
  <si>
    <t>T2486LA</t>
  </si>
  <si>
    <t>ADEMOLA Marcus Adedayo</t>
  </si>
  <si>
    <t>Ademola Marcus Adedayo</t>
  </si>
  <si>
    <t>002752</t>
  </si>
  <si>
    <t>MVEH-000269</t>
  </si>
  <si>
    <t>T2490LA</t>
  </si>
  <si>
    <t>Volswagen  Titan Tractor 18-310 Head</t>
  </si>
  <si>
    <t>OLADOYINBO Olusoji  Opeyemi</t>
  </si>
  <si>
    <t>Opeyemi Soji</t>
  </si>
  <si>
    <t>002335</t>
  </si>
  <si>
    <t>MVEH-000271</t>
  </si>
  <si>
    <t>T2407LA</t>
  </si>
  <si>
    <t>POPOOLA Akeem Olalekan</t>
  </si>
  <si>
    <t>Akeem Popoola</t>
  </si>
  <si>
    <t>001983</t>
  </si>
  <si>
    <t>MVEH-000273</t>
  </si>
  <si>
    <t>T2485LA</t>
  </si>
  <si>
    <t xml:space="preserve">ABUBAKAR Kamal </t>
  </si>
  <si>
    <t>Kamal Abubakar</t>
  </si>
  <si>
    <t>002344</t>
  </si>
  <si>
    <t>MVEH-000276</t>
  </si>
  <si>
    <t>T2412LA</t>
  </si>
  <si>
    <t>Hussien Nemadi</t>
  </si>
  <si>
    <t>002200</t>
  </si>
  <si>
    <t>MVEH-000283</t>
  </si>
  <si>
    <t>T2420LA</t>
  </si>
  <si>
    <t>ALI Suleiman Nasiru</t>
  </si>
  <si>
    <t>Naslr Ali</t>
  </si>
  <si>
    <t>MVEH-000326</t>
  </si>
  <si>
    <t>EPE531YD</t>
  </si>
  <si>
    <t>Mercedes Benz Diesel Truck</t>
  </si>
  <si>
    <t>15T</t>
  </si>
  <si>
    <t>TANKER</t>
  </si>
  <si>
    <t>MVEH-000130</t>
  </si>
  <si>
    <t>T2418LA</t>
  </si>
  <si>
    <t>IHINEGBU Lucky Uche</t>
  </si>
  <si>
    <t>Lucky Ihinegbu</t>
  </si>
  <si>
    <t>000556</t>
  </si>
  <si>
    <t>MVEH-000131</t>
  </si>
  <si>
    <t>T2489LA</t>
  </si>
  <si>
    <t>OLASUNKANMI Kabiru Ademola</t>
  </si>
  <si>
    <t>000828</t>
  </si>
  <si>
    <t>MVEH-000132</t>
  </si>
  <si>
    <t>T2421LA</t>
  </si>
  <si>
    <t xml:space="preserve">AZEEZ Kamoru  </t>
  </si>
  <si>
    <t>Azeez Kamorudeen</t>
  </si>
  <si>
    <t>001590</t>
  </si>
  <si>
    <t>MVEH-000142</t>
  </si>
  <si>
    <t>T2419LA</t>
  </si>
  <si>
    <t>Volswagen Titan Tractor 18-310</t>
  </si>
  <si>
    <t>MVEH-000143</t>
  </si>
  <si>
    <t>T2415LA</t>
  </si>
  <si>
    <t>Volswagen titan Tractor 18-310 Head (double not yet acquired)</t>
  </si>
  <si>
    <t>OWOLO James Folorunsho</t>
  </si>
  <si>
    <t>Owolo James</t>
  </si>
  <si>
    <t>000914</t>
  </si>
  <si>
    <t>MVEH-000144</t>
  </si>
  <si>
    <t>T2414LA</t>
  </si>
  <si>
    <t>AKINOLA Oluwaseun Samson</t>
  </si>
  <si>
    <t>Seun Akinola</t>
  </si>
  <si>
    <t>000164</t>
  </si>
  <si>
    <t>MVEH-000318</t>
  </si>
  <si>
    <t>T5526LA</t>
  </si>
  <si>
    <t>SINOTRUCK HOWO E7 6X4 TRACTOR .STERLING BANK LEASE</t>
  </si>
  <si>
    <t>IGWALAH Christopher Maxwell</t>
  </si>
  <si>
    <t>Maxwell Christopher</t>
  </si>
  <si>
    <t>000512</t>
  </si>
  <si>
    <t>MVEH-000320</t>
  </si>
  <si>
    <t>T5524LA</t>
  </si>
  <si>
    <t>SINOTRUCK HOWO 4X2 TRACTOR LHD STERLING BANK LEASE</t>
  </si>
  <si>
    <t>102-30T</t>
  </si>
  <si>
    <t>ARUWAJOYE Kolawole Tilo</t>
  </si>
  <si>
    <t>Aruwajoye Tilo</t>
  </si>
  <si>
    <t>003254</t>
  </si>
  <si>
    <t>MVEH-000327</t>
  </si>
  <si>
    <t>T9943LA</t>
  </si>
  <si>
    <t>Sino Truck Howo 6x4</t>
  </si>
  <si>
    <t>102-45T</t>
  </si>
  <si>
    <t xml:space="preserve">IBRAHIM Alhaji </t>
  </si>
  <si>
    <t>Alhaji Ibrahim</t>
  </si>
  <si>
    <t>000497</t>
  </si>
  <si>
    <t>MVEH-000329</t>
  </si>
  <si>
    <t>T10265LA</t>
  </si>
  <si>
    <t>BENSON Peter Matto</t>
  </si>
  <si>
    <t>Benson Peter Mallo</t>
  </si>
  <si>
    <t>003515</t>
  </si>
  <si>
    <t>MVEH-000331</t>
  </si>
  <si>
    <t>T8116LA</t>
  </si>
  <si>
    <t>MVEH-000335</t>
  </si>
  <si>
    <t>T15333LA</t>
  </si>
  <si>
    <t>Sino Truck Howo 6X4</t>
  </si>
  <si>
    <t xml:space="preserve">ALIYU Lawal </t>
  </si>
  <si>
    <t>Aliyu Lawal</t>
  </si>
  <si>
    <t>000189</t>
  </si>
  <si>
    <t>MVEH-000336</t>
  </si>
  <si>
    <t>T8118LA</t>
  </si>
  <si>
    <t>SULAIMON Quaseem  Omolola</t>
  </si>
  <si>
    <t>Quaseem Omolola</t>
  </si>
  <si>
    <t>002867</t>
  </si>
  <si>
    <t>MVEH-000340</t>
  </si>
  <si>
    <t>T8117LA</t>
  </si>
  <si>
    <t>SIDED-45T</t>
  </si>
  <si>
    <t>ADAMU  Danjuma Usman</t>
  </si>
  <si>
    <t>Danjuma Adamu Usman</t>
  </si>
  <si>
    <t>001982</t>
  </si>
  <si>
    <t>MVEH-000342</t>
  </si>
  <si>
    <t>T8114LA</t>
  </si>
  <si>
    <t>ADAM Kareem Danjuma</t>
  </si>
  <si>
    <t>Adam Kareem</t>
  </si>
  <si>
    <t>002029</t>
  </si>
  <si>
    <t>MVEH-000344</t>
  </si>
  <si>
    <t>T8119LA</t>
  </si>
  <si>
    <t>ADAMU Suleman</t>
  </si>
  <si>
    <t>Suleman Adamu</t>
  </si>
  <si>
    <t>003158</t>
  </si>
  <si>
    <t>MVEH-000352</t>
  </si>
  <si>
    <t>T13780LA</t>
  </si>
  <si>
    <t>OGUNS Joseph Amaneshi</t>
  </si>
  <si>
    <t>Ogun Joseph</t>
  </si>
  <si>
    <t>002323</t>
  </si>
  <si>
    <t>MVEH-000359</t>
  </si>
  <si>
    <t>T15334LA</t>
  </si>
  <si>
    <t xml:space="preserve">GARBA Lawal </t>
  </si>
  <si>
    <t>Lawal Garba</t>
  </si>
  <si>
    <t>000480</t>
  </si>
  <si>
    <t>MVEH-000285</t>
  </si>
  <si>
    <t>T2409LA</t>
  </si>
  <si>
    <t xml:space="preserve">ISMAILA Miniru </t>
  </si>
  <si>
    <t>Ismaila Muniru</t>
  </si>
  <si>
    <t>003182</t>
  </si>
  <si>
    <t>MVEH-000306</t>
  </si>
  <si>
    <t>T20357LA</t>
  </si>
  <si>
    <t>Used HOWO Tractor 6x4 Left hand drive 375Hp 10 Tires 12R22.5 200000-300000 KM.</t>
  </si>
  <si>
    <t xml:space="preserve">TUKUR Hamisu </t>
  </si>
  <si>
    <t>Hamisu Tukur</t>
  </si>
  <si>
    <t>002509</t>
  </si>
  <si>
    <t>MVEH-000319</t>
  </si>
  <si>
    <t>T5525LA</t>
  </si>
  <si>
    <t>MOSHOOD Isiaka Samuel</t>
  </si>
  <si>
    <t>Isiaka Moshood</t>
  </si>
  <si>
    <t>000643</t>
  </si>
  <si>
    <t>MVEH-000333</t>
  </si>
  <si>
    <t>T20356LA</t>
  </si>
  <si>
    <t>KAZEEM Nurudeen Alabi</t>
  </si>
  <si>
    <t>Emmanuel Alabi</t>
  </si>
  <si>
    <t>002753</t>
  </si>
  <si>
    <t>MVEH-000334</t>
  </si>
  <si>
    <t>T20358LA</t>
  </si>
  <si>
    <t xml:space="preserve">ZUBAIRU Abdulmalik </t>
  </si>
  <si>
    <t>Zubair Abdulmalik</t>
  </si>
  <si>
    <t>002199</t>
  </si>
  <si>
    <t>MVEH-000433</t>
  </si>
  <si>
    <t>T31704LA</t>
  </si>
  <si>
    <t>SINO CNG TRUCK  371HP 16X260L CAPACITY 6X4</t>
  </si>
  <si>
    <t>OYENIYI Fatai Oyebolu</t>
  </si>
  <si>
    <t>Oyeniyi Fatai Oyebola</t>
  </si>
  <si>
    <t>003463</t>
  </si>
  <si>
    <t>MVEH-000434</t>
  </si>
  <si>
    <t>T31698LA</t>
  </si>
  <si>
    <t>BAMIDELE Mohammed  Jamiu</t>
  </si>
  <si>
    <t>Bamidele Mohammed Jamiu</t>
  </si>
  <si>
    <t>003517</t>
  </si>
  <si>
    <t>MVEH-000435</t>
  </si>
  <si>
    <t>T31697LA</t>
  </si>
  <si>
    <t>OYEGOKE Hammed Akanni</t>
  </si>
  <si>
    <t>Oyegoke Hammed</t>
  </si>
  <si>
    <t>003479</t>
  </si>
  <si>
    <t>MVEH-000436</t>
  </si>
  <si>
    <t>T31701LA</t>
  </si>
  <si>
    <t>YUSUF Ibrahim Oluwaseun</t>
  </si>
  <si>
    <t>Yusuf Ibrahim</t>
  </si>
  <si>
    <t>003462</t>
  </si>
  <si>
    <t>MVEH-000437</t>
  </si>
  <si>
    <t>T31703LA</t>
  </si>
  <si>
    <t>OLAJUMOKE Quadri Olaniyi</t>
  </si>
  <si>
    <t>Olajumoke Olaniyi</t>
  </si>
  <si>
    <t>003458</t>
  </si>
  <si>
    <t>MVEH-000438</t>
  </si>
  <si>
    <t>T31700LA</t>
  </si>
  <si>
    <t>JANDE Christian Aondungwa</t>
  </si>
  <si>
    <t>Christian Aondoungwa</t>
  </si>
  <si>
    <t>003592</t>
  </si>
  <si>
    <t>MVEH-000439</t>
  </si>
  <si>
    <t>T31702LA</t>
  </si>
  <si>
    <t>SALAWU Kehinde Kamarudeen</t>
  </si>
  <si>
    <t>Salawu Kehinde</t>
  </si>
  <si>
    <t>003443</t>
  </si>
  <si>
    <t>MVEH-000440</t>
  </si>
  <si>
    <t>T31696LA</t>
  </si>
  <si>
    <t>ABIOLA  Rasheed</t>
  </si>
  <si>
    <t>Abiola Rasheed</t>
  </si>
  <si>
    <t>002414</t>
  </si>
  <si>
    <t>MVEH-000441</t>
  </si>
  <si>
    <t>T31705LA</t>
  </si>
  <si>
    <t>Nurudeen Kazeem</t>
  </si>
  <si>
    <t>MVEH-000442</t>
  </si>
  <si>
    <t>T31699LA</t>
  </si>
  <si>
    <t>SALAMI Musibau Abiola</t>
  </si>
  <si>
    <t>Musibau Salami</t>
  </si>
  <si>
    <t>003453</t>
  </si>
  <si>
    <t>MVEH-000443</t>
  </si>
  <si>
    <t>T33405LA</t>
  </si>
  <si>
    <t>SINO DIESEL TRUCK 371HP TRUCK 6X4</t>
  </si>
  <si>
    <t>Pallatized Body</t>
  </si>
  <si>
    <t>ADEOYE  Oladele Adedeji</t>
  </si>
  <si>
    <t>Adeoye Adeoye Adedeji</t>
  </si>
  <si>
    <t>003445</t>
  </si>
  <si>
    <t>MVEH-000444</t>
  </si>
  <si>
    <t>T33404LA</t>
  </si>
  <si>
    <t>OLADUNJOYE Babatunde Julius</t>
  </si>
  <si>
    <t>Oladunjoye Babatunde Julius</t>
  </si>
  <si>
    <t>003504</t>
  </si>
  <si>
    <t>MVEH-000445</t>
  </si>
  <si>
    <t>T33403LA</t>
  </si>
  <si>
    <t>AJAYI Samson Gbolahan</t>
  </si>
  <si>
    <t>Ajayi Samson Gbolohan</t>
  </si>
  <si>
    <t>003451</t>
  </si>
  <si>
    <t>MVEH-000446</t>
  </si>
  <si>
    <t>T33402LA</t>
  </si>
  <si>
    <t xml:space="preserve">ISAH Umar </t>
  </si>
  <si>
    <t>Umaru Isah</t>
  </si>
  <si>
    <t>002695</t>
  </si>
  <si>
    <t>MVEH-000447</t>
  </si>
  <si>
    <t>T33401LA</t>
  </si>
  <si>
    <t>FAGBEMI  Sunday</t>
  </si>
  <si>
    <t>Fagbemi Sunday</t>
  </si>
  <si>
    <t>003454</t>
  </si>
  <si>
    <t>MVEH-000448</t>
  </si>
  <si>
    <t>T33213LA</t>
  </si>
  <si>
    <t>DELE Joseph Oluwatosin</t>
  </si>
  <si>
    <t>Dele Joseph</t>
  </si>
  <si>
    <t>002425</t>
  </si>
  <si>
    <t>MVEH-000449</t>
  </si>
  <si>
    <t>T33076LA</t>
  </si>
  <si>
    <t>WASIU  Ridwan  Olalekan</t>
  </si>
  <si>
    <t>Wasiu Ridwan Olalekan</t>
  </si>
  <si>
    <t>003448</t>
  </si>
  <si>
    <t>MVEH-000450</t>
  </si>
  <si>
    <t>T33075LA</t>
  </si>
  <si>
    <t>BELLO Akin  Aremu</t>
  </si>
  <si>
    <t>Bello Akin Aremu</t>
  </si>
  <si>
    <t>003508</t>
  </si>
  <si>
    <t>MVEH-000451</t>
  </si>
  <si>
    <t>T33074LA</t>
  </si>
  <si>
    <t>SANUSI Abiodun</t>
  </si>
  <si>
    <t>Abiodun Sanusi</t>
  </si>
  <si>
    <t>003456</t>
  </si>
  <si>
    <t>MVEH-000452</t>
  </si>
  <si>
    <t>T33073LA</t>
  </si>
  <si>
    <t>AKINOLA Kehinde John</t>
  </si>
  <si>
    <t>Akinola kehinde John</t>
  </si>
  <si>
    <t>000163</t>
  </si>
  <si>
    <t>MVEH-000102</t>
  </si>
  <si>
    <t>KTU77XP</t>
  </si>
  <si>
    <t>Sino 4x2 Hiab Truck</t>
  </si>
  <si>
    <t>SELF-LOADER</t>
  </si>
  <si>
    <t xml:space="preserve">UMAR Zakari </t>
  </si>
  <si>
    <t>Umar Zakari</t>
  </si>
  <si>
    <t>001075</t>
  </si>
  <si>
    <t>MVEH-000097</t>
  </si>
  <si>
    <t>T2487LA</t>
  </si>
  <si>
    <t>Mercedes Benz Hiab Truck (double not yet acquired)</t>
  </si>
  <si>
    <t>5T</t>
  </si>
  <si>
    <t>ADESANYA Oluwatosin Oluwaseun</t>
  </si>
  <si>
    <t>Adesanya Oluwatosin</t>
  </si>
  <si>
    <t>000083</t>
  </si>
  <si>
    <t>MVEH-000101</t>
  </si>
  <si>
    <t>KTU76XP</t>
  </si>
  <si>
    <t>OYELEKE kehinde Bayo</t>
  </si>
  <si>
    <t>Oyeleke Kehinde Bayo</t>
  </si>
  <si>
    <t>000926</t>
  </si>
  <si>
    <t>MVEH-000104</t>
  </si>
  <si>
    <t>T2411LA</t>
  </si>
  <si>
    <t>IBRAHIM Ilolo Abdulahi</t>
  </si>
  <si>
    <t>Ibrahim Ilolo Abdulahi</t>
  </si>
  <si>
    <t>000552</t>
  </si>
  <si>
    <t>MVEH-000105</t>
  </si>
  <si>
    <t>T2405LA</t>
  </si>
  <si>
    <t>OPATOKUN Olaniyi Peter</t>
  </si>
  <si>
    <t>Opatokun Peter</t>
  </si>
  <si>
    <t>000894</t>
  </si>
  <si>
    <t>MVEH-000297</t>
  </si>
  <si>
    <t>T5547LA</t>
  </si>
  <si>
    <t>FOTON LIGHT DUTY TRUCK 8T STERLING BANK LEASE</t>
  </si>
  <si>
    <t>AKINDEJI Alfred Temidayo</t>
  </si>
  <si>
    <t>Akindeji Temidayo</t>
  </si>
  <si>
    <t>000156</t>
  </si>
  <si>
    <t>MVEH-000298</t>
  </si>
  <si>
    <t>T5548LA</t>
  </si>
  <si>
    <t>RAHEEM Akeem Olalekan</t>
  </si>
  <si>
    <t>Raheem Akeem Olalekan</t>
  </si>
  <si>
    <t>002193</t>
  </si>
  <si>
    <t>MVEH-000145</t>
  </si>
  <si>
    <t>T2417LA</t>
  </si>
  <si>
    <t xml:space="preserve"> SIno 4*2 Cargo Truck</t>
  </si>
  <si>
    <t>OWOYEMI Isa Babatunde</t>
  </si>
  <si>
    <t>Isa Owoyemi</t>
  </si>
  <si>
    <t>000917</t>
  </si>
  <si>
    <t>MVEH-000202</t>
  </si>
  <si>
    <t>AAA822XS</t>
  </si>
  <si>
    <t>Hyundai Hi P Van 3</t>
  </si>
  <si>
    <t>2T</t>
  </si>
  <si>
    <t>BUS</t>
  </si>
  <si>
    <t>MVEH-000289</t>
  </si>
  <si>
    <t>T1589LA</t>
  </si>
  <si>
    <t>Isuzu Truck Model : QKR 55H</t>
  </si>
  <si>
    <t>ADELEKE Seun Oluwasegun</t>
  </si>
  <si>
    <t>Seun Adeleke</t>
  </si>
  <si>
    <t>003284</t>
  </si>
  <si>
    <t>MVEH-000304</t>
  </si>
  <si>
    <t>KSF352YC</t>
  </si>
  <si>
    <t>Foton L/D Truck (+body BJ1020)</t>
  </si>
  <si>
    <t>1T</t>
  </si>
  <si>
    <t>10FT</t>
  </si>
  <si>
    <t>ADEDEJI Aderemi Adetunji</t>
  </si>
  <si>
    <t>Adedeji Aderemi</t>
  </si>
  <si>
    <t>003560</t>
  </si>
  <si>
    <t>MVEH-000363</t>
  </si>
  <si>
    <t>KRD640YF</t>
  </si>
  <si>
    <t>MK1 3T Truck 2.8L Isuzu Manual</t>
  </si>
  <si>
    <t>ESSIEN Micah Emmanuel</t>
  </si>
  <si>
    <t>Essien Emmanuel</t>
  </si>
  <si>
    <t>000425</t>
  </si>
  <si>
    <t>MVEH-000287</t>
  </si>
  <si>
    <t>T1678LA</t>
  </si>
  <si>
    <t>Isuzu Truck Model : T 1678 LA</t>
  </si>
  <si>
    <t>ADEKOBA Toluwase Alex</t>
  </si>
  <si>
    <t>Adekoba Toluwalase Alex</t>
  </si>
  <si>
    <t>003186</t>
  </si>
  <si>
    <t>MVEH-000103</t>
  </si>
  <si>
    <t>KTU74XP</t>
  </si>
  <si>
    <t>ADAMU Mohammed</t>
  </si>
  <si>
    <t>Mohammed Adamu</t>
  </si>
  <si>
    <t>003160</t>
  </si>
  <si>
    <t>MVEH-000288</t>
  </si>
  <si>
    <t>T1590LA</t>
  </si>
  <si>
    <t>ADEGBENRO Abayomi Meshack</t>
  </si>
  <si>
    <t>Adegbenro Abayomi</t>
  </si>
  <si>
    <t>003271</t>
  </si>
  <si>
    <t>MVEH-000146</t>
  </si>
  <si>
    <t>T2413LA</t>
  </si>
  <si>
    <t>T 2413 LA 4*2Cargo Truck</t>
  </si>
  <si>
    <t>OKOJIE Lucky Araze</t>
  </si>
  <si>
    <t>Okojie Lucky</t>
  </si>
  <si>
    <t>000785</t>
  </si>
  <si>
    <t>DAODU Timileyin Monday</t>
  </si>
  <si>
    <t xml:space="preserve">Station Officer </t>
  </si>
  <si>
    <t xml:space="preserve">Operation Manager </t>
  </si>
  <si>
    <t>AJIBADE Afeez Adeyemi</t>
  </si>
  <si>
    <t>YEKEEN Oyetunde Bolarinwa</t>
  </si>
  <si>
    <t>S/No</t>
  </si>
  <si>
    <t>Employee staff number</t>
  </si>
  <si>
    <t>NAME</t>
  </si>
  <si>
    <t>Position Name</t>
  </si>
  <si>
    <t>Company</t>
  </si>
  <si>
    <t>JOINING DATE</t>
  </si>
  <si>
    <t>Employee category</t>
  </si>
  <si>
    <t>Staff Group (Local/Expatriate/3rd Party</t>
  </si>
  <si>
    <t>Branch Code</t>
  </si>
  <si>
    <t>Branch Name</t>
  </si>
  <si>
    <t>costcenter</t>
  </si>
  <si>
    <t>CC Name</t>
  </si>
  <si>
    <t>Dept Code</t>
  </si>
  <si>
    <t>Dept Name</t>
  </si>
  <si>
    <t>Job Function</t>
  </si>
  <si>
    <t>Business Unit</t>
  </si>
  <si>
    <t>Intercompany functions</t>
  </si>
  <si>
    <t>Within JMG function</t>
  </si>
  <si>
    <t>Reporting line Manager's Name</t>
  </si>
  <si>
    <t>Section</t>
  </si>
  <si>
    <t>Country of Resident</t>
  </si>
  <si>
    <t>000033</t>
  </si>
  <si>
    <t xml:space="preserve">ADAH Joseph </t>
  </si>
  <si>
    <t>Bike Mechanic</t>
  </si>
  <si>
    <t>Labour</t>
  </si>
  <si>
    <t>BRH002</t>
  </si>
  <si>
    <t>CC025</t>
  </si>
  <si>
    <t>DPT023</t>
  </si>
  <si>
    <t>Direct</t>
  </si>
  <si>
    <t>Logistics Support</t>
  </si>
  <si>
    <t>Overhead</t>
  </si>
  <si>
    <t>Shared Services</t>
  </si>
  <si>
    <t>Dedicated Service</t>
  </si>
  <si>
    <t>Shared service</t>
  </si>
  <si>
    <t xml:space="preserve">GHASSAN El Saifi  </t>
  </si>
  <si>
    <t>Nigeria</t>
  </si>
  <si>
    <t xml:space="preserve">HIAB Operator </t>
  </si>
  <si>
    <t>CC039</t>
  </si>
  <si>
    <t>DPT026</t>
  </si>
  <si>
    <t>Logistics</t>
  </si>
  <si>
    <t>Transport</t>
  </si>
  <si>
    <t>Dedicated service</t>
  </si>
  <si>
    <t>000089</t>
  </si>
  <si>
    <t>ADEWUNMI Adetayo Joseph</t>
  </si>
  <si>
    <t>BRH001</t>
  </si>
  <si>
    <t>000105</t>
  </si>
  <si>
    <t xml:space="preserve">AFOLABI Ayodeji </t>
  </si>
  <si>
    <t>000133</t>
  </si>
  <si>
    <t xml:space="preserve">Logistics Supervisor Heavy Duty </t>
  </si>
  <si>
    <t>Admin</t>
  </si>
  <si>
    <t>CC024</t>
  </si>
  <si>
    <t>Logistics And Transportation Ovh</t>
  </si>
  <si>
    <t xml:space="preserve">DAYEKH Mohamad </t>
  </si>
  <si>
    <t>Light Duty Driver</t>
  </si>
  <si>
    <t>CC047</t>
  </si>
  <si>
    <t>Heavy Duty Driver</t>
  </si>
  <si>
    <t>CC059</t>
  </si>
  <si>
    <t>HAULAGE</t>
  </si>
  <si>
    <t>CC046</t>
  </si>
  <si>
    <t>Flat Trucks Logistics</t>
  </si>
  <si>
    <t>000181</t>
  </si>
  <si>
    <t>ALAMEZIE Denis Ndubuisi</t>
  </si>
  <si>
    <t>000220</t>
  </si>
  <si>
    <t xml:space="preserve">ASINI Ogwhonigho </t>
  </si>
  <si>
    <t>Logisitics Officer</t>
  </si>
  <si>
    <t>BRH009</t>
  </si>
  <si>
    <t>PH</t>
  </si>
  <si>
    <t>CC066</t>
  </si>
  <si>
    <t>Stores Operations</t>
  </si>
  <si>
    <t xml:space="preserve">Indirect </t>
  </si>
  <si>
    <t>000303</t>
  </si>
  <si>
    <t>BANYE Franklin Asuamaka</t>
  </si>
  <si>
    <t>Trailer Motor Boy</t>
  </si>
  <si>
    <t>000450</t>
  </si>
  <si>
    <t xml:space="preserve">EZRA Mallam </t>
  </si>
  <si>
    <t>000502</t>
  </si>
  <si>
    <t>IDOWU Sunday Morakinyo</t>
  </si>
  <si>
    <t>000541</t>
  </si>
  <si>
    <t>ISIJOLA Temidire  Oluwaseun</t>
  </si>
  <si>
    <t>000568</t>
  </si>
  <si>
    <t>UDOH Michael John</t>
  </si>
  <si>
    <t>Driver</t>
  </si>
  <si>
    <t xml:space="preserve">AFOUR Andreh </t>
  </si>
  <si>
    <t>Workshop</t>
  </si>
  <si>
    <t>000651</t>
  </si>
  <si>
    <t xml:space="preserve">MOHAMMED Haruna </t>
  </si>
  <si>
    <t>Delivery Coordinator</t>
  </si>
  <si>
    <t>000737</t>
  </si>
  <si>
    <t>ODUNUGA Olanrewaju  Femi</t>
  </si>
  <si>
    <t>Vulcanizer</t>
  </si>
  <si>
    <t>OGUNLEYE Emmanuel Seun</t>
  </si>
  <si>
    <t>000899</t>
  </si>
  <si>
    <t>ORUKPE Daniel Okoedion</t>
  </si>
  <si>
    <t xml:space="preserve"> Petrol/Diesel  Auto Mechanic</t>
  </si>
  <si>
    <t>001092</t>
  </si>
  <si>
    <t>UZOMA Maduabuchi Basil</t>
  </si>
  <si>
    <t>001378</t>
  </si>
  <si>
    <t>ONI Kehinde Abdulateef</t>
  </si>
  <si>
    <t>Logistics Field Officer</t>
  </si>
  <si>
    <t>001241</t>
  </si>
  <si>
    <t>Logistics Manager</t>
  </si>
  <si>
    <t>Expat</t>
  </si>
  <si>
    <t>Mazen Jubaili</t>
  </si>
  <si>
    <t>001417</t>
  </si>
  <si>
    <t>BADMUS Kayode Lukman</t>
  </si>
  <si>
    <t>001639</t>
  </si>
  <si>
    <t>RABIU Oluwaseun Olakunle</t>
  </si>
  <si>
    <t>001641</t>
  </si>
  <si>
    <t>DAUDA Ismaila Olayode</t>
  </si>
  <si>
    <t>Heavy Duty Mechanic</t>
  </si>
  <si>
    <t>ADEGOKE Ademola Abdulkareem</t>
  </si>
  <si>
    <t>002018</t>
  </si>
  <si>
    <t>AJILETU Samuel Abiodun</t>
  </si>
  <si>
    <t>002040</t>
  </si>
  <si>
    <t>OLUWAYEMI Teniola Temini</t>
  </si>
  <si>
    <t>Logistics Call Centre  Officer</t>
  </si>
  <si>
    <t>002045</t>
  </si>
  <si>
    <t>USMAN Jamilu Muhd</t>
  </si>
  <si>
    <t>Logistics Assistant</t>
  </si>
  <si>
    <t>BRH008</t>
  </si>
  <si>
    <t>Stores</t>
  </si>
  <si>
    <t>002317</t>
  </si>
  <si>
    <t>ALABI Emmanuel Afeso</t>
  </si>
  <si>
    <t>002322</t>
  </si>
  <si>
    <t>FOWODE Sunday Jacob</t>
  </si>
  <si>
    <t>002619</t>
  </si>
  <si>
    <t>OTULANA Joseph Adewale</t>
  </si>
  <si>
    <t xml:space="preserve">Tracking Officer </t>
  </si>
  <si>
    <t>ADENEYE Ademola Owonola</t>
  </si>
  <si>
    <t>002740</t>
  </si>
  <si>
    <t>ODENIYI Olatunde Sharafa</t>
  </si>
  <si>
    <t>002568</t>
  </si>
  <si>
    <t>SANNI Sherif Omolade</t>
  </si>
  <si>
    <t>Distribution Manager</t>
  </si>
  <si>
    <t>BRHJ002</t>
  </si>
  <si>
    <t>CCJ005</t>
  </si>
  <si>
    <t>General Overhead (All Branches)</t>
  </si>
  <si>
    <t>DEPJ013</t>
  </si>
  <si>
    <t>Jamara Share Service</t>
  </si>
  <si>
    <t>Rabih Jammal/Cana Wang</t>
  </si>
  <si>
    <t>003566</t>
  </si>
  <si>
    <t>OBIAWOLO Dumebi Sandra</t>
  </si>
  <si>
    <t>Assist Distribution Manager</t>
  </si>
  <si>
    <t xml:space="preserve">AJAY Shroff Sia </t>
  </si>
  <si>
    <t>002841</t>
  </si>
  <si>
    <t>ANJORIN Adebayo Samuel</t>
  </si>
  <si>
    <t>Workshop Supervisor</t>
  </si>
  <si>
    <t>002857</t>
  </si>
  <si>
    <t>VIHO Emmanuel Abdulahi</t>
  </si>
  <si>
    <t>Floor Truck Supervisor</t>
  </si>
  <si>
    <t>002879</t>
  </si>
  <si>
    <t xml:space="preserve">UMORU Oluwasegun </t>
  </si>
  <si>
    <t>Logistics Supervisor</t>
  </si>
  <si>
    <t>BRH007</t>
  </si>
  <si>
    <t>Ibadan central</t>
  </si>
  <si>
    <t>002918</t>
  </si>
  <si>
    <t>OSHO Moshopeoluwa Ayomipo</t>
  </si>
  <si>
    <t>Workshop Floor Engineer</t>
  </si>
  <si>
    <t>002921</t>
  </si>
  <si>
    <t>DEEBEE Prince  Barisia</t>
  </si>
  <si>
    <t>002949</t>
  </si>
  <si>
    <t>IWEZOR Henry  Kinikawon</t>
  </si>
  <si>
    <t>002984</t>
  </si>
  <si>
    <t>JOHNSON Friday Essuene</t>
  </si>
  <si>
    <t>002985</t>
  </si>
  <si>
    <t xml:space="preserve">MUSA Mubarak </t>
  </si>
  <si>
    <t>002989</t>
  </si>
  <si>
    <t>SHUAIBU Ibrahim Shadolo</t>
  </si>
  <si>
    <t>003053</t>
  </si>
  <si>
    <t>ABDULQUADRI Jimoh Ayomidimeji</t>
  </si>
  <si>
    <t>Auto Electrician</t>
  </si>
  <si>
    <t>003055</t>
  </si>
  <si>
    <t xml:space="preserve">BABATUNDE Kazeem </t>
  </si>
  <si>
    <t>003132</t>
  </si>
  <si>
    <t>Logistics Analyst</t>
  </si>
  <si>
    <t>003259</t>
  </si>
  <si>
    <t>003260</t>
  </si>
  <si>
    <t>Workshop Manager</t>
  </si>
  <si>
    <t>003262</t>
  </si>
  <si>
    <t>003081</t>
  </si>
  <si>
    <t>ASOLOKO Alaku Mallama</t>
  </si>
  <si>
    <t>003358</t>
  </si>
  <si>
    <t>FOLARIN Nafisat Abiola</t>
  </si>
  <si>
    <t>Logistics Account Officer</t>
  </si>
  <si>
    <t>003375</t>
  </si>
  <si>
    <t>OLUKOKUN Kehinde  Adetoun</t>
  </si>
  <si>
    <t xml:space="preserve">NDUBUISI Emmanuel </t>
  </si>
  <si>
    <t>003444</t>
  </si>
  <si>
    <t>NAMADI  Hussein</t>
  </si>
  <si>
    <t>003450</t>
  </si>
  <si>
    <t>JIBOLA  Olalekan Bamidele</t>
  </si>
  <si>
    <t>003459</t>
  </si>
  <si>
    <t>JOAKIN Kehinde Adeoye</t>
  </si>
  <si>
    <t>003461</t>
  </si>
  <si>
    <t>YUSUF Olasunkanmi Quadri</t>
  </si>
  <si>
    <t>003470</t>
  </si>
  <si>
    <t xml:space="preserve">OKORIE Jone </t>
  </si>
  <si>
    <t>Logistics Admin Officer</t>
  </si>
  <si>
    <t>003478</t>
  </si>
  <si>
    <t>Tyre Coordinator</t>
  </si>
  <si>
    <t>003484</t>
  </si>
  <si>
    <t>Heavy Duty Logistics Supervisor</t>
  </si>
  <si>
    <t>003488</t>
  </si>
  <si>
    <t>AGBOOLA  Toheeb Abidemi</t>
  </si>
  <si>
    <t>Tracking Officer</t>
  </si>
  <si>
    <t>003494</t>
  </si>
  <si>
    <t>Workshop Mechanic</t>
  </si>
  <si>
    <t>003511</t>
  </si>
  <si>
    <t xml:space="preserve">OJO  Origbeminiyi </t>
  </si>
  <si>
    <t>Welder</t>
  </si>
  <si>
    <t>Technician</t>
  </si>
  <si>
    <t>Generators</t>
  </si>
  <si>
    <t>TIHAMIYU Yekini Alabi</t>
  </si>
  <si>
    <t>Steel Fabrication(F1)</t>
  </si>
  <si>
    <t>003514</t>
  </si>
  <si>
    <t>ARALAMO Olumide Yemi</t>
  </si>
  <si>
    <t>003518</t>
  </si>
  <si>
    <t>AKINREMI Emmanuel Oriyomi</t>
  </si>
  <si>
    <t>Workshop Vehicle Inspector</t>
  </si>
  <si>
    <t>003529</t>
  </si>
  <si>
    <t>OLAJUMOKE Sabitu Alabi</t>
  </si>
  <si>
    <t>Panel Beater</t>
  </si>
  <si>
    <t>003530</t>
  </si>
  <si>
    <t>SHOLOLA Kehinde Mathew</t>
  </si>
  <si>
    <t>003531</t>
  </si>
  <si>
    <t xml:space="preserve">RABIU Safiu </t>
  </si>
  <si>
    <t>003561</t>
  </si>
  <si>
    <t>ADEGBOYE  Mufutau Olawale</t>
  </si>
  <si>
    <t>003568</t>
  </si>
  <si>
    <t>ISAMA Stanley  Stephen</t>
  </si>
  <si>
    <t>Tyre Puller</t>
  </si>
  <si>
    <t>Delivery Driver</t>
  </si>
  <si>
    <t>003621</t>
  </si>
  <si>
    <t>AGBOOLA Olanrewaju Nathaniel</t>
  </si>
  <si>
    <t>003622</t>
  </si>
  <si>
    <t>AKINDE  Semiu Jamiu</t>
  </si>
  <si>
    <t>003630</t>
  </si>
  <si>
    <t xml:space="preserve">JAMES Rain </t>
  </si>
  <si>
    <t>003633</t>
  </si>
  <si>
    <t>SHOWOLE Sodiq Olamilekan</t>
  </si>
  <si>
    <t>003636</t>
  </si>
  <si>
    <t>MURITAL  Afeez Arisekola</t>
  </si>
  <si>
    <t>jmG</t>
  </si>
  <si>
    <t>003119</t>
  </si>
  <si>
    <t>OGUNLEYE Abiodun Amos</t>
  </si>
  <si>
    <t xml:space="preserve">25 Naira Per KM </t>
  </si>
  <si>
    <t xml:space="preserve">Use KPI Sheet </t>
  </si>
  <si>
    <t xml:space="preserve">Driver Road Expenses </t>
  </si>
  <si>
    <t>APMT-MSC</t>
  </si>
  <si>
    <t>APMT-CMA</t>
  </si>
  <si>
    <t xml:space="preserve">ESS-Libra-CMA </t>
  </si>
  <si>
    <t>ESS-Libra-MSC</t>
  </si>
  <si>
    <t>Additional Diesel</t>
  </si>
  <si>
    <t>Passing Truck Express</t>
  </si>
  <si>
    <t>Dropping Empty</t>
  </si>
  <si>
    <t xml:space="preserve">Ikorudo-CMA </t>
  </si>
  <si>
    <t>Ikorudo-MSC</t>
  </si>
  <si>
    <t xml:space="preserve">MTC Module </t>
  </si>
  <si>
    <t>Additional Expense on Created Trip</t>
  </si>
  <si>
    <t xml:space="preserve">Expense Module Request </t>
  </si>
  <si>
    <t xml:space="preserve">3PL PO </t>
  </si>
  <si>
    <t xml:space="preserve">PO Level should all be posted on the asset </t>
  </si>
  <si>
    <t xml:space="preserve">Entries on Asset </t>
  </si>
  <si>
    <t>Item Number</t>
  </si>
  <si>
    <t>Vehicle Model</t>
  </si>
  <si>
    <t>Original Description</t>
  </si>
  <si>
    <t>Part Name</t>
  </si>
  <si>
    <t>Vehicle Type</t>
  </si>
  <si>
    <t>Make</t>
  </si>
  <si>
    <t>Original Category</t>
  </si>
  <si>
    <t>Category</t>
  </si>
  <si>
    <t>Group</t>
  </si>
  <si>
    <t>Subgroup</t>
  </si>
  <si>
    <t>Suggested Class</t>
  </si>
  <si>
    <t xml:space="preserve">Cost </t>
  </si>
  <si>
    <t>WS1460226</t>
  </si>
  <si>
    <t>VOLKWAGEN</t>
  </si>
  <si>
    <t>Truck/VW/18310/Air Compressor</t>
  </si>
  <si>
    <t>Air Compressor</t>
  </si>
  <si>
    <t>Truck</t>
  </si>
  <si>
    <t>Volkswagen</t>
  </si>
  <si>
    <t>Mechanical</t>
  </si>
  <si>
    <t>Air Brake System</t>
  </si>
  <si>
    <t>Air Compressor Assembly</t>
  </si>
  <si>
    <t>WS1461310</t>
  </si>
  <si>
    <t>—</t>
  </si>
  <si>
    <t>Truck/Foton/Hiab/Air Compressor</t>
  </si>
  <si>
    <t>Foton</t>
  </si>
  <si>
    <t>WS1460849</t>
  </si>
  <si>
    <t>HOWO 371 6X4 DANGOTE</t>
  </si>
  <si>
    <t>Truck/Sino/6x4D/Air compressor assembly</t>
  </si>
  <si>
    <t>Air compressor assembly</t>
  </si>
  <si>
    <t>Sinotruk HOWO</t>
  </si>
  <si>
    <t>WS1460854</t>
  </si>
  <si>
    <t>HOWO E7G371 6X4 (COVID)</t>
  </si>
  <si>
    <t>Truck/Sino/6x4C/AIR COMPRESSOR COVID19</t>
  </si>
  <si>
    <t>AIR COMPRESSOR COVID19</t>
  </si>
  <si>
    <t>WS1460219</t>
  </si>
  <si>
    <t>Truck/Sino/All/Air Compressure Kit</t>
  </si>
  <si>
    <t>Air Compressure Kit</t>
  </si>
  <si>
    <t>Compressor Repair Kits &amp; Gaskets</t>
  </si>
  <si>
    <t>WS1460253</t>
  </si>
  <si>
    <t>Truck/VW/18310/Compressor Head Gasket</t>
  </si>
  <si>
    <t>Compressor Head Gasket</t>
  </si>
  <si>
    <t>SINO-6x4-COMPR-KIT</t>
  </si>
  <si>
    <t>Compressor kit</t>
  </si>
  <si>
    <t>WS1460460</t>
  </si>
  <si>
    <t>Truck/All/All/12Mm Air Hose Black</t>
  </si>
  <si>
    <t>12Mm Air Hose Black</t>
  </si>
  <si>
    <t>Universal</t>
  </si>
  <si>
    <t>Air Lines &amp; Fittings</t>
  </si>
  <si>
    <t>Air / Brake Hoses &amp; Connectors</t>
  </si>
  <si>
    <t>WS1460288</t>
  </si>
  <si>
    <t>Truck/VW/18310/Air Coulper</t>
  </si>
  <si>
    <t>Air Coulper</t>
  </si>
  <si>
    <t>VW-18310-AIR-HOSE</t>
  </si>
  <si>
    <t>Air hose</t>
  </si>
  <si>
    <t>WS1461202</t>
  </si>
  <si>
    <t>All/All/All/Air Hose Quick Fix 12MM</t>
  </si>
  <si>
    <t>Air Hose Quick Fix 12MM</t>
  </si>
  <si>
    <t>All</t>
  </si>
  <si>
    <t>WS1460461</t>
  </si>
  <si>
    <t>All/All/All/Air Hose Quick Fix 6Mm</t>
  </si>
  <si>
    <t>Air Hose Quick Fix 6Mm</t>
  </si>
  <si>
    <t>WS1460462</t>
  </si>
  <si>
    <t>All/All/All/Air Hose Quick Fix 8Mm</t>
  </si>
  <si>
    <t>Air Hose Quick Fix 8Mm</t>
  </si>
  <si>
    <t>WS1460463</t>
  </si>
  <si>
    <t>BRAKE HOSE FRONT</t>
  </si>
  <si>
    <t>Unspecified</t>
  </si>
  <si>
    <t>WS1460160</t>
  </si>
  <si>
    <t>Truck/Sino/6X4/Compressor Flexible Pipe</t>
  </si>
  <si>
    <t>Compressor Flexible Pipe</t>
  </si>
  <si>
    <t>WS1461297</t>
  </si>
  <si>
    <t>SINOTRUCK SWZ10 4X2</t>
  </si>
  <si>
    <t>Truck/Sino/4X2/Compressor Flexible Pipe</t>
  </si>
  <si>
    <t>VW-18310-COMP-HOS-L</t>
  </si>
  <si>
    <t>compressor hose long</t>
  </si>
  <si>
    <t>WS1460841</t>
  </si>
  <si>
    <t>COMPRESSOR HOSE LONG</t>
  </si>
  <si>
    <t>WS1460255</t>
  </si>
  <si>
    <t>Truck/VW/18310/Compressor Hose Short</t>
  </si>
  <si>
    <t>Compressor Hose Short</t>
  </si>
  <si>
    <t>WS1460256</t>
  </si>
  <si>
    <t>Truck/VW/18310/Compressor Pipe</t>
  </si>
  <si>
    <t>Compressor Pipe</t>
  </si>
  <si>
    <t>WS1461181</t>
  </si>
  <si>
    <t>FOTON AUMARK TX BJ1511</t>
  </si>
  <si>
    <t>Truck/Foton/Hiab/Flexible Hose - Compressor</t>
  </si>
  <si>
    <t>Flexible Hose - Compressor</t>
  </si>
  <si>
    <t>WS1460467</t>
  </si>
  <si>
    <t>Truck/All/All/Hose Connector</t>
  </si>
  <si>
    <t>Hose Connector</t>
  </si>
  <si>
    <t>WS1460475</t>
  </si>
  <si>
    <t>Truck/All/All/Sino Brake Hose</t>
  </si>
  <si>
    <t>Sino Brake Hose</t>
  </si>
  <si>
    <t>WS1460476</t>
  </si>
  <si>
    <t>Truck/All/All/T-Hose Connector</t>
  </si>
  <si>
    <t>T-Hose Connector</t>
  </si>
  <si>
    <t>WS1461163</t>
  </si>
  <si>
    <t>Truck/VW/All/VW COMPRESSOR FLEXIBLE PIPE</t>
  </si>
  <si>
    <t>VW COMPRESSOR FLEXIBLE PIPE</t>
  </si>
  <si>
    <t>WS1460145</t>
  </si>
  <si>
    <t>Truck/Sino/All/Complete Air Dryer</t>
  </si>
  <si>
    <t>Complete Air Dryer</t>
  </si>
  <si>
    <t>Air Supply</t>
  </si>
  <si>
    <t>Air Dryer</t>
  </si>
  <si>
    <t>WS1461236</t>
  </si>
  <si>
    <t>Truck/Sino 6X4D/Air Brake Tank Big</t>
  </si>
  <si>
    <t>Air Brake Tank Big</t>
  </si>
  <si>
    <t>Air Tanks</t>
  </si>
  <si>
    <t>WS1461377</t>
  </si>
  <si>
    <t>Air Tank /Jumbo trailer body</t>
  </si>
  <si>
    <t>Trailer</t>
  </si>
  <si>
    <t>WS1460784</t>
  </si>
  <si>
    <t>Truck/Sino/6X4/Air Tank Smallest</t>
  </si>
  <si>
    <t>Air Tank Smallest</t>
  </si>
  <si>
    <t>WS1461216</t>
  </si>
  <si>
    <t>Truck/Sino/6X4/Brake Air Tank Medium</t>
  </si>
  <si>
    <t>Brake Air Tank Medium</t>
  </si>
  <si>
    <t>WS1460223</t>
  </si>
  <si>
    <t>Truck/VW/18310/Air Booster</t>
  </si>
  <si>
    <t>Air Booster</t>
  </si>
  <si>
    <t>Boosters</t>
  </si>
  <si>
    <t>WS1461251</t>
  </si>
  <si>
    <t>MERCEDE BENZ SK 1729</t>
  </si>
  <si>
    <t>Truck/MB/Hiab/Air Valve</t>
  </si>
  <si>
    <t>Air Valve</t>
  </si>
  <si>
    <t>Mercedes-Benz</t>
  </si>
  <si>
    <t>Valves</t>
  </si>
  <si>
    <t>Brake / Air Valves</t>
  </si>
  <si>
    <t>WS1461183</t>
  </si>
  <si>
    <t>Truck/Sino/6x4/Brake Solenoid Valve</t>
  </si>
  <si>
    <t>Brake Solenoid Valve</t>
  </si>
  <si>
    <t>WS1460813</t>
  </si>
  <si>
    <t>Truck/All/All/Chassis Relay Valve</t>
  </si>
  <si>
    <t>Chassis Relay Valve</t>
  </si>
  <si>
    <t>WS1461227</t>
  </si>
  <si>
    <t>Trailer/Flatbed/Control Valve</t>
  </si>
  <si>
    <t>Control Valve</t>
  </si>
  <si>
    <t>WS1460893</t>
  </si>
  <si>
    <t>Truck/VW/18310/Distribution Valve</t>
  </si>
  <si>
    <t>Distribution Valve</t>
  </si>
  <si>
    <t>WS1461123</t>
  </si>
  <si>
    <t>Truck/All/All/Distributor valve</t>
  </si>
  <si>
    <t>Distributor valve</t>
  </si>
  <si>
    <t>WS1461331</t>
  </si>
  <si>
    <t>Exhaust Brake Valve Sino Howo 371 WG9725542041</t>
  </si>
  <si>
    <t>VW-18310-FOOT-VLV</t>
  </si>
  <si>
    <t>foot valve</t>
  </si>
  <si>
    <t>WS1461164</t>
  </si>
  <si>
    <t>Truck/All/All/foot valve</t>
  </si>
  <si>
    <t>WS1461333</t>
  </si>
  <si>
    <t>Footvalve Sino Howo 371 WG9000360502/5</t>
  </si>
  <si>
    <t>WS1460816</t>
  </si>
  <si>
    <t>Truck/All/All/Four-Circuit Valve</t>
  </si>
  <si>
    <t>Four-Circuit Valve</t>
  </si>
  <si>
    <t>WS1460279</t>
  </si>
  <si>
    <t>Truck/VW/18310/Hand Brake Air Valve</t>
  </si>
  <si>
    <t>Hand Brake Air Valve</t>
  </si>
  <si>
    <t>WS1460817</t>
  </si>
  <si>
    <t>Truck/Sino/6X4/Hand Brake Valve</t>
  </si>
  <si>
    <t>Hand Brake Valve</t>
  </si>
  <si>
    <t>WS1461351</t>
  </si>
  <si>
    <t>Pressure Reducing Valve Howo 371 WG9000360549/1</t>
  </si>
  <si>
    <t>WS1460873</t>
  </si>
  <si>
    <t>Truck/vw/18310/PROPORTIONAL VALVE</t>
  </si>
  <si>
    <t>PROPORTIONAL VALVE</t>
  </si>
  <si>
    <t>WS1460821</t>
  </si>
  <si>
    <t>Truck/All/All/Trailer Valve</t>
  </si>
  <si>
    <t>Trailer Valve</t>
  </si>
  <si>
    <t>WS1461264</t>
  </si>
  <si>
    <t>Truck/Sino/6X4D/Complete Exhaust Pot</t>
  </si>
  <si>
    <t>Complete Exhaust Pot</t>
  </si>
  <si>
    <t>Air Intake &amp; Exhaust</t>
  </si>
  <si>
    <t>Exhaust System</t>
  </si>
  <si>
    <t>Exhaust Pipes, Pots &amp; Hangers</t>
  </si>
  <si>
    <t>WS1461198</t>
  </si>
  <si>
    <t>Truck/Sino/6X4D/Exhaust Net</t>
  </si>
  <si>
    <t>Exhaust Net</t>
  </si>
  <si>
    <t>WS1460590</t>
  </si>
  <si>
    <t>Truck/Mercedes/All/Exhaust Pipe</t>
  </si>
  <si>
    <t>Exhaust Pipe</t>
  </si>
  <si>
    <t>WS1460314</t>
  </si>
  <si>
    <t>Truck/VW/All/Exhaust Pot Hanger</t>
  </si>
  <si>
    <t>Exhaust Pot Hanger</t>
  </si>
  <si>
    <t>WS1460540</t>
  </si>
  <si>
    <t>Truck/Sino/All/Exhaust Manifold Gasket</t>
  </si>
  <si>
    <t>Exhaust Manifold Gasket</t>
  </si>
  <si>
    <t>Manifold Gaskets</t>
  </si>
  <si>
    <t>WS1460541</t>
  </si>
  <si>
    <t>Truck/Sino/All/Exhaust Manifold Gasket Small</t>
  </si>
  <si>
    <t>Exhaust Manifold Gasket Small</t>
  </si>
  <si>
    <t>WS1461248</t>
  </si>
  <si>
    <t>Truck/VW/18310/Inter Cooler Hose</t>
  </si>
  <si>
    <t>Inter Cooler Hose</t>
  </si>
  <si>
    <t>Turbocharger</t>
  </si>
  <si>
    <t>Intercooler Hoses</t>
  </si>
  <si>
    <t>WS1460477</t>
  </si>
  <si>
    <t>Truck/VW/18310/Turbo Intercooler Hose</t>
  </si>
  <si>
    <t>Turbo Intercooler Hose</t>
  </si>
  <si>
    <t>WS1461256</t>
  </si>
  <si>
    <t>Truck/Sino/6X4C/Inter Cooler</t>
  </si>
  <si>
    <t>Inter Cooler</t>
  </si>
  <si>
    <t>Intercoolers</t>
  </si>
  <si>
    <t>WS1460496</t>
  </si>
  <si>
    <t>HOWO 371 4X2 DANGOTE</t>
  </si>
  <si>
    <t>Truck/Sino/4X2/Intercooler</t>
  </si>
  <si>
    <t>Intercooler</t>
  </si>
  <si>
    <t>WS1460422</t>
  </si>
  <si>
    <t>Truck/Sino/6x4/Turbo Charger Gasket Big</t>
  </si>
  <si>
    <t>Turbo Charger Gasket Big</t>
  </si>
  <si>
    <t>Turbo Gaskets</t>
  </si>
  <si>
    <t>WS1460423</t>
  </si>
  <si>
    <t>SINOTRUCK SWZ10 6X4</t>
  </si>
  <si>
    <t>Truck/Sino/6x4/Turbo Charger Gasket Small</t>
  </si>
  <si>
    <t>Turbo Charger Gasket Small</t>
  </si>
  <si>
    <t>WS1460424</t>
  </si>
  <si>
    <t>Truck/VW/18310/Turbo Gasket</t>
  </si>
  <si>
    <t>Turbo Gasket</t>
  </si>
  <si>
    <t>WS1460592</t>
  </si>
  <si>
    <t>Truck/Sino/6X4/Supercharger Oil Return Pipe</t>
  </si>
  <si>
    <t>Supercharger Oil Return Pipe</t>
  </si>
  <si>
    <t>Turbochargers &amp; Oil Lines</t>
  </si>
  <si>
    <t>WS1460791</t>
  </si>
  <si>
    <t>Truck/Sino/Hiab/Turbo Charger</t>
  </si>
  <si>
    <t>Turbo Charger</t>
  </si>
  <si>
    <t>WS1460792</t>
  </si>
  <si>
    <t>Truck/Sino/6X4/Turbo Charger</t>
  </si>
  <si>
    <t>WS1460793</t>
  </si>
  <si>
    <t>Truck/VW/18310/Turbo Charger</t>
  </si>
  <si>
    <t>WS1461246</t>
  </si>
  <si>
    <t>ISUZU ELF 3TONS</t>
  </si>
  <si>
    <t>Truck/Isuzu/All/Turbo Charger</t>
  </si>
  <si>
    <t>Isuzu</t>
  </si>
  <si>
    <t>WS1460298</t>
  </si>
  <si>
    <t>Truck/VW/18310/Turbo Charger 13" Bolt &amp; Nut</t>
  </si>
  <si>
    <t>Turbo Charger 13" Bolt &amp; Nut</t>
  </si>
  <si>
    <t>WS1460593</t>
  </si>
  <si>
    <t>Truck/Sino/6X4/Turbo Oil Pressure Pipe</t>
  </si>
  <si>
    <t>Turbo Oil Pressure Pipe</t>
  </si>
  <si>
    <t>WS1460970</t>
  </si>
  <si>
    <t>Truck/Foton/Hiab/TURBOCHARGER</t>
  </si>
  <si>
    <t>TURBOCHARGER</t>
  </si>
  <si>
    <t>WS1461392</t>
  </si>
  <si>
    <t>Turbocharger HOWO E7 VG1560118229</t>
  </si>
  <si>
    <t>WS1460554</t>
  </si>
  <si>
    <t>Trailer/All/Body/Axle Lock Nut Bpw S30</t>
  </si>
  <si>
    <t>Axle Lock Nut Bpw S30</t>
  </si>
  <si>
    <t>Axle &amp; Wheel End</t>
  </si>
  <si>
    <t>Axle &amp; Differential</t>
  </si>
  <si>
    <t>Axle Nuts</t>
  </si>
  <si>
    <t>WS1460555</t>
  </si>
  <si>
    <t>Trailer/VW/Flatbody/Axle Nut</t>
  </si>
  <si>
    <t>Axle Nut</t>
  </si>
  <si>
    <t>WS1460399</t>
  </si>
  <si>
    <t>Truck/NA/NA/Angle Tooth Flange</t>
  </si>
  <si>
    <t>Angle Tooth Flange</t>
  </si>
  <si>
    <t>Shafts, Gears &amp; Axle Parts</t>
  </si>
  <si>
    <t>WS1460553</t>
  </si>
  <si>
    <t>Truck/NA/NA/Angle Tooth Nut</t>
  </si>
  <si>
    <t>Angle Tooth Nut</t>
  </si>
  <si>
    <t>WS1460664</t>
  </si>
  <si>
    <t>Truck/Sino/All/Axle Housing Oil Drain Screw</t>
  </si>
  <si>
    <t>Axle Housing Oil Drain Screw</t>
  </si>
  <si>
    <t>SINO 6X4 M-679</t>
  </si>
  <si>
    <t>Axle washer</t>
  </si>
  <si>
    <t>WS1460572</t>
  </si>
  <si>
    <t>Truck/Sino/4X2/Back Room</t>
  </si>
  <si>
    <t>Back Room</t>
  </si>
  <si>
    <t>WS1460574</t>
  </si>
  <si>
    <t>Truck/Howo/All/Front Division</t>
  </si>
  <si>
    <t>Front Division</t>
  </si>
  <si>
    <t>WS1460710</t>
  </si>
  <si>
    <t>Truck/Sino/6x4/Half Shaft</t>
  </si>
  <si>
    <t>Half Shaft</t>
  </si>
  <si>
    <t>WS1460033</t>
  </si>
  <si>
    <t>Truck/Howo/6X4/Middle and Rear Axle Assembly</t>
  </si>
  <si>
    <t>Middle and Rear Axle Assembly</t>
  </si>
  <si>
    <t>WS1460560</t>
  </si>
  <si>
    <t>Truck/Sino/6X4/Middle Axle Flang Jam Nut</t>
  </si>
  <si>
    <t>Middle Axle Flang Jam Nut</t>
  </si>
  <si>
    <t>WS1460589</t>
  </si>
  <si>
    <t>Truck/Sino/6x4/Pelvic Tooth</t>
  </si>
  <si>
    <t>Pelvic Tooth</t>
  </si>
  <si>
    <t>WS1460712</t>
  </si>
  <si>
    <t>Truck/Sino/6x4/Through Shaft</t>
  </si>
  <si>
    <t>Through Shaft</t>
  </si>
  <si>
    <t>WS1460674</t>
  </si>
  <si>
    <t>Truck/Sino/6x4-Hiab/Front Hub Oil Seal</t>
  </si>
  <si>
    <t>Front Hub Oil Seal</t>
  </si>
  <si>
    <t>Hub &amp; Axle Seals</t>
  </si>
  <si>
    <t>Hub / Wheel Oil Seals</t>
  </si>
  <si>
    <t>WS1460675</t>
  </si>
  <si>
    <t>Truck/VW/18310/Front Hub Oil Seal</t>
  </si>
  <si>
    <t>WS1460678</t>
  </si>
  <si>
    <t>Truck/VW/18310/Front Oil Seal</t>
  </si>
  <si>
    <t>Front Oil Seal</t>
  </si>
  <si>
    <t>WS1460680</t>
  </si>
  <si>
    <t>Truck/Sino/6x4/Front Wheel Oil Seal</t>
  </si>
  <si>
    <t>Front Wheel Oil Seal</t>
  </si>
  <si>
    <t>WS1460685</t>
  </si>
  <si>
    <t>Truck/VW/18310/Hub Oil Seal Body</t>
  </si>
  <si>
    <t>Hub Oil Seal Body</t>
  </si>
  <si>
    <t>WS1460686</t>
  </si>
  <si>
    <t>Truck/All/Axle Body/Hub Oil Seal Cone Super 25</t>
  </si>
  <si>
    <t>Hub Oil Seal Cone Super 25</t>
  </si>
  <si>
    <t>WS1460689</t>
  </si>
  <si>
    <t>Truck/Sino/6x4/Middle Pinion Oil Seal 85X105X18</t>
  </si>
  <si>
    <t>Middle Pinion Oil Seal 85X105X18</t>
  </si>
  <si>
    <t>WS1460694</t>
  </si>
  <si>
    <t>Truck/Sino/6x4/Rear Wheel Oil Seal</t>
  </si>
  <si>
    <t>Rear Wheel Oil Seal</t>
  </si>
  <si>
    <t>WS1460695</t>
  </si>
  <si>
    <t>Truck/Sino/6x4/Rear Wheel Oil Seal Seat</t>
  </si>
  <si>
    <t>Rear Wheel Oil Seal Seat</t>
  </si>
  <si>
    <t>WS1460696</t>
  </si>
  <si>
    <t>Truck/VW/18310/Tractor Oil Seal</t>
  </si>
  <si>
    <t>Tractor Oil Seal</t>
  </si>
  <si>
    <t>WS1460697</t>
  </si>
  <si>
    <t>Truck/VW/18310/Tractor Oil Seal Back</t>
  </si>
  <si>
    <t>Tractor Oil Seal Back</t>
  </si>
  <si>
    <t>WS1460019</t>
  </si>
  <si>
    <t>Pickup/Foton/Hiab/Front Wheel Hub Inner Bearing</t>
  </si>
  <si>
    <t>Front Wheel Hub Inner Bearing</t>
  </si>
  <si>
    <t>Pickup</t>
  </si>
  <si>
    <t>Wheel Bearings</t>
  </si>
  <si>
    <t>Wheel Hub Bearings</t>
  </si>
  <si>
    <t>WS1460020</t>
  </si>
  <si>
    <t>Pickup/Foton/Hiab/Front Wheel Hub Outer Bearing</t>
  </si>
  <si>
    <t>Front Wheel Hub Outer Bearing</t>
  </si>
  <si>
    <t>WS1460881</t>
  </si>
  <si>
    <t>Truck/VW/18310/Inner bearing (new) Trailer</t>
  </si>
  <si>
    <t>Inner bearing (new) Trailer</t>
  </si>
  <si>
    <t>WS1460882</t>
  </si>
  <si>
    <t>Truck/VW/18310/Outer bearing (new) Trailer</t>
  </si>
  <si>
    <t>Outer bearing (new) Trailer</t>
  </si>
  <si>
    <t>WS1460027</t>
  </si>
  <si>
    <t>Truck/Sino/6X4/Rear Wheel Bearing</t>
  </si>
  <si>
    <t>Rear Wheel Bearing</t>
  </si>
  <si>
    <t>WS1460278</t>
  </si>
  <si>
    <t>Truck/VW/18310/Rear Wheel Hub Bearing Inner</t>
  </si>
  <si>
    <t>Rear Wheel Hub Bearing Inner</t>
  </si>
  <si>
    <t>WS1460340</t>
  </si>
  <si>
    <t>Truck/All/All/Rear Wheel Hub Bearing Outer</t>
  </si>
  <si>
    <t>Rear Wheel Hub Bearing Outer</t>
  </si>
  <si>
    <t>WS1460029</t>
  </si>
  <si>
    <t>Truck/Howo/6X4/Tapered Roller Bearings 2310 GB/T297-94</t>
  </si>
  <si>
    <t>Tapered Roller Bearings 2310 GB/T297-94</t>
  </si>
  <si>
    <t>WS1460031</t>
  </si>
  <si>
    <t>Truck/Howo/6X4/Tapered Roller Bearings 32314GB/T297-94</t>
  </si>
  <si>
    <t>Tapered Roller Bearings 32314GB/T297-94</t>
  </si>
  <si>
    <t>WS1460344</t>
  </si>
  <si>
    <t>Truck/All/All/Tapper Roller Bearing Inner</t>
  </si>
  <si>
    <t>Tapper Roller Bearing Inner</t>
  </si>
  <si>
    <t>WS1460343</t>
  </si>
  <si>
    <t>Truck/All/All/Tapper Roller Bearing Inner 32219</t>
  </si>
  <si>
    <t>Tapper Roller Bearing Inner 32219</t>
  </si>
  <si>
    <t>WS1460345</t>
  </si>
  <si>
    <t>Truck/All/All/Tapper Roller Bearing Outer</t>
  </si>
  <si>
    <t>Tapper Roller Bearing Outer</t>
  </si>
  <si>
    <t>WS1460892</t>
  </si>
  <si>
    <t>Trailer/All/Body/Trailer Wheel Bearing -218210</t>
  </si>
  <si>
    <t>Trailer Wheel Bearing -218210</t>
  </si>
  <si>
    <t>WS1460584</t>
  </si>
  <si>
    <t>Trailer/Axle/Body/Trl-Yk-Ro-Brng-Ot</t>
  </si>
  <si>
    <t>Trl-Yk-Ro-Brng-Ot</t>
  </si>
  <si>
    <t>WS1460322</t>
  </si>
  <si>
    <t>Truck/Sino/Hiab/Front Wheel Ancient</t>
  </si>
  <si>
    <t>Front Wheel Ancient</t>
  </si>
  <si>
    <t>Wheel Hubs</t>
  </si>
  <si>
    <t>WS1460481</t>
  </si>
  <si>
    <t>Truck/VW/Flatbody/Front Wheel Hub Assembly</t>
  </si>
  <si>
    <t>Front Wheel Hub Assembly</t>
  </si>
  <si>
    <t>WS1460484</t>
  </si>
  <si>
    <t>Truck/NA/NA/Howo-Frt-Wl-Hub-Spc-</t>
  </si>
  <si>
    <t>Howo-Frt-Wl-Hub-Spc-</t>
  </si>
  <si>
    <t>WS1460486</t>
  </si>
  <si>
    <t>Truck/NA/NA/Rear Hub</t>
  </si>
  <si>
    <t>Rear Hub</t>
  </si>
  <si>
    <t>WS1461075</t>
  </si>
  <si>
    <t>Trailer/Jumbo/All/Wheel Hub - Super 35</t>
  </si>
  <si>
    <t>Wheel Hub - Super 35</t>
  </si>
  <si>
    <t>WS1460835</t>
  </si>
  <si>
    <t>Truck/VW/Flatbody/Wheel Hub Super 25</t>
  </si>
  <si>
    <t>Wheel Hub Super 25</t>
  </si>
  <si>
    <t>WS1460836</t>
  </si>
  <si>
    <t>Truck/All/Body/Wheel Hub Super 30</t>
  </si>
  <si>
    <t>Wheel Hub Super 30</t>
  </si>
  <si>
    <t>WS1460167</t>
  </si>
  <si>
    <t>Truck/Sino/All/Door Catcher</t>
  </si>
  <si>
    <t>Door Catcher</t>
  </si>
  <si>
    <t>Body &amp; Cab</t>
  </si>
  <si>
    <t>Doors &amp; Locks</t>
  </si>
  <si>
    <t>Door Catchers, Handles &amp; Locks</t>
  </si>
  <si>
    <t>WS1460164</t>
  </si>
  <si>
    <t>Truck/Sino/All/Door Catcher LHS</t>
  </si>
  <si>
    <t>Door Catcher LHS</t>
  </si>
  <si>
    <t>WS1460258</t>
  </si>
  <si>
    <t>Truck/VW/18310/Door Catcher Lhs</t>
  </si>
  <si>
    <t>Door Catcher Lhs</t>
  </si>
  <si>
    <t>WS1460165</t>
  </si>
  <si>
    <t>Truck/Sino/All/Door Catcher RHS</t>
  </si>
  <si>
    <t>Door Catcher RHS</t>
  </si>
  <si>
    <t>WS1460259</t>
  </si>
  <si>
    <t>Truck/VW/18310/Door Catcher Rhs</t>
  </si>
  <si>
    <t>Door Catcher Rhs</t>
  </si>
  <si>
    <t>WS1461223</t>
  </si>
  <si>
    <t>Truck/Sino/6X4C/Door Handle Left</t>
  </si>
  <si>
    <t>Door Handle Left</t>
  </si>
  <si>
    <t>WS1461222</t>
  </si>
  <si>
    <t>Truck/Sino/6X4C/Door Handle Right</t>
  </si>
  <si>
    <t>Door Handle Right</t>
  </si>
  <si>
    <t>WS1460132</t>
  </si>
  <si>
    <t>Truck/Sino/All/Left Door Catcher</t>
  </si>
  <si>
    <t>Left Door Catcher</t>
  </si>
  <si>
    <t>WS1460504</t>
  </si>
  <si>
    <t>Truck/VW/18310/Outer Door Opener With Key</t>
  </si>
  <si>
    <t>Outer Door Opener With Key</t>
  </si>
  <si>
    <t>WS1461241</t>
  </si>
  <si>
    <t>Truck/VW/All/VW Cabin Lock</t>
  </si>
  <si>
    <t>VW Cabin Lock</t>
  </si>
  <si>
    <t>WS1460538</t>
  </si>
  <si>
    <t>Truck/Howo/4X2/Door Lock Left</t>
  </si>
  <si>
    <t>Door Lock Left</t>
  </si>
  <si>
    <t>Electrical</t>
  </si>
  <si>
    <t>Door Locks</t>
  </si>
  <si>
    <t>WS1461390</t>
  </si>
  <si>
    <t>Bumper SINOTRUK HOWO E7 WG9525930223</t>
  </si>
  <si>
    <t>Exterior Panels</t>
  </si>
  <si>
    <t>Fenders, Bumpers &amp; Corners</t>
  </si>
  <si>
    <t>WS1460151</t>
  </si>
  <si>
    <t>Truck/Sino/All/Fender (H) Front Left</t>
  </si>
  <si>
    <t>Fender (H) Front Left</t>
  </si>
  <si>
    <t>WS1460152</t>
  </si>
  <si>
    <t>Truck/Sino/All/Fender (H) Front Right</t>
  </si>
  <si>
    <t>Fender (H) Front Right</t>
  </si>
  <si>
    <t>WS1460018</t>
  </si>
  <si>
    <t>Pickup/Foton/All/Front Bumper</t>
  </si>
  <si>
    <t>Front Bumper</t>
  </si>
  <si>
    <t>WS1460304</t>
  </si>
  <si>
    <t>Truck/VW/18310/Front Wind Corner Lhs</t>
  </si>
  <si>
    <t>Front Wind Corner Lhs</t>
  </si>
  <si>
    <t>WS1460305</t>
  </si>
  <si>
    <t>Truck/VW/18310/Front Wind Corner Rhs</t>
  </si>
  <si>
    <t>Front Wind Corner Rhs</t>
  </si>
  <si>
    <t>WS1460153</t>
  </si>
  <si>
    <t>Truck/Sino/All/Rear Left Fender</t>
  </si>
  <si>
    <t>Rear Left Fender</t>
  </si>
  <si>
    <t>WS1460154</t>
  </si>
  <si>
    <t>Truck/Sino/All/Rear Right Fender</t>
  </si>
  <si>
    <t>Rear Right Fender</t>
  </si>
  <si>
    <t>WS1461380</t>
  </si>
  <si>
    <t>Wheel Rear Mudguard LHS Howo 371 AZ1642230004</t>
  </si>
  <si>
    <t>WS1461379</t>
  </si>
  <si>
    <t>Wheel Rear Mudguard RHS Howo 371 WG1642230103</t>
  </si>
  <si>
    <t>WS1460318</t>
  </si>
  <si>
    <t>Truck/Howo/All/Tractor Door Step Left</t>
  </si>
  <si>
    <t>Tractor Door Step Left</t>
  </si>
  <si>
    <t>Exterior Trim</t>
  </si>
  <si>
    <t>Door Steps</t>
  </si>
  <si>
    <t>WS1460319</t>
  </si>
  <si>
    <t>Truck/Howo/All/Tractor Door Step Right</t>
  </si>
  <si>
    <t>Tractor Door Step Right</t>
  </si>
  <si>
    <t>SINO-6X4-DR-STP-L</t>
  </si>
  <si>
    <t>Tractor Doorstep Left</t>
  </si>
  <si>
    <t>SINO-6X4-DR-STP-R</t>
  </si>
  <si>
    <t>Tractor Doorstep Right</t>
  </si>
  <si>
    <t>WS1460438</t>
  </si>
  <si>
    <t>Truck/Sino/6X4/Door Glass LHS</t>
  </si>
  <si>
    <t>Door Glass LHS</t>
  </si>
  <si>
    <t>Glass &amp; Seals</t>
  </si>
  <si>
    <t>Glass &amp; Rubber Seals</t>
  </si>
  <si>
    <t>WS1460439</t>
  </si>
  <si>
    <t>Truck/Sino/6X4/Door Glass RHS</t>
  </si>
  <si>
    <t>Door Glass RHS</t>
  </si>
  <si>
    <t>WS1460442</t>
  </si>
  <si>
    <t>Truck/Sino/4X2/Side Glass Rubber</t>
  </si>
  <si>
    <t>Side Glass Rubber</t>
  </si>
  <si>
    <t>WS1460827</t>
  </si>
  <si>
    <t>Truck/Sino/Hiab/Vent Glass</t>
  </si>
  <si>
    <t>Vent Glass</t>
  </si>
  <si>
    <t>VW-18310-WINDSCREEN</t>
  </si>
  <si>
    <t>Windscreen</t>
  </si>
  <si>
    <t>WS1460839</t>
  </si>
  <si>
    <t>Truck/Sino/Hiab/Windscreen Rubber</t>
  </si>
  <si>
    <t>Windscreen Rubber</t>
  </si>
  <si>
    <t>WS1460542</t>
  </si>
  <si>
    <t>Truck/Sino/6X4/Side Mirror</t>
  </si>
  <si>
    <t>Side Mirror</t>
  </si>
  <si>
    <t>Mirrors</t>
  </si>
  <si>
    <t>Side Mirrors &amp; Hangers</t>
  </si>
  <si>
    <t>WS1460543</t>
  </si>
  <si>
    <t>Truck/VW/18310/Side Mirror</t>
  </si>
  <si>
    <t>WS1460546</t>
  </si>
  <si>
    <t>Truck/Howo/4X2/Side Mirror Double</t>
  </si>
  <si>
    <t>Side Mirror Double</t>
  </si>
  <si>
    <t>WS1460455</t>
  </si>
  <si>
    <t>Truck/VW/18310/Side Mirror Hanger R/L</t>
  </si>
  <si>
    <t>Side Mirror Hanger R/L</t>
  </si>
  <si>
    <t>WS1461212</t>
  </si>
  <si>
    <t>Canter/Isuzu/Side Mirror L</t>
  </si>
  <si>
    <t>Side Mirror L</t>
  </si>
  <si>
    <t>Truck (Canter)</t>
  </si>
  <si>
    <t>WS1461213</t>
  </si>
  <si>
    <t>Canter/Isuzu/Side Mirror R</t>
  </si>
  <si>
    <t>Side Mirror R</t>
  </si>
  <si>
    <t>WS1461232</t>
  </si>
  <si>
    <t>Trailer/All/C-Caution</t>
  </si>
  <si>
    <t>C-Caution</t>
  </si>
  <si>
    <t>Safety Markings</t>
  </si>
  <si>
    <t>Reflective / Caution Stickers</t>
  </si>
  <si>
    <t>WS1460633</t>
  </si>
  <si>
    <t>All/All/All/Rectangular Reflector Sticker</t>
  </si>
  <si>
    <t>Rectangular Reflector Sticker</t>
  </si>
  <si>
    <t>WS1461381</t>
  </si>
  <si>
    <t>Door glass lifter LHS Howo E7G371</t>
  </si>
  <si>
    <t>Windows</t>
  </si>
  <si>
    <t>Window Regulators &amp; Winders</t>
  </si>
  <si>
    <t>WS1461387</t>
  </si>
  <si>
    <t>Door glass lifter Mercede sk 1729</t>
  </si>
  <si>
    <t>WS1461382</t>
  </si>
  <si>
    <t>Door glass lifter RHS Howo E7G371</t>
  </si>
  <si>
    <t>WS1460441</t>
  </si>
  <si>
    <t>Truck/VW/18310/Door Glass Winder Nob</t>
  </si>
  <si>
    <t>Door Glass Winder Nob</t>
  </si>
  <si>
    <t>WS1460257</t>
  </si>
  <si>
    <t>Truck/VW/18310/Door Glass Winner</t>
  </si>
  <si>
    <t>Door Glass Winner</t>
  </si>
  <si>
    <t>VW-18310-GLAS-WN-ENG</t>
  </si>
  <si>
    <t>Door glass winner engine</t>
  </si>
  <si>
    <t>WS1460122</t>
  </si>
  <si>
    <t>Truck/Sino/Hiab/Door Glass Winner Engine</t>
  </si>
  <si>
    <t>Door Glass Winner Engine</t>
  </si>
  <si>
    <t>WS1461165</t>
  </si>
  <si>
    <t>Truck/VW/All/Door glass winner engine</t>
  </si>
  <si>
    <t>WS1460373</t>
  </si>
  <si>
    <t>Truck/Sino/Hiab/Window Regulator Engine Lhs</t>
  </si>
  <si>
    <t>Window Regulator Engine Lhs</t>
  </si>
  <si>
    <t>WS1460309</t>
  </si>
  <si>
    <t>Truck/VW/18310/Wiper Arm</t>
  </si>
  <si>
    <t>Wiper Arm</t>
  </si>
  <si>
    <t>Wipers</t>
  </si>
  <si>
    <t>Wiper Blades, Arms &amp; Rods</t>
  </si>
  <si>
    <t>WS1460113</t>
  </si>
  <si>
    <t>Pickup/Mitsubishi/L200/Wiper Blade</t>
  </si>
  <si>
    <t>Wiper Blade</t>
  </si>
  <si>
    <t>Mitsubishi</t>
  </si>
  <si>
    <t>WS1460142</t>
  </si>
  <si>
    <t>Truck/Sino/Hiab/Wiper Blade</t>
  </si>
  <si>
    <t>WS1460308</t>
  </si>
  <si>
    <t>Truck/VW/18310/Wiper Blade 1Set</t>
  </si>
  <si>
    <t>Wiper Blade 1Set</t>
  </si>
  <si>
    <t>WS1460661</t>
  </si>
  <si>
    <t>Truck/Sino/6X4/Wiper Rod</t>
  </si>
  <si>
    <t>Wiper Rod</t>
  </si>
  <si>
    <t>WS1460208</t>
  </si>
  <si>
    <t>Trailer/VW/Flatbody/Brake Adjuster Camshaft</t>
  </si>
  <si>
    <t>Brake Adjuster Camshaft</t>
  </si>
  <si>
    <t>Brakes</t>
  </si>
  <si>
    <t>Brake Adjusters &amp; Camshafts</t>
  </si>
  <si>
    <t>Slack Adjusters / Camshafts / Bushings</t>
  </si>
  <si>
    <t>WS1460209</t>
  </si>
  <si>
    <t>Trailer/VW/Flatbody/Brake Adjuster Camshaft Key</t>
  </si>
  <si>
    <t>Brake Adjuster Camshaft Key</t>
  </si>
  <si>
    <t>WS1460235</t>
  </si>
  <si>
    <t>Truck/VW/18310/Brake Adjuster Pin</t>
  </si>
  <si>
    <t>Brake Adjuster Pin</t>
  </si>
  <si>
    <t>WS1460222</t>
  </si>
  <si>
    <t>Truck/VW/18310/Brake Adjuster Shaft Bushing</t>
  </si>
  <si>
    <t>Brake Adjuster Shaft Bushing</t>
  </si>
  <si>
    <t>WS1460711</t>
  </si>
  <si>
    <t>Trailer/Axle/Body/Rear Axle Camshaft Bushing</t>
  </si>
  <si>
    <t>Rear Axle Camshaft Bushing</t>
  </si>
  <si>
    <t>WS1460202</t>
  </si>
  <si>
    <t>Truck/All/Axle Body/Trailer Brake Slack Adjuster Size 14</t>
  </si>
  <si>
    <t>Trailer Brake Slack Adjuster Size 14</t>
  </si>
  <si>
    <t>WS1460203</t>
  </si>
  <si>
    <t>Truck/All/Axle Body/Trailer Brake Slack Adjuster Size 19</t>
  </si>
  <si>
    <t>Trailer Brake Slack Adjuster Size 19</t>
  </si>
  <si>
    <t>WS1460980</t>
  </si>
  <si>
    <t>Truck/Isuzu/All/BRAKE POT</t>
  </si>
  <si>
    <t>BRAKE POT</t>
  </si>
  <si>
    <t>Brake Chambers</t>
  </si>
  <si>
    <t>Brake Chambers &amp; Diaphragms</t>
  </si>
  <si>
    <t>WS1460704</t>
  </si>
  <si>
    <t>Trailer/All/Body/Brake Servo Rubber Type 30</t>
  </si>
  <si>
    <t>Brake Servo Rubber Type 30</t>
  </si>
  <si>
    <t>WS1460320</t>
  </si>
  <si>
    <t>Truck/Sino/All/Brake Vaccum Double</t>
  </si>
  <si>
    <t>Brake Vaccum Double</t>
  </si>
  <si>
    <t>WS1460243</t>
  </si>
  <si>
    <t>Trailer/VW/Flatbody/Brake Vaccum Rubber</t>
  </si>
  <si>
    <t>Brake Vaccum Rubber</t>
  </si>
  <si>
    <t>WS1460244</t>
  </si>
  <si>
    <t>Truck/All/Flatbody/Brake Vaccum Single</t>
  </si>
  <si>
    <t>Brake Vaccum Single</t>
  </si>
  <si>
    <t>WS1460851</t>
  </si>
  <si>
    <t>Brake vaccum single</t>
  </si>
  <si>
    <t>WS1460302</t>
  </si>
  <si>
    <t>Truck/VW/18310/Brake Vacuum Ruber Size 30</t>
  </si>
  <si>
    <t>Brake Vacuum Ruber Size 30</t>
  </si>
  <si>
    <t>WS1460034</t>
  </si>
  <si>
    <t>Truck/Howo/6X4/Rear Axle Chamber Bracket</t>
  </si>
  <si>
    <t>Rear Axle Chamber Bracket</t>
  </si>
  <si>
    <t>WS1460662</t>
  </si>
  <si>
    <t>Truck/All/All/Servo Rubber size 24</t>
  </si>
  <si>
    <t>Servo Rubber size 24</t>
  </si>
  <si>
    <t>WS1460204</t>
  </si>
  <si>
    <t>Trailer/VW/Body/Trailer Brake Vaccum Double</t>
  </si>
  <si>
    <t>Trailer Brake Vaccum Double</t>
  </si>
  <si>
    <t>WS1460811</t>
  </si>
  <si>
    <t>Trailer/All/Flatbody/Vacuum Chamber Single</t>
  </si>
  <si>
    <t>Vacuum Chamber Single</t>
  </si>
  <si>
    <t>WS1460237</t>
  </si>
  <si>
    <t>Truck/VW/18310/Brake Drum</t>
  </si>
  <si>
    <t>Brake Drum</t>
  </si>
  <si>
    <t>Brake Drums</t>
  </si>
  <si>
    <t>WS1460238</t>
  </si>
  <si>
    <t>Truck/VW/18310/Brake Drum Front</t>
  </si>
  <si>
    <t>Brake Drum Front</t>
  </si>
  <si>
    <t>WS1460239</t>
  </si>
  <si>
    <t>Truck/VW/18310/Brake Drum Rear</t>
  </si>
  <si>
    <t>Brake Drum Rear</t>
  </si>
  <si>
    <t>WS1460368</t>
  </si>
  <si>
    <t>All/All/All/Trailer Wheel Drum</t>
  </si>
  <si>
    <t>Trailer Wheel Drum</t>
  </si>
  <si>
    <t>WS1460370</t>
  </si>
  <si>
    <t>Truck/Sino/6X4/Wheel Brake Drum Rear</t>
  </si>
  <si>
    <t>Wheel Brake Drum Rear</t>
  </si>
  <si>
    <t>SINO 6X4 411596661</t>
  </si>
  <si>
    <t>Wheel drum</t>
  </si>
  <si>
    <t>WS1461298</t>
  </si>
  <si>
    <t>Truck/Sino/6x4/Wheel Drum Super 35</t>
  </si>
  <si>
    <t>Wheel Drum Super 35</t>
  </si>
  <si>
    <t>WS1460199</t>
  </si>
  <si>
    <t>Trailer/Axle/Body/Brake Lining 10 Hole Streight</t>
  </si>
  <si>
    <t>Brake Lining 10 Hole Streight</t>
  </si>
  <si>
    <t>Brake Friction</t>
  </si>
  <si>
    <t>Brake Linings &amp; Pads</t>
  </si>
  <si>
    <t>WS1460240</t>
  </si>
  <si>
    <t>Truck/VW/18310/Brake Lining 7Inches</t>
  </si>
  <si>
    <t>Brake Lining 7Inches</t>
  </si>
  <si>
    <t>WS1460241</t>
  </si>
  <si>
    <t>Truck/VW/18310/Brake Lining 9Inches</t>
  </si>
  <si>
    <t>Brake Lining 9Inches</t>
  </si>
  <si>
    <t>WS1460125</t>
  </si>
  <si>
    <t>Truck/Sino/All/Brake Lining Front Set</t>
  </si>
  <si>
    <t>Brake Lining Front Set</t>
  </si>
  <si>
    <t>WS1460126</t>
  </si>
  <si>
    <t>Truck/Sino/6x4/Brake Lining Rear Set</t>
  </si>
  <si>
    <t>Brake Lining Rear Set</t>
  </si>
  <si>
    <t>WS1460148</t>
  </si>
  <si>
    <t>Truck/Sino/6X4/Brake Lining Tractor 14 Hole</t>
  </si>
  <si>
    <t>Brake Lining Tractor 14 Hole</t>
  </si>
  <si>
    <t>WS1460017</t>
  </si>
  <si>
    <t>Truck/Foton/Hiab/Front Brake Lining</t>
  </si>
  <si>
    <t>Front Brake Lining</t>
  </si>
  <si>
    <t>WS1460242</t>
  </si>
  <si>
    <t>Truck/VW/18310/Front Brake Lining</t>
  </si>
  <si>
    <t>WS1460116</t>
  </si>
  <si>
    <t>MERCEDE BENZ SK 2538</t>
  </si>
  <si>
    <t>Truck/Mercedes/All/Front Brake Lining 8Holes</t>
  </si>
  <si>
    <t>Front Brake Lining 8Holes</t>
  </si>
  <si>
    <t>WS1460323</t>
  </si>
  <si>
    <t>Truck/Sino/4X2/Front Brake Pad</t>
  </si>
  <si>
    <t>Front Brake Pad</t>
  </si>
  <si>
    <t>WS1461362</t>
  </si>
  <si>
    <t>Trailer Brake lining 16hole 9"</t>
  </si>
  <si>
    <t>WS1460197</t>
  </si>
  <si>
    <t>Trailer/All/Axle Body/Trailer Brake Lining 7" 16Hole</t>
  </si>
  <si>
    <t>Trailer Brake Lining 7" 16Hole</t>
  </si>
  <si>
    <t>WS1460198</t>
  </si>
  <si>
    <t>Truck/All/Axle Body/Trailer Brake Lining 8"</t>
  </si>
  <si>
    <t>Trailer Brake Lining 8"</t>
  </si>
  <si>
    <t>WS1460200</t>
  </si>
  <si>
    <t>Trailer/All/All/Brake Lining Rivet 7 Inch</t>
  </si>
  <si>
    <t>Brake Lining Rivet 7 Inch</t>
  </si>
  <si>
    <t>Lining Rivets</t>
  </si>
  <si>
    <t>WS1460196</t>
  </si>
  <si>
    <t>Trailer/All/All/Brake Lining Rivet 8inch</t>
  </si>
  <si>
    <t>Brake Lining Rivet 8inch</t>
  </si>
  <si>
    <t>WS1460201</t>
  </si>
  <si>
    <t>Trailer/All/All/Brake Lining Rivet 9 Inch</t>
  </si>
  <si>
    <t>Brake Lining Rivet 9 Inch</t>
  </si>
  <si>
    <t>WS1460232</t>
  </si>
  <si>
    <t>Truck/VW/18310/Brake Shoe</t>
  </si>
  <si>
    <t>Brake Shoe</t>
  </si>
  <si>
    <t>Brake Shoes &amp; Hardware</t>
  </si>
  <si>
    <t>Brake Shoes</t>
  </si>
  <si>
    <t>WS1461342</t>
  </si>
  <si>
    <t>Brake shoe Front Isuzu K4442</t>
  </si>
  <si>
    <t>WS1461343</t>
  </si>
  <si>
    <t>Brake shoe Rear Isuzu K4462</t>
  </si>
  <si>
    <t>WS1461330</t>
  </si>
  <si>
    <t>Brake shoe Rear Isuzu K4462 (desc. references WS1461343)</t>
  </si>
  <si>
    <t>WS1460740</t>
  </si>
  <si>
    <t>Truck/VW/18310/Brake Return Spring</t>
  </si>
  <si>
    <t>Brake Return Spring</t>
  </si>
  <si>
    <t>Return Springs</t>
  </si>
  <si>
    <t>WS1460741</t>
  </si>
  <si>
    <t>Truck/All/All/Brake Vacuum Return Spring Big</t>
  </si>
  <si>
    <t>Brake Vacuum Return Spring Big</t>
  </si>
  <si>
    <t>WS1460742</t>
  </si>
  <si>
    <t>Truck/All/All/Brake Vacuum Return Spring Small</t>
  </si>
  <si>
    <t>Brake Vacuum Return Spring Small</t>
  </si>
  <si>
    <t>WS1460187</t>
  </si>
  <si>
    <t>Trailer/All/All/Brake Shoe Roller</t>
  </si>
  <si>
    <t>Brake Shoe Roller</t>
  </si>
  <si>
    <t>Shoe Rollers</t>
  </si>
  <si>
    <t>WS1461321</t>
  </si>
  <si>
    <t>Brake Caliper LHS SINO HOWO 371HP AZ9100443300</t>
  </si>
  <si>
    <t>Hydraulic Brakes</t>
  </si>
  <si>
    <t>Brake Calipers</t>
  </si>
  <si>
    <t>WS1461322</t>
  </si>
  <si>
    <t>Brake Caliper RHS SINO HOWO 371HP AZ9100443400</t>
  </si>
  <si>
    <t>WS1461339</t>
  </si>
  <si>
    <t>Brake wheel cylinder, front set Isuzu 230-4342</t>
  </si>
  <si>
    <t>Wheel Cylinders</t>
  </si>
  <si>
    <t>WS1461340</t>
  </si>
  <si>
    <t>Brake wheel cylinder, Rear set Isuzu 230-4389</t>
  </si>
  <si>
    <t>WS1461350</t>
  </si>
  <si>
    <t>Combined Pedal Bracket Howo 371 AZ9725360020</t>
  </si>
  <si>
    <t>Chassis &amp; Coupling</t>
  </si>
  <si>
    <t>Chassis</t>
  </si>
  <si>
    <t>Pedal Brackets</t>
  </si>
  <si>
    <t>WS1460600</t>
  </si>
  <si>
    <t>Truck/Sino/6x4/Rear Steel Plate</t>
  </si>
  <si>
    <t>Rear Steel Plate</t>
  </si>
  <si>
    <t>Plates &amp; Brackets</t>
  </si>
  <si>
    <t>WS1460177</t>
  </si>
  <si>
    <t>Truck/All/All/Chassis Turn Table Bolt</t>
  </si>
  <si>
    <t>Chassis Turn Table Bolt</t>
  </si>
  <si>
    <t>Fifth Wheel</t>
  </si>
  <si>
    <t>Turntable, Kingpins &amp; Bolts</t>
  </si>
  <si>
    <t>WS1460794</t>
  </si>
  <si>
    <t>Truck/Sino/6x4/Turn Table</t>
  </si>
  <si>
    <t>Turn Table</t>
  </si>
  <si>
    <t>WS1460795</t>
  </si>
  <si>
    <t>WS1460178</t>
  </si>
  <si>
    <t>Truck/Sino/All/Turn Table Bolt</t>
  </si>
  <si>
    <t>Turn Table Bolt</t>
  </si>
  <si>
    <t>WS1460796</t>
  </si>
  <si>
    <t>Truck/VW/18310/Turn Table Kin Pin</t>
  </si>
  <si>
    <t>Turn Table Kin Pin</t>
  </si>
  <si>
    <t>WS1460797</t>
  </si>
  <si>
    <t>Truck/Sino/6x4/Turn Table Kin Pin 3.5 Inch</t>
  </si>
  <si>
    <t>Turn Table Kin Pin 3.5 Inch</t>
  </si>
  <si>
    <t>WS1460464</t>
  </si>
  <si>
    <t>Truck/VW/18310/Coiling Hose</t>
  </si>
  <si>
    <t>Coiling Hose</t>
  </si>
  <si>
    <t>Cooling System</t>
  </si>
  <si>
    <t>Coolant Hoses</t>
  </si>
  <si>
    <t>Radiator / Coolant Hoses</t>
  </si>
  <si>
    <t>WS1460472</t>
  </si>
  <si>
    <t>Truck/VW/18310/Radiator Hose Down</t>
  </si>
  <si>
    <t>Radiator Hose Down</t>
  </si>
  <si>
    <t>WS1460473</t>
  </si>
  <si>
    <t>Truck/VW/18310/Radiator Hose Up</t>
  </si>
  <si>
    <t>Radiator Hose Up</t>
  </si>
  <si>
    <t>WS1461291</t>
  </si>
  <si>
    <t>Truck/VW/18310/Water Return Pipe</t>
  </si>
  <si>
    <t>Water Return Pipe</t>
  </si>
  <si>
    <t>WS1460228</t>
  </si>
  <si>
    <t>Truck/VW/18310/Automatic Fan</t>
  </si>
  <si>
    <t>Automatic Fan</t>
  </si>
  <si>
    <t>Cooling Fan</t>
  </si>
  <si>
    <t>Fan Blades</t>
  </si>
  <si>
    <t>WS1461312</t>
  </si>
  <si>
    <t>Truck/Merc/Tanker/Fan Blade</t>
  </si>
  <si>
    <t>Fan Blade</t>
  </si>
  <si>
    <t>WS1460269</t>
  </si>
  <si>
    <t>Truck/VW/18310/Fan Blade</t>
  </si>
  <si>
    <t>WS1460214</t>
  </si>
  <si>
    <t>Truck/Howo/6X4/Fan Clutch</t>
  </si>
  <si>
    <t>Fan Clutch</t>
  </si>
  <si>
    <t>WS1460630</t>
  </si>
  <si>
    <t>Truck/VW/18310/Radiator Expansion Tank</t>
  </si>
  <si>
    <t>Radiator Expansion Tank</t>
  </si>
  <si>
    <t>Expansion Tanks</t>
  </si>
  <si>
    <t>WS1460312</t>
  </si>
  <si>
    <t>Truck/VW/18310/Water Container</t>
  </si>
  <si>
    <t>Water Container</t>
  </si>
  <si>
    <t>WS1460785</t>
  </si>
  <si>
    <t>Truck/Sino/6X4/Water Expansion Tank</t>
  </si>
  <si>
    <t>Water Expansion Tank</t>
  </si>
  <si>
    <t>WS1460136</t>
  </si>
  <si>
    <t>Truck/Sino/Hiab/Radiator Cap</t>
  </si>
  <si>
    <t>Radiator Cap</t>
  </si>
  <si>
    <t>Radiator</t>
  </si>
  <si>
    <t>Radiator Caps</t>
  </si>
  <si>
    <t>WS1460287</t>
  </si>
  <si>
    <t>Truck/VW/18310/Radiator Cap</t>
  </si>
  <si>
    <t>WS1460629</t>
  </si>
  <si>
    <t>Truck/Sino/4X2/Radiator</t>
  </si>
  <si>
    <t>Radiators</t>
  </si>
  <si>
    <t>WS1460889</t>
  </si>
  <si>
    <t>Truck/Sino/6x4D/RADIATOR</t>
  </si>
  <si>
    <t>RADIATOR</t>
  </si>
  <si>
    <t>SINO-6x4-WTR-PMP</t>
  </si>
  <si>
    <t>water pump</t>
  </si>
  <si>
    <t>Water Pump</t>
  </si>
  <si>
    <t>Water Pumps</t>
  </si>
  <si>
    <t>WS1460143</t>
  </si>
  <si>
    <t>Truck/Sino/Hiab/Water Pump</t>
  </si>
  <si>
    <t>WS1460313</t>
  </si>
  <si>
    <t>Truck/VW/18310/Water Pump</t>
  </si>
  <si>
    <t>WS1460183</t>
  </si>
  <si>
    <t>Truck/Sino/6X4/Water Pump Assembly</t>
  </si>
  <si>
    <t>Water Pump Assembly</t>
  </si>
  <si>
    <t>BATT-DIN100</t>
  </si>
  <si>
    <t>Battery 12V 100AH SAE, CCA850 DC</t>
  </si>
  <si>
    <t>Batteries &amp; Cables</t>
  </si>
  <si>
    <t>Batteries</t>
  </si>
  <si>
    <t>BATT-DIN200</t>
  </si>
  <si>
    <t>Battery 12V 200AH SAE, CCA1200 DC</t>
  </si>
  <si>
    <t>BATT-75A-9-5KVA</t>
  </si>
  <si>
    <t>Battery 12V 75AH, CCA650 DC</t>
  </si>
  <si>
    <t>BATT-03</t>
  </si>
  <si>
    <t>BATTERY 150 DRY CELL</t>
  </si>
  <si>
    <t>WS1460229</t>
  </si>
  <si>
    <t>Truck/VW/18310/Battery Cable</t>
  </si>
  <si>
    <t>Battery Cable</t>
  </si>
  <si>
    <t>Battery Cables</t>
  </si>
  <si>
    <t>SINO-6X4-BATT-COV</t>
  </si>
  <si>
    <t>SINO BATTERY COVER</t>
  </si>
  <si>
    <t>Battery Covers</t>
  </si>
  <si>
    <t>WS1461157</t>
  </si>
  <si>
    <t>Truck/All/All/BATTERY TERMINAL NEGETIVE</t>
  </si>
  <si>
    <t>BATTERY TERMINAL NEGETIVE</t>
  </si>
  <si>
    <t>Battery Terminals</t>
  </si>
  <si>
    <t>WS1461158</t>
  </si>
  <si>
    <t>Truck/All/All/BATTERY TERMINAL POSTIVE</t>
  </si>
  <si>
    <t>BATTERY TERMINAL POSTIVE</t>
  </si>
  <si>
    <t>WS1460227</t>
  </si>
  <si>
    <t>Truck/VW/18310/Alternator</t>
  </si>
  <si>
    <t>Alternator</t>
  </si>
  <si>
    <t>Charging System</t>
  </si>
  <si>
    <t>Alternator / Dynamo</t>
  </si>
  <si>
    <t>WS1461124</t>
  </si>
  <si>
    <t>Truck/Sino/All/Alternator</t>
  </si>
  <si>
    <t>WS1460216</t>
  </si>
  <si>
    <t>Truck/Sino/6x4/Dynamo</t>
  </si>
  <si>
    <t>Dynamo</t>
  </si>
  <si>
    <t>WS1460414</t>
  </si>
  <si>
    <t>Truck/All/All/Flat Fuse 10Amp</t>
  </si>
  <si>
    <t>Flat Fuse 10Amp</t>
  </si>
  <si>
    <t>Fuses &amp; Fuse Boxes</t>
  </si>
  <si>
    <t>Fuses / Fuse Box</t>
  </si>
  <si>
    <t>WS1460415</t>
  </si>
  <si>
    <t>Truck/All/All/Flat Fuse 20Amp</t>
  </si>
  <si>
    <t>Flat Fuse 20Amp</t>
  </si>
  <si>
    <t>WS1460416</t>
  </si>
  <si>
    <t>Truck/All/All/Flat Fuse 30Amp</t>
  </si>
  <si>
    <t>Flat Fuse 30Amp</t>
  </si>
  <si>
    <t>SINO-6X4D-FUSE-BOX</t>
  </si>
  <si>
    <t>FUSE BOX</t>
  </si>
  <si>
    <t>WS1460867</t>
  </si>
  <si>
    <t>Truck/All//Air horn</t>
  </si>
  <si>
    <t>Air horn</t>
  </si>
  <si>
    <t>Horns &amp; Alarms</t>
  </si>
  <si>
    <t>Horns / Alarms</t>
  </si>
  <si>
    <t>WS1460459</t>
  </si>
  <si>
    <t>Truck/VW/18310/Horn Solenoid</t>
  </si>
  <si>
    <t>Horn Solenoid</t>
  </si>
  <si>
    <t>WS1461201</t>
  </si>
  <si>
    <t>Truck/Sino/6X4/Horn Solenoid Valve</t>
  </si>
  <si>
    <t>Horn Solenoid Valve</t>
  </si>
  <si>
    <t>WS1460137</t>
  </si>
  <si>
    <t>Truck/All/All/Reverse Alarm</t>
  </si>
  <si>
    <t>Reverse Alarm</t>
  </si>
  <si>
    <t>WS1460487</t>
  </si>
  <si>
    <t>Truck/Sino/4X2/Complete Ignition Key</t>
  </si>
  <si>
    <t>Complete Ignition Key</t>
  </si>
  <si>
    <t>Ignition &amp; Keys</t>
  </si>
  <si>
    <t>Ignition Keys &amp; Parts</t>
  </si>
  <si>
    <t>WS1460488</t>
  </si>
  <si>
    <t>Truck/VW/18310/Complete Ignition Key</t>
  </si>
  <si>
    <t>WS1460575</t>
  </si>
  <si>
    <t>Truck/VW/18310/Ignition Fiber</t>
  </si>
  <si>
    <t>Ignition Fiber</t>
  </si>
  <si>
    <t>WS1460503</t>
  </si>
  <si>
    <t>Truck/VW/18310/Ignition Key</t>
  </si>
  <si>
    <t>Ignition Key</t>
  </si>
  <si>
    <t>WS1460425</t>
  </si>
  <si>
    <t>Truck/VW/18310/Diesel Tank Gauge</t>
  </si>
  <si>
    <t>Diesel Tank Gauge</t>
  </si>
  <si>
    <t>Instruments &amp; Sensors</t>
  </si>
  <si>
    <t>Fuel Gauge</t>
  </si>
  <si>
    <t>SINO-6X4C-FUEL-GUAG</t>
  </si>
  <si>
    <t>FUEL GUAGE</t>
  </si>
  <si>
    <t>WS1460426</t>
  </si>
  <si>
    <t>Truck/Sino/4X2/Fuel Guage</t>
  </si>
  <si>
    <t>Fuel Guage</t>
  </si>
  <si>
    <t>WS1461240</t>
  </si>
  <si>
    <t>Truck/Sino/Instrument Cluster</t>
  </si>
  <si>
    <t>Instrument Cluster</t>
  </si>
  <si>
    <t>Instrument Cluster / Control Units</t>
  </si>
  <si>
    <t>WS1461334</t>
  </si>
  <si>
    <t>Instrument Cluster Haib Sino Howo 371 WG9125589050/1</t>
  </si>
  <si>
    <t>WS1461127</t>
  </si>
  <si>
    <t>Truck/Sino/All/LIGHT CONTROL UNIT</t>
  </si>
  <si>
    <t>LIGHT CONTROL UNIT</t>
  </si>
  <si>
    <t>WS1460861</t>
  </si>
  <si>
    <t>Truck/Sino/6x4C&amp;D/SPEED SENSOR</t>
  </si>
  <si>
    <t>SPEED SENSOR</t>
  </si>
  <si>
    <t>Sensors</t>
  </si>
  <si>
    <t>WS1460023</t>
  </si>
  <si>
    <t>Truck/All/All/Bolt 24V</t>
  </si>
  <si>
    <t>Bolt 24V</t>
  </si>
  <si>
    <t>Lighting</t>
  </si>
  <si>
    <t>Bulbs</t>
  </si>
  <si>
    <t>WS1460025</t>
  </si>
  <si>
    <t>Truck/Sino/2021/Bolt 24V</t>
  </si>
  <si>
    <t>WS1460024</t>
  </si>
  <si>
    <t>Truck/Sino/All/Brake Light Bulb</t>
  </si>
  <si>
    <t>Brake Light Bulb</t>
  </si>
  <si>
    <t>WS1460075</t>
  </si>
  <si>
    <t>Pickup/Mitsubishi/L200/Brake Light Bulb</t>
  </si>
  <si>
    <t>WS1460236</t>
  </si>
  <si>
    <t>Truck/All/All/Brake Light Bulb</t>
  </si>
  <si>
    <t>WS1460285</t>
  </si>
  <si>
    <t>WS1460026</t>
  </si>
  <si>
    <t>Truck/Sino/4X2/Bulb H7</t>
  </si>
  <si>
    <t>Bulb H7</t>
  </si>
  <si>
    <t>WS1460260</t>
  </si>
  <si>
    <t>Truck/All/All/Dash Board/Panel Bulb</t>
  </si>
  <si>
    <t>Dash Board/Panel Bulb</t>
  </si>
  <si>
    <t>WS1460516</t>
  </si>
  <si>
    <t>Truck/Sino/6X4/Head Lamp Bulb 3Pin 24 Volts</t>
  </si>
  <si>
    <t>Head Lamp Bulb 3Pin 24 Volts</t>
  </si>
  <si>
    <t>WS1460355</t>
  </si>
  <si>
    <t>Truck/All/All/Parking Bulb</t>
  </si>
  <si>
    <t>Parking Bulb</t>
  </si>
  <si>
    <t>VW-18310-PRK-BULB</t>
  </si>
  <si>
    <t>Parking light bulb</t>
  </si>
  <si>
    <t>WS1460356</t>
  </si>
  <si>
    <t>Car/Kia/Rio/Pointer Bulb</t>
  </si>
  <si>
    <t>Pointer Bulb</t>
  </si>
  <si>
    <t>Car</t>
  </si>
  <si>
    <t>Kia</t>
  </si>
  <si>
    <t>WS1460357</t>
  </si>
  <si>
    <t>Truck/Sino/6X4/Tabless Bulb 24V</t>
  </si>
  <si>
    <t>Tabless Bulb 24V</t>
  </si>
  <si>
    <t>WS1460366</t>
  </si>
  <si>
    <t>Truck/All/All/Traficator Bulb</t>
  </si>
  <si>
    <t>Traficator Bulb</t>
  </si>
  <si>
    <t>WS1460513</t>
  </si>
  <si>
    <t>Truck/VW/All/Brake Light Complete Rear</t>
  </si>
  <si>
    <t>Brake Light Complete Rear</t>
  </si>
  <si>
    <t>Lamp Assemblies</t>
  </si>
  <si>
    <t>WS1460515</t>
  </si>
  <si>
    <t>Truck/VW/18310/Full Light</t>
  </si>
  <si>
    <t>Full Light</t>
  </si>
  <si>
    <t>WS1460514</t>
  </si>
  <si>
    <t>Truck/Sino/6X4/Full Light</t>
  </si>
  <si>
    <t>WS1461209</t>
  </si>
  <si>
    <t>Canter/Isuzu/Head Lamp</t>
  </si>
  <si>
    <t>Head Lamp</t>
  </si>
  <si>
    <t>WS1460521</t>
  </si>
  <si>
    <t>Truck/Sino/4X2/Head Lamp</t>
  </si>
  <si>
    <t>WS1460517</t>
  </si>
  <si>
    <t>Truck/Mercedes/All/Head Lamp Mercedes</t>
  </si>
  <si>
    <t>Head Lamp Mercedes</t>
  </si>
  <si>
    <t>WS1460519</t>
  </si>
  <si>
    <t>Truck/Howo/4X2/Head Light Left</t>
  </si>
  <si>
    <t>Head Light Left</t>
  </si>
  <si>
    <t>WS1460520</t>
  </si>
  <si>
    <t>Truck/Howo/4X2/Head Light Right</t>
  </si>
  <si>
    <t>Head Light Right</t>
  </si>
  <si>
    <t>WS1460526</t>
  </si>
  <si>
    <t>Truck/Foton/Hiab/Rear Light</t>
  </si>
  <si>
    <t>Rear Light</t>
  </si>
  <si>
    <t>WS1460528</t>
  </si>
  <si>
    <t>Truck/VW/18310/Rear Light</t>
  </si>
  <si>
    <t>WS1461208</t>
  </si>
  <si>
    <t>Canter/Isuzu/Rear Light</t>
  </si>
  <si>
    <t>WS1460530</t>
  </si>
  <si>
    <t>Truck/VW/All/Rear Light Left</t>
  </si>
  <si>
    <t>Rear Light Left</t>
  </si>
  <si>
    <t>WS1460532</t>
  </si>
  <si>
    <t>Truck/VW/All/Rear Light Right</t>
  </si>
  <si>
    <t>Rear Light Right</t>
  </si>
  <si>
    <t>WS1460606</t>
  </si>
  <si>
    <t>Truck/Howo/4X2/Side Pointer</t>
  </si>
  <si>
    <t>Side Pointer</t>
  </si>
  <si>
    <t>WS1460605</t>
  </si>
  <si>
    <t>Truck/Sino/4X2/Side Pointer Set</t>
  </si>
  <si>
    <t>Side Pointer Set</t>
  </si>
  <si>
    <t>WS1460537</t>
  </si>
  <si>
    <t>Truck/VW/18310/Tractor Rear Light Right</t>
  </si>
  <si>
    <t>Tractor Rear Light Right</t>
  </si>
  <si>
    <t>WS1460206</t>
  </si>
  <si>
    <t>Truck/Sino/6x4-Hiab/Rear Light Cover Short</t>
  </si>
  <si>
    <t>Rear Light Cover Short</t>
  </si>
  <si>
    <t>Lamp Covers &amp; Lenses</t>
  </si>
  <si>
    <t>WS1461151</t>
  </si>
  <si>
    <t>Truck/All/All/11PIN FLASHER RELAY</t>
  </si>
  <si>
    <t>11PIN FLASHER RELAY</t>
  </si>
  <si>
    <t>Relays &amp; Flashers</t>
  </si>
  <si>
    <t>Relays / Flashers</t>
  </si>
  <si>
    <t>WS1460634</t>
  </si>
  <si>
    <t>Truck/Sino/All/24V Relay Small 4 Pin</t>
  </si>
  <si>
    <t>24V Relay Small 4 Pin</t>
  </si>
  <si>
    <t>WS1460635</t>
  </si>
  <si>
    <t>Truck/All/All/4Pin 12V Relay Big</t>
  </si>
  <si>
    <t>4Pin 12V Relay Big</t>
  </si>
  <si>
    <t>WS1460636</t>
  </si>
  <si>
    <t>Truck/All/All/4Pin 12V Relay Small</t>
  </si>
  <si>
    <t>4Pin 12V Relay Small</t>
  </si>
  <si>
    <t>WS1460637</t>
  </si>
  <si>
    <t>Truck/VW/18310/Flasher Relay</t>
  </si>
  <si>
    <t>Flasher Relay</t>
  </si>
  <si>
    <t>WS1460604</t>
  </si>
  <si>
    <t>Truck/VW/18310/Pointer Flasher</t>
  </si>
  <si>
    <t>Pointer Flasher</t>
  </si>
  <si>
    <t>WS1460641</t>
  </si>
  <si>
    <t>Truck/Sino/All/Relay 5 Pin 24V Big</t>
  </si>
  <si>
    <t>Relay 5 Pin 24V Big</t>
  </si>
  <si>
    <t>WS1460118</t>
  </si>
  <si>
    <t>Truck/Mercedes/All/Kick Starter</t>
  </si>
  <si>
    <t>Kick Starter</t>
  </si>
  <si>
    <t>Starting System</t>
  </si>
  <si>
    <t>Starter Motors</t>
  </si>
  <si>
    <t>WS1460281</t>
  </si>
  <si>
    <t>Truck/VW/18310/Kick Starter</t>
  </si>
  <si>
    <t>WS1460030</t>
  </si>
  <si>
    <t>Truck/Sino/All/Starter</t>
  </si>
  <si>
    <t>Starter</t>
  </si>
  <si>
    <t>WS1460775</t>
  </si>
  <si>
    <t>Truck/VW/18310/Brake Light Switch</t>
  </si>
  <si>
    <t>Brake Light Switch</t>
  </si>
  <si>
    <t>Switches &amp; Solenoids</t>
  </si>
  <si>
    <t>Switches</t>
  </si>
  <si>
    <t>WS1461231</t>
  </si>
  <si>
    <t>Truck/MB/Hiab/Brake Light Switch</t>
  </si>
  <si>
    <t>WS1460776</t>
  </si>
  <si>
    <t>Truck/Sino/4X2/Combination Switch</t>
  </si>
  <si>
    <t>Combination Switch</t>
  </si>
  <si>
    <t>WS1461214</t>
  </si>
  <si>
    <t>Truck/MB/Hiab/Combination Switch</t>
  </si>
  <si>
    <t>WS1461238</t>
  </si>
  <si>
    <t>Truck/Sino/Door Control Switch LHS</t>
  </si>
  <si>
    <t>Door Control Switch LHS</t>
  </si>
  <si>
    <t>WS1461335</t>
  </si>
  <si>
    <t>Gear Switch Sino Howo 371 WG2209280022</t>
  </si>
  <si>
    <t>WS1460777</t>
  </si>
  <si>
    <t>Truck/Sino-VW/Hiab/Headlamp Switch</t>
  </si>
  <si>
    <t>Headlamp Switch</t>
  </si>
  <si>
    <t>Sinotruk / VW</t>
  </si>
  <si>
    <t>WS1460778</t>
  </si>
  <si>
    <t>Truck/Sino/6X4/Left Combination Switch</t>
  </si>
  <si>
    <t>Left Combination Switch</t>
  </si>
  <si>
    <t>WS1460779</t>
  </si>
  <si>
    <t>Truck/Mercedes/All/Oil Pressure Switch</t>
  </si>
  <si>
    <t>Oil Pressure Switch</t>
  </si>
  <si>
    <t>WS1460780</t>
  </si>
  <si>
    <t>Truck/VW/18310/Reverse Switch</t>
  </si>
  <si>
    <t>Reverse Switch</t>
  </si>
  <si>
    <t>WS1461336</t>
  </si>
  <si>
    <t>Reverse Switch Sino Howo 371 WG2209280023</t>
  </si>
  <si>
    <t>WS1460783</t>
  </si>
  <si>
    <t>Truck/Sino/Hiab/Wiper Combination Switch Lhs</t>
  </si>
  <si>
    <t>Wiper Combination Switch Lhs</t>
  </si>
  <si>
    <t>WS1460840</t>
  </si>
  <si>
    <t>Truck/Sino/6X4/Wiper Motor</t>
  </si>
  <si>
    <t>Wiper Motor</t>
  </si>
  <si>
    <t>Wiper System</t>
  </si>
  <si>
    <t>WS1461139</t>
  </si>
  <si>
    <t>Truck/Sino/6X4C/WIPER MOTOR DANGOTESINO-6X4D-WIPER-MOTO</t>
  </si>
  <si>
    <t>WIPER MOTOR DANGOTESINO-6X4D-WIPER-MOTO</t>
  </si>
  <si>
    <t>WS1461155</t>
  </si>
  <si>
    <t>Truck/All/All/7 core wire</t>
  </si>
  <si>
    <t>7 core wire</t>
  </si>
  <si>
    <t>Wiring &amp; Connectors</t>
  </si>
  <si>
    <t>Cables &amp; Sockets</t>
  </si>
  <si>
    <t>WS1460731</t>
  </si>
  <si>
    <t>Truck/All/All/Coil Wire Socket 7 Pin Female</t>
  </si>
  <si>
    <t>Coil Wire Socket 7 Pin Female</t>
  </si>
  <si>
    <t>WS1460732</t>
  </si>
  <si>
    <t>Truck/All/All/Coil Wire Socket 7 Pin Male</t>
  </si>
  <si>
    <t>Coil Wire Socket 7 Pin Male</t>
  </si>
  <si>
    <t>WS1460251</t>
  </si>
  <si>
    <t>Truck/VW/18310/Electric Coiling Wire</t>
  </si>
  <si>
    <t>Electric Coiling Wire</t>
  </si>
  <si>
    <t>WS1460735</t>
  </si>
  <si>
    <t>Truck/All/All/Socket Pin</t>
  </si>
  <si>
    <t>Socket Pin</t>
  </si>
  <si>
    <t>WS1460786</t>
  </si>
  <si>
    <t>Car/Kia/Rio/Insulation Tape</t>
  </si>
  <si>
    <t>Insulation Tape</t>
  </si>
  <si>
    <t>664ELC001</t>
  </si>
  <si>
    <t>PVC Insulation Tape</t>
  </si>
  <si>
    <t>WS1460175</t>
  </si>
  <si>
    <t>Truck/Sino/All/Belt Hook</t>
  </si>
  <si>
    <t>Belt Hook</t>
  </si>
  <si>
    <t>Engine</t>
  </si>
  <si>
    <t>Belts &amp; Accessory Drive</t>
  </si>
  <si>
    <t>Belt Tensioners</t>
  </si>
  <si>
    <t>WS1460850</t>
  </si>
  <si>
    <t>Truck/Sino/Hiab/Fan belt Adjuster</t>
  </si>
  <si>
    <t>Fan belt Adjuster</t>
  </si>
  <si>
    <t>WS1460788</t>
  </si>
  <si>
    <t>Truck/Sino/6X4/Tensioner</t>
  </si>
  <si>
    <t>Tensioner</t>
  </si>
  <si>
    <t>WS1460268</t>
  </si>
  <si>
    <t>Truck/VW/18310/Vw Fan Belt Adjuster</t>
  </si>
  <si>
    <t>Vw Fan Belt Adjuster</t>
  </si>
  <si>
    <t>WS1460038</t>
  </si>
  <si>
    <t>Truck/Isuzu/All/Alternator Belt</t>
  </si>
  <si>
    <t>Alternator Belt</t>
  </si>
  <si>
    <t>Drive Belts</t>
  </si>
  <si>
    <t>WS1460162</t>
  </si>
  <si>
    <t>Truck/Sino/All/Alternator Belt</t>
  </si>
  <si>
    <t>WS1460847</t>
  </si>
  <si>
    <t>Truck/Howo/4x2/Alternator Belt</t>
  </si>
  <si>
    <t>WS1460845</t>
  </si>
  <si>
    <t>Truck/Howo/4x2/Engine Belt</t>
  </si>
  <si>
    <t>Engine Belt</t>
  </si>
  <si>
    <t>MERC-HIAB-FAN-BELT</t>
  </si>
  <si>
    <t>fan belt</t>
  </si>
  <si>
    <t>WS1460039</t>
  </si>
  <si>
    <t>Truck/Isuzu/All/Fan Belt</t>
  </si>
  <si>
    <t>Fan Belt</t>
  </si>
  <si>
    <t>WS1460168</t>
  </si>
  <si>
    <t>Truck/Sino/All/Fan Belt</t>
  </si>
  <si>
    <t>WS1460350</t>
  </si>
  <si>
    <t>Truck/VW/18310/Fan Belt</t>
  </si>
  <si>
    <t>WS1460846</t>
  </si>
  <si>
    <t>Truck/Howo/4x2/Fan Belt</t>
  </si>
  <si>
    <t>WS1461254</t>
  </si>
  <si>
    <t>Truck/Isuzu/All/Fan Belt A55</t>
  </si>
  <si>
    <t>Fan Belt A55</t>
  </si>
  <si>
    <t>WS1460220</t>
  </si>
  <si>
    <t>Truck/Sino/4X2/Motor Belt</t>
  </si>
  <si>
    <t>Motor Belt</t>
  </si>
  <si>
    <t>WS1461243</t>
  </si>
  <si>
    <t>Truck/VW/All/Fan Clutch Pulley</t>
  </si>
  <si>
    <t>Fan Clutch Pulley</t>
  </si>
  <si>
    <t>Pulleys</t>
  </si>
  <si>
    <t>WS1460648</t>
  </si>
  <si>
    <t>Truck/VW/18310/Connecting Rod</t>
  </si>
  <si>
    <t>Connecting Rod</t>
  </si>
  <si>
    <t>Engine Internals</t>
  </si>
  <si>
    <t>Connecting Rods</t>
  </si>
  <si>
    <t>VW-18310-CRANK-SHAFT</t>
  </si>
  <si>
    <t>Crank shaft</t>
  </si>
  <si>
    <t>Crankshaft</t>
  </si>
  <si>
    <t>WS1460598</t>
  </si>
  <si>
    <t>Truck/Sino/6x4/Piston Sleeve Linner</t>
  </si>
  <si>
    <t>Piston Sleeve Linner</t>
  </si>
  <si>
    <t>Cylinder Liners / Sleeves</t>
  </si>
  <si>
    <t>WS1460728</t>
  </si>
  <si>
    <t>Truck/VW/18310/Sleeve</t>
  </si>
  <si>
    <t>Sleeve</t>
  </si>
  <si>
    <t>WS1460729</t>
  </si>
  <si>
    <t>Truck/VW/18310/Sleeve Rubber Set</t>
  </si>
  <si>
    <t>Sleeve Rubber Set</t>
  </si>
  <si>
    <t>WS1460282</t>
  </si>
  <si>
    <t>Truck/VW/All/Main Bearing</t>
  </si>
  <si>
    <t>Main Bearing</t>
  </si>
  <si>
    <t>Main &amp; Con-rod Bearings</t>
  </si>
  <si>
    <t>WS1461220</t>
  </si>
  <si>
    <t>Truck/Merc/Main Bearing</t>
  </si>
  <si>
    <t>WS1461266</t>
  </si>
  <si>
    <t>Truck/Isuzu/All/Main Bearing</t>
  </si>
  <si>
    <t>WS1461273</t>
  </si>
  <si>
    <t>Truck/Foton/Hiab/Main Bearing</t>
  </si>
  <si>
    <t>WS1460166</t>
  </si>
  <si>
    <t>Truck/Howo/6X4/Main Bearing STD</t>
  </si>
  <si>
    <t>Main Bearing STD</t>
  </si>
  <si>
    <t>WS1460338</t>
  </si>
  <si>
    <t>Truck/VW/All/Metal Bearing</t>
  </si>
  <si>
    <t>Metal Bearing</t>
  </si>
  <si>
    <t>WS1461265</t>
  </si>
  <si>
    <t>Truck/Isuzu/All/Metal Bearing</t>
  </si>
  <si>
    <t>WS1461272</t>
  </si>
  <si>
    <t>Truck/Foton/Hiab/Metal Bearing</t>
  </si>
  <si>
    <t>WS1461103</t>
  </si>
  <si>
    <t>Truck/Sino/6x4/Metal Bearing</t>
  </si>
  <si>
    <t>WS1461032</t>
  </si>
  <si>
    <t>Truck/Isuzu/All/PISTON OIL RING</t>
  </si>
  <si>
    <t>PISTON OIL RING</t>
  </si>
  <si>
    <t>Piston Rings</t>
  </si>
  <si>
    <t>WS1460596</t>
  </si>
  <si>
    <t>Truck/VW/18310/Piston Rings</t>
  </si>
  <si>
    <t>WS1461271</t>
  </si>
  <si>
    <t>Truck/Foton/Hiab/Piston Rings</t>
  </si>
  <si>
    <t>WS1460597</t>
  </si>
  <si>
    <t>Truck/Sino/6x4/Piston Rings Std</t>
  </si>
  <si>
    <t>Piston Rings Std</t>
  </si>
  <si>
    <t>WS1460594</t>
  </si>
  <si>
    <t>Truck/VW/18310/Piston</t>
  </si>
  <si>
    <t>Piston</t>
  </si>
  <si>
    <t>Pistons</t>
  </si>
  <si>
    <t>WS1461270</t>
  </si>
  <si>
    <t>Truck/Foton/Hiab/Piston</t>
  </si>
  <si>
    <t>WS1460599</t>
  </si>
  <si>
    <t>Truck/Sino/6x4/Piston Std</t>
  </si>
  <si>
    <t>Piston Std</t>
  </si>
  <si>
    <t>WS1460262</t>
  </si>
  <si>
    <t>Truck/VW/18310/Back Engine Seat</t>
  </si>
  <si>
    <t>Back Engine Seat</t>
  </si>
  <si>
    <t>Engine Mounts</t>
  </si>
  <si>
    <t>Engine Mounts &amp; Stoppers</t>
  </si>
  <si>
    <t>WS1460332</t>
  </si>
  <si>
    <t>Truck/Sino/6x4/Engine Mounting Seat</t>
  </si>
  <si>
    <t>Engine Mounting Seat</t>
  </si>
  <si>
    <t>WS1461349</t>
  </si>
  <si>
    <t>Engine seat Front Sino Howo 371 1680 590095</t>
  </si>
  <si>
    <t>WS1461129</t>
  </si>
  <si>
    <t>Truck/Sino/All/ENGINE SEATING FRONT</t>
  </si>
  <si>
    <t>ENGINE SEATING FRONT</t>
  </si>
  <si>
    <t>WS1460651</t>
  </si>
  <si>
    <t>Truck/Howo/6X4/Engine Stopper Rod</t>
  </si>
  <si>
    <t>Engine Stopper Rod</t>
  </si>
  <si>
    <t>WS1460263</t>
  </si>
  <si>
    <t>Truck/VW/18310/Front Engine Seat</t>
  </si>
  <si>
    <t>Front Engine Seat</t>
  </si>
  <si>
    <t>WS1461225</t>
  </si>
  <si>
    <t>Truck/VW/Flywheel</t>
  </si>
  <si>
    <t>Flywheel</t>
  </si>
  <si>
    <t>Flywheel Assembly</t>
  </si>
  <si>
    <t>WS1460833</t>
  </si>
  <si>
    <t>Truck/Sino/6x4-Hiab/Flywheel Assembly</t>
  </si>
  <si>
    <t>WS1460668</t>
  </si>
  <si>
    <t>Truck/Sino/6x4/Crankshaft Oil Seal</t>
  </si>
  <si>
    <t>Crankshaft Oil Seal</t>
  </si>
  <si>
    <t>Gaskets &amp; Seals</t>
  </si>
  <si>
    <t>Crankshaft Oil Seals</t>
  </si>
  <si>
    <t>WS1460669</t>
  </si>
  <si>
    <t>Truck/VW/18310/Crankshaft Oil Seal</t>
  </si>
  <si>
    <t>WS1460670</t>
  </si>
  <si>
    <t>Truck/VW/18310/Crankshaft Oil Seal Back</t>
  </si>
  <si>
    <t>Crankshaft Oil Seal Back</t>
  </si>
  <si>
    <t>WS1460671</t>
  </si>
  <si>
    <t>Truck/Sino/6x4/Crankshaft Oil Seal Front</t>
  </si>
  <si>
    <t>Crankshaft Oil Seal Front</t>
  </si>
  <si>
    <t>WS1460673</t>
  </si>
  <si>
    <t>Truck/Sino/6x4/Crankshaft Oil Seal Rear</t>
  </si>
  <si>
    <t>Crankshaft Oil Seal Rear</t>
  </si>
  <si>
    <t>WS1460417</t>
  </si>
  <si>
    <t>Truck/VW/18310/Bottom Plate Gasket</t>
  </si>
  <si>
    <t>Bottom Plate Gasket</t>
  </si>
  <si>
    <t>Engine Gaskets &amp; Plugs</t>
  </si>
  <si>
    <t>WS1460217</t>
  </si>
  <si>
    <t>Truck/Howo/All/Cylinder Head Gasket</t>
  </si>
  <si>
    <t>Cylinder Head Gasket</t>
  </si>
  <si>
    <t>WS1460306</t>
  </si>
  <si>
    <t>Truck/VW/18310/Engine Block Welch Plug</t>
  </si>
  <si>
    <t>Engine Block Welch Plug</t>
  </si>
  <si>
    <t>WS1460420</t>
  </si>
  <si>
    <t>Truck/VW/18310/Front Engine Gasket</t>
  </si>
  <si>
    <t>Front Engine Gasket</t>
  </si>
  <si>
    <t>SINO-4x2-TOP-GSKT</t>
  </si>
  <si>
    <t>top gasket</t>
  </si>
  <si>
    <t>WS1460421</t>
  </si>
  <si>
    <t>Truck/VW/18310/Top Gasket</t>
  </si>
  <si>
    <t>Top Gasket</t>
  </si>
  <si>
    <t>WS1460141</t>
  </si>
  <si>
    <t>Truck/Howo/6x4/Valve Cover Gasket</t>
  </si>
  <si>
    <t>Valve Cover Gasket</t>
  </si>
  <si>
    <t>WS1460303</t>
  </si>
  <si>
    <t>Truck/VW/L200/Valve Cover Seal (New)</t>
  </si>
  <si>
    <t>Valve Cover Seal (New)</t>
  </si>
  <si>
    <t>WS1461267</t>
  </si>
  <si>
    <t>Truck/Isuzu/All/Complete Gasket</t>
  </si>
  <si>
    <t>Complete Gasket</t>
  </si>
  <si>
    <t>Overhaul / Gasket Kits</t>
  </si>
  <si>
    <t>WS1461275</t>
  </si>
  <si>
    <t>Truck/Foton/Hiab/Complete Gasket</t>
  </si>
  <si>
    <t>WS1460419</t>
  </si>
  <si>
    <t>Truck/VW/18310/Complete Overhaul Gasket Kit</t>
  </si>
  <si>
    <t>Complete Overhaul Gasket Kit</t>
  </si>
  <si>
    <t>WS1460004</t>
  </si>
  <si>
    <t>Truck/Sino/2021/Engine Repair Kit</t>
  </si>
  <si>
    <t>Engine Repair Kit</t>
  </si>
  <si>
    <t>WS1461383</t>
  </si>
  <si>
    <t>Engine breather howo 371 swz10 WG9231330165</t>
  </si>
  <si>
    <t>Lubrication System</t>
  </si>
  <si>
    <t>Oil Pump / Cooler / Caps</t>
  </si>
  <si>
    <t>WS1461260</t>
  </si>
  <si>
    <t>Truck/Isuzu/Canter/Oil Cooler</t>
  </si>
  <si>
    <t>Oil Cooler</t>
  </si>
  <si>
    <t>WS1460174</t>
  </si>
  <si>
    <t>Truck/Sino/All/Oil Filler Cap</t>
  </si>
  <si>
    <t>Oil Filler Cap</t>
  </si>
  <si>
    <t>VW-18310-OIL-PUMP</t>
  </si>
  <si>
    <t>Oil Pump</t>
  </si>
  <si>
    <t>WS1460297</t>
  </si>
  <si>
    <t>Truck/VW/18310/Timing Cover</t>
  </si>
  <si>
    <t>Timing Cover</t>
  </si>
  <si>
    <t>Timing Components</t>
  </si>
  <si>
    <t>Timing Covers &amp; Parts</t>
  </si>
  <si>
    <t>WS1460231</t>
  </si>
  <si>
    <t>Truck/VW/18310/Timing Cover Bolt/Washer</t>
  </si>
  <si>
    <t>Timing Cover Bolt/Washer</t>
  </si>
  <si>
    <t>WS1460828</t>
  </si>
  <si>
    <t>Truck/Sino/4X2/Timing Washer</t>
  </si>
  <si>
    <t>Timing Washer</t>
  </si>
  <si>
    <t>WS1460684</t>
  </si>
  <si>
    <t>Truck/Sino/All/Head Valve Oil Seal</t>
  </si>
  <si>
    <t>Head Valve Oil Seal</t>
  </si>
  <si>
    <t>Valve Train</t>
  </si>
  <si>
    <t>Valves &amp; Valve Seals</t>
  </si>
  <si>
    <t>VW-18310-TAPET-VLV</t>
  </si>
  <si>
    <t>TAPET-VLV</t>
  </si>
  <si>
    <t>WS1461268</t>
  </si>
  <si>
    <t>Truck/Isuzu/All/Valve Seal</t>
  </si>
  <si>
    <t>Valve Seal</t>
  </si>
  <si>
    <t>WS1460552</t>
  </si>
  <si>
    <t>Truck/VW/18310/24 Bolt &amp; Nut</t>
  </si>
  <si>
    <t>24 Bolt &amp; Nut</t>
  </si>
  <si>
    <t>Fasteners &amp; Hardware</t>
  </si>
  <si>
    <t>Bolts &amp; Nuts</t>
  </si>
  <si>
    <t>WS1460230</t>
  </si>
  <si>
    <t>Truck/VW/18310/Bolt &amp; Nuts</t>
  </si>
  <si>
    <t>Bolt &amp; Nuts</t>
  </si>
  <si>
    <t>WS1460185</t>
  </si>
  <si>
    <t>Truck/Sino/All/Hexagon Bolt M20*1.5</t>
  </si>
  <si>
    <t>Hexagon Bolt M20*1.5</t>
  </si>
  <si>
    <t>WS1460556</t>
  </si>
  <si>
    <t>Truck/Sino/All/Hexagon Nut M20*1.5</t>
  </si>
  <si>
    <t>Hexagon Nut M20*1.5</t>
  </si>
  <si>
    <t>WS1460558</t>
  </si>
  <si>
    <t>Truck/VW/18310/Jam Nut</t>
  </si>
  <si>
    <t>Jam Nut</t>
  </si>
  <si>
    <t>WS1460465</t>
  </si>
  <si>
    <t>Truck/VW/18310/Hose Clip Big</t>
  </si>
  <si>
    <t>Hose Clip Big</t>
  </si>
  <si>
    <t>Clamps &amp; Clips</t>
  </si>
  <si>
    <t>Hose Clips</t>
  </si>
  <si>
    <t>WS1460466</t>
  </si>
  <si>
    <t>Truck/VW/18310/Hose Clip Small</t>
  </si>
  <si>
    <t>Hose Clip Small</t>
  </si>
  <si>
    <t>WS1460221</t>
  </si>
  <si>
    <t>Truck/VW/All/Adaptor</t>
  </si>
  <si>
    <t>Adaptor</t>
  </si>
  <si>
    <t>Fittings</t>
  </si>
  <si>
    <t>Adaptors</t>
  </si>
  <si>
    <t>WS1460579</t>
  </si>
  <si>
    <t>Truck/Howo/All/Split Pin</t>
  </si>
  <si>
    <t>Split Pin</t>
  </si>
  <si>
    <t>Pins</t>
  </si>
  <si>
    <t>WS1460581</t>
  </si>
  <si>
    <t>Truck/VW/18310/Tow Pin</t>
  </si>
  <si>
    <t>Tow Pin</t>
  </si>
  <si>
    <t>WS1460270</t>
  </si>
  <si>
    <t>Truck/VW/18310/Fiber Washer</t>
  </si>
  <si>
    <t>Fiber Washer</t>
  </si>
  <si>
    <t>Washers</t>
  </si>
  <si>
    <t>WS1460271</t>
  </si>
  <si>
    <t>WS1460272</t>
  </si>
  <si>
    <t>Truck/VW/18310/Fiber Washer Size 10</t>
  </si>
  <si>
    <t>Fiber Washer Size 10</t>
  </si>
  <si>
    <t>WS1460157</t>
  </si>
  <si>
    <t>Truck/Sino/6x4/Air Cleaner Clip</t>
  </si>
  <si>
    <t>Air Cleaner Clip</t>
  </si>
  <si>
    <t>Filters</t>
  </si>
  <si>
    <t>Air Filtration</t>
  </si>
  <si>
    <t>Air Filter Clips</t>
  </si>
  <si>
    <t>WS1460225</t>
  </si>
  <si>
    <t>Truck/VW/All/Air Cleaner Housing</t>
  </si>
  <si>
    <t>Air Cleaner Housing</t>
  </si>
  <si>
    <t>Air Filter Housing</t>
  </si>
  <si>
    <t>WS1461229</t>
  </si>
  <si>
    <t>Truck/Merc/Air Cleaner</t>
  </si>
  <si>
    <t>Air Cleaner</t>
  </si>
  <si>
    <t>Air Filters</t>
  </si>
  <si>
    <t>WS1460170</t>
  </si>
  <si>
    <t>Truck/Sino/All/Air Cleaner Filter</t>
  </si>
  <si>
    <t>Air Cleaner Filter</t>
  </si>
  <si>
    <t>WS1460001</t>
  </si>
  <si>
    <t>Truck/Sino/All/Air Filter</t>
  </si>
  <si>
    <t>Air Filter</t>
  </si>
  <si>
    <t>WS1460016</t>
  </si>
  <si>
    <t>Pickup/Foton/Hiab/Air Filter</t>
  </si>
  <si>
    <t>WS1460036</t>
  </si>
  <si>
    <t>HYUNDAI</t>
  </si>
  <si>
    <t>Bus/Hyundai/H1/Air Filter</t>
  </si>
  <si>
    <t>Van/Bus</t>
  </si>
  <si>
    <t>Hyundai</t>
  </si>
  <si>
    <t>WS1460040</t>
  </si>
  <si>
    <t>Truck/Isuzu/All/Air Filter</t>
  </si>
  <si>
    <t>WS1460146</t>
  </si>
  <si>
    <t>WS1460273</t>
  </si>
  <si>
    <t>Truck/VW/All/Air Filter</t>
  </si>
  <si>
    <t>WS1460184</t>
  </si>
  <si>
    <t>Truck/Sino-VW/All/Complete Water Separator Housing And Filter</t>
  </si>
  <si>
    <t>Complete Water Separator Housing And Filter</t>
  </si>
  <si>
    <t>Fuel Filtration</t>
  </si>
  <si>
    <t>Filter Housings</t>
  </si>
  <si>
    <t>WS1461378</t>
  </si>
  <si>
    <t>Fuel Filter housing Howo 371 VG1560080016</t>
  </si>
  <si>
    <t>WS1460274</t>
  </si>
  <si>
    <t>Truck/VW/18310/Diesel Filter</t>
  </si>
  <si>
    <t>Diesel Filter</t>
  </si>
  <si>
    <t>Fuel / Diesel Filters</t>
  </si>
  <si>
    <t>WS1460037</t>
  </si>
  <si>
    <t>Bus/Hyundai/H1/Fuel Filter</t>
  </si>
  <si>
    <t>Fuel Filter</t>
  </si>
  <si>
    <t>WS1460041</t>
  </si>
  <si>
    <t>Truck/Isuzu/All/Fuel Filter</t>
  </si>
  <si>
    <t>WS1460983</t>
  </si>
  <si>
    <t>Truck/Isuzu/Kama/FUEL FILTER ELEMENT</t>
  </si>
  <si>
    <t>FUEL FILTER ELEMENT</t>
  </si>
  <si>
    <t>FOTON-4X2-GAS-FLTR</t>
  </si>
  <si>
    <t>gas filter</t>
  </si>
  <si>
    <t>WS1460377</t>
  </si>
  <si>
    <t>Truck/Sino/6x4/Gas Filter</t>
  </si>
  <si>
    <t>Gas Filter</t>
  </si>
  <si>
    <t>WS1461289</t>
  </si>
  <si>
    <t>Truck/Merc/Hiab/Gas Filter</t>
  </si>
  <si>
    <t>WS1460375</t>
  </si>
  <si>
    <t>Truck/Mercedes/All/Gas Filter</t>
  </si>
  <si>
    <t>WS1461365</t>
  </si>
  <si>
    <t>HOWO-NX-WATER SEPERA</t>
  </si>
  <si>
    <t>Water Separators</t>
  </si>
  <si>
    <t>WS1460396</t>
  </si>
  <si>
    <t>Truck/All/All/Racor Water Separator Filter</t>
  </si>
  <si>
    <t>Racor Water Separator Filter</t>
  </si>
  <si>
    <t>WS1460398</t>
  </si>
  <si>
    <t>Truck/VW/18310/Water Filter</t>
  </si>
  <si>
    <t>Water Filter</t>
  </si>
  <si>
    <t>WS1460831</t>
  </si>
  <si>
    <t>Truck/All/All/Water Separator</t>
  </si>
  <si>
    <t>Water Separator</t>
  </si>
  <si>
    <t>WS1460832</t>
  </si>
  <si>
    <t>Truck/VW/18310/Water Separator</t>
  </si>
  <si>
    <t>WS1461193</t>
  </si>
  <si>
    <t>Truck/Sino/6x4C/Steering Filter</t>
  </si>
  <si>
    <t>Steering Filter</t>
  </si>
  <si>
    <t>Hydraulic Filtration</t>
  </si>
  <si>
    <t>Steering Filters</t>
  </si>
  <si>
    <t>VG6100070005</t>
  </si>
  <si>
    <t>Oil Filter</t>
  </si>
  <si>
    <t>Oil Filtration</t>
  </si>
  <si>
    <t>Oil Filters</t>
  </si>
  <si>
    <t>WS1460387</t>
  </si>
  <si>
    <t>Van/Hyundai/H1/Oil Filter</t>
  </si>
  <si>
    <t>Van</t>
  </si>
  <si>
    <t>WS1460388</t>
  </si>
  <si>
    <t>Truck/Isuzu/All/Oil Filter</t>
  </si>
  <si>
    <t>WS1460391</t>
  </si>
  <si>
    <t>Truck/Mercedes/All/Oil Filter</t>
  </si>
  <si>
    <t>WS1460393</t>
  </si>
  <si>
    <t>Truck/Sino/All/Oil Filter</t>
  </si>
  <si>
    <t>WS1460395</t>
  </si>
  <si>
    <t>Truck/VW/18310/Oil Filter</t>
  </si>
  <si>
    <t>WS1461262</t>
  </si>
  <si>
    <t>WS1460886</t>
  </si>
  <si>
    <t>Truck/Sino/6x4D/HIAB/INJECTOR NOZZLE</t>
  </si>
  <si>
    <t>HIAB/INJECTOR NOZZLE</t>
  </si>
  <si>
    <t>Fuel System</t>
  </si>
  <si>
    <t>Fuel Injection</t>
  </si>
  <si>
    <t>Injectors, Nozzles &amp; Parts</t>
  </si>
  <si>
    <t>WS1460489</t>
  </si>
  <si>
    <t>Truck/Sino/6X4/Injector</t>
  </si>
  <si>
    <t>Injector</t>
  </si>
  <si>
    <t>WS1460491</t>
  </si>
  <si>
    <t>Truck/Sino/6X4/Injector Repair Kit</t>
  </si>
  <si>
    <t>Injector Repair Kit</t>
  </si>
  <si>
    <t>WS1460134</t>
  </si>
  <si>
    <t>Truck/Sino/All/Injector Return Bolt</t>
  </si>
  <si>
    <t>Injector Return Bolt</t>
  </si>
  <si>
    <t>WS1460492</t>
  </si>
  <si>
    <t>Truck/VW/18310/Injector Throttle</t>
  </si>
  <si>
    <t>Injector Throttle</t>
  </si>
  <si>
    <t>WS1460557</t>
  </si>
  <si>
    <t>Truck/VW/18310/Injector Timing Shaft Nut</t>
  </si>
  <si>
    <t>Injector Timing Shaft Nut</t>
  </si>
  <si>
    <t>WS1460818</t>
  </si>
  <si>
    <t>Truck/Sino/6X4/Injector Valve</t>
  </si>
  <si>
    <t>Injector Valve</t>
  </si>
  <si>
    <t>WS1460280</t>
  </si>
  <si>
    <t>Truck/VW/18310/Injector Washer</t>
  </si>
  <si>
    <t>Injector Washer</t>
  </si>
  <si>
    <t>WS1460283</t>
  </si>
  <si>
    <t>Truck/VW/18310/Nozzle Bolt</t>
  </si>
  <si>
    <t>Nozzle Bolt</t>
  </si>
  <si>
    <t>WS1460551</t>
  </si>
  <si>
    <t>Truck/Sino/6X4/Nozzle Tip</t>
  </si>
  <si>
    <t>Nozzle Tip</t>
  </si>
  <si>
    <t>WS1460495</t>
  </si>
  <si>
    <t>Truck/VW/18310/Vw Overhauled Injector Nozzle</t>
  </si>
  <si>
    <t>Vw Overhauled Injector Nozzle</t>
  </si>
  <si>
    <t>WS1460591</t>
  </si>
  <si>
    <t>Trailer/VW/Flatbody/Injector Pump Return Pipe</t>
  </si>
  <si>
    <t>Injector Pump Return Pipe</t>
  </si>
  <si>
    <t>Fuel Lines</t>
  </si>
  <si>
    <t>Return Pipes &amp; Bolts</t>
  </si>
  <si>
    <t>WS1460290</t>
  </si>
  <si>
    <t>Truck/VW/18310/Return Bolt</t>
  </si>
  <si>
    <t>Return Bolt</t>
  </si>
  <si>
    <t>WS1460612</t>
  </si>
  <si>
    <t>Truck/Sino/6x4/Complete Fuel Pump</t>
  </si>
  <si>
    <t>Complete Fuel Pump</t>
  </si>
  <si>
    <t>Fuel Pumps</t>
  </si>
  <si>
    <t>Fuel / Priming Pumps</t>
  </si>
  <si>
    <t>WS1460614</t>
  </si>
  <si>
    <t>Truck/VW/18310/Diesel Pump Priming</t>
  </si>
  <si>
    <t>Diesel Pump Priming</t>
  </si>
  <si>
    <t>WS1461018</t>
  </si>
  <si>
    <t>Truck/Isuzu/All/FUEL PUMP</t>
  </si>
  <si>
    <t>FUEL PUMP</t>
  </si>
  <si>
    <t>WS1461295</t>
  </si>
  <si>
    <t>Truck/Merc/Tanker/Fuel Pump</t>
  </si>
  <si>
    <t>Fuel Pump</t>
  </si>
  <si>
    <t>WS1460618</t>
  </si>
  <si>
    <t>Truck/Mercedes/All/Hand Prime Pump</t>
  </si>
  <si>
    <t>Hand Prime Pump</t>
  </si>
  <si>
    <t>WS1460619</t>
  </si>
  <si>
    <t>Truck/All/All/Howo Prim Pump</t>
  </si>
  <si>
    <t>Howo Prim Pump</t>
  </si>
  <si>
    <t>WS1460261</t>
  </si>
  <si>
    <t>Truck/VW/18310/Diesel Tank Cover With Key (Spl)</t>
  </si>
  <si>
    <t>Diesel Tank Cover With Key (Spl)</t>
  </si>
  <si>
    <t>Fuel Tank</t>
  </si>
  <si>
    <t>Tank Caps</t>
  </si>
  <si>
    <t>WS1461230</t>
  </si>
  <si>
    <t>Canter/Isuzu/Fuel Tank Cover</t>
  </si>
  <si>
    <t>Fuel Tank Cover</t>
  </si>
  <si>
    <t>WS1460295</t>
  </si>
  <si>
    <t>Truck/VW/18310/Tank Cover</t>
  </si>
  <si>
    <t>Tank Cover</t>
  </si>
  <si>
    <t>WS1460365</t>
  </si>
  <si>
    <t>Truck/Sino/4X2/Tank Cover</t>
  </si>
  <si>
    <t>VW-18310-THRTL-ROD</t>
  </si>
  <si>
    <t>Complete Throttle Rod</t>
  </si>
  <si>
    <t>Throttle Controls</t>
  </si>
  <si>
    <t>Throttle Cables &amp; Rods</t>
  </si>
  <si>
    <t>WG9725570200</t>
  </si>
  <si>
    <t>Throttle cable</t>
  </si>
  <si>
    <t>WS1460968</t>
  </si>
  <si>
    <t>Truck/Foton/Hiab/THROTTLE CABLE</t>
  </si>
  <si>
    <t>THROTTLE CABLE</t>
  </si>
  <si>
    <t>WS1460296</t>
  </si>
  <si>
    <t>Truck/VW/18310/Throttle Cable New</t>
  </si>
  <si>
    <t>Throttle Cable New</t>
  </si>
  <si>
    <t>WS1460565</t>
  </si>
  <si>
    <t>Car/Kia/Rio/Brake Oil</t>
  </si>
  <si>
    <t>Brake Oil</t>
  </si>
  <si>
    <t>Lubricants &amp; Fluids</t>
  </si>
  <si>
    <t>Fluids</t>
  </si>
  <si>
    <t>Brake Fluid</t>
  </si>
  <si>
    <t>WS1460044</t>
  </si>
  <si>
    <t>Car/Kia/Rio/Antirust</t>
  </si>
  <si>
    <t>Antirust</t>
  </si>
  <si>
    <t>Coolant / Antirust</t>
  </si>
  <si>
    <t>CAT-ELC-COOLANT</t>
  </si>
  <si>
    <t>CAT ELC Extended Life Coolant</t>
  </si>
  <si>
    <t>WS1460569</t>
  </si>
  <si>
    <t>Car/Kia/Rio/Steering Oil</t>
  </si>
  <si>
    <t>Steering Oil</t>
  </si>
  <si>
    <t>Power Steering Fluid</t>
  </si>
  <si>
    <t>PETROL</t>
  </si>
  <si>
    <t>Fuels</t>
  </si>
  <si>
    <t>Petrol</t>
  </si>
  <si>
    <t>EP2-G</t>
  </si>
  <si>
    <t>Grease EP2</t>
  </si>
  <si>
    <t>Greases</t>
  </si>
  <si>
    <t>Multipurpose Grease</t>
  </si>
  <si>
    <t>WS1460445</t>
  </si>
  <si>
    <t>All/All/All/Grease Ep3</t>
  </si>
  <si>
    <t>Grease Ep3</t>
  </si>
  <si>
    <t>WS1460277</t>
  </si>
  <si>
    <t>Truck/VW/18310/Grease Cup</t>
  </si>
  <si>
    <t>Grease Cup</t>
  </si>
  <si>
    <t>Lubrication Fittings</t>
  </si>
  <si>
    <t>Grease Cups / Nipples</t>
  </si>
  <si>
    <t>WS1460863</t>
  </si>
  <si>
    <t>Trailer/All//GREASE CUP SUPER 30</t>
  </si>
  <si>
    <t>GREASE CUP SUPER 30</t>
  </si>
  <si>
    <t>WS1461300</t>
  </si>
  <si>
    <t>Trailer/All/Grease Cup Super 45</t>
  </si>
  <si>
    <t>Grease Cup Super 45</t>
  </si>
  <si>
    <t>WS1460210</t>
  </si>
  <si>
    <t>Trailer/VW/Body/S25 Threaded Grease Cup</t>
  </si>
  <si>
    <t>S25 Threaded Grease Cup</t>
  </si>
  <si>
    <t>WS1460864</t>
  </si>
  <si>
    <t>Trailer/All//SUPER S35 GREASE CUP</t>
  </si>
  <si>
    <t>SUPER S35 GREASE CUP</t>
  </si>
  <si>
    <t>ENOXXX000</t>
  </si>
  <si>
    <t>Diesel Engine Oil 15W-40- CI4</t>
  </si>
  <si>
    <t>Oils</t>
  </si>
  <si>
    <t>Engine Oil</t>
  </si>
  <si>
    <t>WS1460211</t>
  </si>
  <si>
    <t>Truck/All/All/Transmission Axle 7 80W-90</t>
  </si>
  <si>
    <t>Transmission Axle 7 80W-90</t>
  </si>
  <si>
    <t>Gear &amp; Axle Oil</t>
  </si>
  <si>
    <t>WS1460212</t>
  </si>
  <si>
    <t>Truck/All/All/Transmission Axle 7 85W-140</t>
  </si>
  <si>
    <t>Transmission Axle 7 85W-140</t>
  </si>
  <si>
    <t>AZOLLAZS46</t>
  </si>
  <si>
    <t>HYDROLIC OIL ZS 46</t>
  </si>
  <si>
    <t>Hydraulic Oil</t>
  </si>
  <si>
    <t>WS1460172</t>
  </si>
  <si>
    <t>Truck/Howo/6X4/Axle King Pin Bushing Big</t>
  </si>
  <si>
    <t>Axle King Pin Bushing Big</t>
  </si>
  <si>
    <t>Steering</t>
  </si>
  <si>
    <t>Kingpins &amp; Knuckles</t>
  </si>
  <si>
    <t>Kingpin Kits / Knuckles</t>
  </si>
  <si>
    <t>WS1460173</t>
  </si>
  <si>
    <t>Truck/Howo/6X4/Axle King Pin Bushing Small</t>
  </si>
  <si>
    <t>Axle King Pin Bushing Small</t>
  </si>
  <si>
    <t>WS1460573</t>
  </si>
  <si>
    <t>Truck/VW/18310/Complete Kin Pin</t>
  </si>
  <si>
    <t>Complete Kin Pin</t>
  </si>
  <si>
    <t>WS1460123</t>
  </si>
  <si>
    <t>Truck/Howo/Hiab/Front Axle King Pin Kit</t>
  </si>
  <si>
    <t>Front Axle King Pin Kit</t>
  </si>
  <si>
    <t>WS1460932</t>
  </si>
  <si>
    <t>Truck/Foton/Hiab/FRONT KIN PIN CONE</t>
  </si>
  <si>
    <t>FRONT KIN PIN CONE</t>
  </si>
  <si>
    <t>WS1460507</t>
  </si>
  <si>
    <t>Truck/Sino/6X4/Front Wheel Steering Knuckle</t>
  </si>
  <si>
    <t>Front Wheel Steering Knuckle</t>
  </si>
  <si>
    <t>WS1460894</t>
  </si>
  <si>
    <t>Truck/Sino/6X4D/Kin-Pin</t>
  </si>
  <si>
    <t>Kin-Pin</t>
  </si>
  <si>
    <t>WS1460559</t>
  </si>
  <si>
    <t>Truck/Sino/6X4/Knuckle Nut</t>
  </si>
  <si>
    <t>Knuckle Nut</t>
  </si>
  <si>
    <t>WS1461182</t>
  </si>
  <si>
    <t>Truck/Sino/6x4D/COMPLETE STEERING BOX</t>
  </si>
  <si>
    <t>COMPLETE STEERING BOX</t>
  </si>
  <si>
    <t>Power Steering</t>
  </si>
  <si>
    <t>Pumps, Boxes, Cylinders &amp; Hoses</t>
  </si>
  <si>
    <t>WS1461385</t>
  </si>
  <si>
    <t>Hydraulic Hose Mercede sk 1729</t>
  </si>
  <si>
    <t>WS1460621</t>
  </si>
  <si>
    <t>Truck/Foton/Hiab/Power Steering Pump</t>
  </si>
  <si>
    <t>Power Steering Pump</t>
  </si>
  <si>
    <t>WS1460623</t>
  </si>
  <si>
    <t>Truck/VW/18310/Power Steering Pump</t>
  </si>
  <si>
    <t>WS1460903</t>
  </si>
  <si>
    <t>Truck/Foton/Hiab/STEERING BOX ASSY</t>
  </si>
  <si>
    <t>STEERING BOX ASSY</t>
  </si>
  <si>
    <t>WS1461326</t>
  </si>
  <si>
    <t>Steering box oil pipe(inlet) SINO HOWO 371 WG9719470029/2</t>
  </si>
  <si>
    <t>WS1461327</t>
  </si>
  <si>
    <t>Steering box oil pipe(outlet) SINO HOWO 371</t>
  </si>
  <si>
    <t>WS1461121</t>
  </si>
  <si>
    <t>Truck/Sino/All/STEERING HOSE</t>
  </si>
  <si>
    <t>STEERING HOSE</t>
  </si>
  <si>
    <t>WS1460331</t>
  </si>
  <si>
    <t>Truck/NA/NA/Steering Power Cylinder</t>
  </si>
  <si>
    <t>Steering Power Cylinder</t>
  </si>
  <si>
    <t>WS1461120</t>
  </si>
  <si>
    <t>Truck/Sino/All/STEERING PUMP (NEW)</t>
  </si>
  <si>
    <t>STEERING PUMP (NEW)</t>
  </si>
  <si>
    <t>WS1461186</t>
  </si>
  <si>
    <t>Truck/VW/All/VW Power Steering Hose</t>
  </si>
  <si>
    <t>VW Power Steering Hose</t>
  </si>
  <si>
    <t>WS1460646</t>
  </si>
  <si>
    <t>Truck/VW/18310/Complete Tie Rod</t>
  </si>
  <si>
    <t>Complete Tie Rod</t>
  </si>
  <si>
    <t>Steering Linkage</t>
  </si>
  <si>
    <t>Tie Rods, Drag Links &amp; Wheel</t>
  </si>
  <si>
    <t>WS1460649</t>
  </si>
  <si>
    <t>Truck/Sino/6x4/Direction Tie Rod</t>
  </si>
  <si>
    <t>Direction Tie Rod</t>
  </si>
  <si>
    <t>WS1460650</t>
  </si>
  <si>
    <t>Truck/Sino/6x4/Direction Vertical Rod</t>
  </si>
  <si>
    <t>Direction Vertical Rod</t>
  </si>
  <si>
    <t>WS1460870</t>
  </si>
  <si>
    <t>Truck/vw/18310/DRAG LINK COMPLETE</t>
  </si>
  <si>
    <t>DRAG LINK COMPLETE</t>
  </si>
  <si>
    <t>WS1460964</t>
  </si>
  <si>
    <t>Truck/Foton/Hiab/STEERING DRAG ROD ASSY</t>
  </si>
  <si>
    <t>STEERING DRAG ROD ASSY</t>
  </si>
  <si>
    <t>WS1460293</t>
  </si>
  <si>
    <t>Truck/VW/18310/Steering Wheel</t>
  </si>
  <si>
    <t>Steering Wheel</t>
  </si>
  <si>
    <t>WS1460657</t>
  </si>
  <si>
    <t>Van/Hyundai/H1/Tie Rod End</t>
  </si>
  <si>
    <t>Tie Rod End</t>
  </si>
  <si>
    <t>WS1460659</t>
  </si>
  <si>
    <t>Truck/Sino/All/Tie Rod End</t>
  </si>
  <si>
    <t>WS1460454</t>
  </si>
  <si>
    <t>Truck/VW/18310/Cab Hanger Bushing</t>
  </si>
  <si>
    <t>Cab Hanger Bushing</t>
  </si>
  <si>
    <t>Suspension</t>
  </si>
  <si>
    <t>Cab Suspension &amp; Tilt</t>
  </si>
  <si>
    <t>Cab Shocks, Airbags, Tilt &amp; Bushings</t>
  </si>
  <si>
    <t>WS1461161</t>
  </si>
  <si>
    <t>Truck/VW/All/CAB HANGER BUSHING REAR</t>
  </si>
  <si>
    <t>CAB HANGER BUSHING REAR</t>
  </si>
  <si>
    <t>WS1460716</t>
  </si>
  <si>
    <t>Truck/Sino/4X2/Cab Shock Absorber Front</t>
  </si>
  <si>
    <t>Cab Shock Absorber Front</t>
  </si>
  <si>
    <t>WS1460643</t>
  </si>
  <si>
    <t>Truck/Sino/4X2/Cab Stabilizer Rod</t>
  </si>
  <si>
    <t>Cab Stabilizer Rod</t>
  </si>
  <si>
    <t>WS1460644</t>
  </si>
  <si>
    <t>Truck/Sino/4X2/Cab Stabilizer Rod Bushing</t>
  </si>
  <si>
    <t>Cab Stabilizer Rod Bushing</t>
  </si>
  <si>
    <t>WS1460328</t>
  </si>
  <si>
    <t>Truck/Howo/All/Cab Tilt Cylinder</t>
  </si>
  <si>
    <t>Cab Tilt Cylinder</t>
  </si>
  <si>
    <t>WS1461357</t>
  </si>
  <si>
    <t>CAB TILT CYLINDER HOWO 371 WG9525820140</t>
  </si>
  <si>
    <t>WS1460317</t>
  </si>
  <si>
    <t>Truck/Howo/All/Cabin Ballon Front</t>
  </si>
  <si>
    <t>Cabin Ballon Front</t>
  </si>
  <si>
    <t>WS1460316</t>
  </si>
  <si>
    <t>Truck/Sino/2016-2020/Cabin Balloon Control Valve Rear</t>
  </si>
  <si>
    <t>Cabin Balloon Control Valve Rear</t>
  </si>
  <si>
    <t>WS1460645</t>
  </si>
  <si>
    <t>Truck/VW/18310/Cabin Control Rod</t>
  </si>
  <si>
    <t>Cabin Control Rod</t>
  </si>
  <si>
    <t>WS1461191</t>
  </si>
  <si>
    <t>Truck/Sino/All/Cabin Jack Hose</t>
  </si>
  <si>
    <t>Cabin Jack Hose</t>
  </si>
  <si>
    <t>WS1461237</t>
  </si>
  <si>
    <t>Truck/Sino 6X4D/Cabin Lift Shock</t>
  </si>
  <si>
    <t>Cabin Lift Shock</t>
  </si>
  <si>
    <t>WS1461187</t>
  </si>
  <si>
    <t>Truck/Sino/6X4C/Cabin Seating Hanger</t>
  </si>
  <si>
    <t>Cabin Seating Hanger</t>
  </si>
  <si>
    <t>WS1461190</t>
  </si>
  <si>
    <t>Truck/Sino/6X4D/Cabin Shock Rear</t>
  </si>
  <si>
    <t>Cabin Shock Rear</t>
  </si>
  <si>
    <t>WS1460609</t>
  </si>
  <si>
    <t>Truck/Howo/4X2/Cave Jack Pump</t>
  </si>
  <si>
    <t>Cave Jack Pump</t>
  </si>
  <si>
    <t>WS1460147</t>
  </si>
  <si>
    <t>Truck/Sino/6x4/Complete Balloon</t>
  </si>
  <si>
    <t>Complete Balloon</t>
  </si>
  <si>
    <t>WS1460149</t>
  </si>
  <si>
    <t>Truck/Sino/6X4/Rear Bushing Cab</t>
  </si>
  <si>
    <t>Rear Bushing Cab</t>
  </si>
  <si>
    <t>WS1460751</t>
  </si>
  <si>
    <t>Trailer/All/Body/Axle Spring Seating</t>
  </si>
  <si>
    <t>Axle Spring Seating</t>
  </si>
  <si>
    <t>Leaf Spring Hardware</t>
  </si>
  <si>
    <t>Hangers, Bushings, Clamps &amp; Seats</t>
  </si>
  <si>
    <t>WS1461363</t>
  </si>
  <si>
    <t>Bogie Spring Rubber Cushion</t>
  </si>
  <si>
    <t>WS1460006</t>
  </si>
  <si>
    <t>Truck/Sino/All/Complete Damper Rubber</t>
  </si>
  <si>
    <t>Complete Damper Rubber</t>
  </si>
  <si>
    <t>SINO-4X2-DMP-BLT+NUT</t>
  </si>
  <si>
    <t>DAMPER BOLT &amp; NUT</t>
  </si>
  <si>
    <t>WS1461352</t>
  </si>
  <si>
    <t>Equalizer Spring hanger 22inches</t>
  </si>
  <si>
    <t>WS1460140</t>
  </si>
  <si>
    <t>Truck/Howo/4X2/Rear Spring Bolt</t>
  </si>
  <si>
    <t>Rear Spring Bolt</t>
  </si>
  <si>
    <t>WS1461252</t>
  </si>
  <si>
    <t>Trailer/Jumbo/All/Spring Bolt-Super 30</t>
  </si>
  <si>
    <t>Spring Bolt-Super 30</t>
  </si>
  <si>
    <t>WS1460746</t>
  </si>
  <si>
    <t>Truck/VW/18310/Spring Bushing</t>
  </si>
  <si>
    <t>Spring Bushing</t>
  </si>
  <si>
    <t>WS1461304</t>
  </si>
  <si>
    <t>Trailer/Doubleaxle/All/Spring Cap Lock</t>
  </si>
  <si>
    <t>Spring Cap Lock</t>
  </si>
  <si>
    <t>WS1460188</t>
  </si>
  <si>
    <t>Trailer/All/All/Spring Clamp Bolt And Nut With Sleeve</t>
  </si>
  <si>
    <t>Spring Clamp Bolt And Nut With Sleeve</t>
  </si>
  <si>
    <t>WS1461069</t>
  </si>
  <si>
    <t>Trailer/Triaxle/All/Spring Cover - Super 30</t>
  </si>
  <si>
    <t>Spring Cover - Super 30</t>
  </si>
  <si>
    <t>SINO-HB-SPR-DM-RUB</t>
  </si>
  <si>
    <t>SPRING DAMPER RUBBER REAR</t>
  </si>
  <si>
    <t>WS1461253</t>
  </si>
  <si>
    <t>Trailer/Jumbo/Spring Hanger Bushing-Super 30</t>
  </si>
  <si>
    <t>Spring Hanger Bushing-Super 30</t>
  </si>
  <si>
    <t>WS1460292</t>
  </si>
  <si>
    <t>Trailer/VW/Flatbody/Spring Rocker Bolt</t>
  </si>
  <si>
    <t>Spring Rocker Bolt</t>
  </si>
  <si>
    <t>WS1460582</t>
  </si>
  <si>
    <t>Trailer/All/Flatbody/Trailer Linkage Bushing</t>
  </si>
  <si>
    <t>Trailer Linkage Bushing</t>
  </si>
  <si>
    <t>WS1461204</t>
  </si>
  <si>
    <t>Trailer/Flatbed/York/Trailer Spring Bolt - Super 35</t>
  </si>
  <si>
    <t>Trailer Spring Bolt - Super 35</t>
  </si>
  <si>
    <t>WS1460207</t>
  </si>
  <si>
    <t>Trailer/VW/Body/Trailer Spring Cap</t>
  </si>
  <si>
    <t>Trailer Spring Cap</t>
  </si>
  <si>
    <t>WS1460189</t>
  </si>
  <si>
    <t>Trailer/Sino/Body/Trailer Spring Clamp Long</t>
  </si>
  <si>
    <t>Trailer Spring Clamp Long</t>
  </si>
  <si>
    <t>WS1461095</t>
  </si>
  <si>
    <t>Trailer/Flatbed/York/Trailer Spring Seat - York</t>
  </si>
  <si>
    <t>Trailer Spring Seat - York</t>
  </si>
  <si>
    <t>WS1460003</t>
  </si>
  <si>
    <t>Truck/Sino/6X4/Center Bolt</t>
  </si>
  <si>
    <t>Center Bolt</t>
  </si>
  <si>
    <t>U-Bolts &amp; Centre Bolts</t>
  </si>
  <si>
    <t>WS1460161</t>
  </si>
  <si>
    <t>WS1460250</t>
  </si>
  <si>
    <t>Truck/VW/18310/Center Bolt</t>
  </si>
  <si>
    <t>WS1460129</t>
  </si>
  <si>
    <t>Truck/Howo/4X2/Front Center Bolt</t>
  </si>
  <si>
    <t>Front Center Bolt</t>
  </si>
  <si>
    <t>WS1460191</t>
  </si>
  <si>
    <t>Trailer/VW/Body/Trailer Spring U-Bolt</t>
  </si>
  <si>
    <t>Trailer Spring U-Bolt</t>
  </si>
  <si>
    <t>WS1460301</t>
  </si>
  <si>
    <t>Truck/VW/18310/U- Bolt</t>
  </si>
  <si>
    <t>U- Bolt</t>
  </si>
  <si>
    <t>WS1461388</t>
  </si>
  <si>
    <t>U-bolt front Mercede sk 1729</t>
  </si>
  <si>
    <t>WS1460213</t>
  </si>
  <si>
    <t>Truck/VW/18310/U-Bolt Front Spring</t>
  </si>
  <si>
    <t>U-Bolt Front Spring</t>
  </si>
  <si>
    <t>WS1460179</t>
  </si>
  <si>
    <t>Truck/Sino/6X4/U-Bolt Front Spring</t>
  </si>
  <si>
    <t>WS1460180</t>
  </si>
  <si>
    <t>Truck/Sino/6X4/U-Bolt Rear Spring</t>
  </si>
  <si>
    <t>U-Bolt Rear Spring</t>
  </si>
  <si>
    <t>WS1461065</t>
  </si>
  <si>
    <t>Trailer/Triaxle/All/Complete Leaf Spring - Super 30</t>
  </si>
  <si>
    <t>Complete Leaf Spring - Super 30</t>
  </si>
  <si>
    <t>Leaf Springs</t>
  </si>
  <si>
    <t>Leaf Spring Assemblies</t>
  </si>
  <si>
    <t>WS1461067</t>
  </si>
  <si>
    <t>Trailer/Flatbed/York/Complete Leaf Spring - York</t>
  </si>
  <si>
    <t>Complete Leaf Spring - York</t>
  </si>
  <si>
    <t>WS1460857</t>
  </si>
  <si>
    <t>Truck/Sino/6x4D/COMPLETE LEAF SPRING FRONT</t>
  </si>
  <si>
    <t>COMPLETE LEAF SPRING FRONT</t>
  </si>
  <si>
    <t>WS1461261</t>
  </si>
  <si>
    <t>Truck/MB/Hiab/Complete Rear Spring</t>
  </si>
  <si>
    <t>Complete Rear Spring</t>
  </si>
  <si>
    <t>WS1460744</t>
  </si>
  <si>
    <t>Truck/VW/18310/Complete Spring Back Tokunbo</t>
  </si>
  <si>
    <t>Complete Spring Back Tokunbo</t>
  </si>
  <si>
    <t>WS1461348</t>
  </si>
  <si>
    <t>Rear Leaf Spring Assembly HOWO 371 WG9725520789</t>
  </si>
  <si>
    <t>WS1460895</t>
  </si>
  <si>
    <t>Truck/VW/18310/Spring Helper</t>
  </si>
  <si>
    <t>Spring Helper</t>
  </si>
  <si>
    <t>WS1460747</t>
  </si>
  <si>
    <t>Truck/All/Axle Body/Trailer Spring Complete</t>
  </si>
  <si>
    <t>Trailer Spring Complete</t>
  </si>
  <si>
    <t>WS1460749</t>
  </si>
  <si>
    <t>Truck/All/Axle Body/Trailer Spring No 1</t>
  </si>
  <si>
    <t>Trailer Spring No 1</t>
  </si>
  <si>
    <t>WS1460718</t>
  </si>
  <si>
    <t>Van/Hyundai/H1/Front Shock Absorber</t>
  </si>
  <si>
    <t>Front Shock Absorber</t>
  </si>
  <si>
    <t>Shock Absorbers</t>
  </si>
  <si>
    <t>Shock Absorbers &amp; Bolts</t>
  </si>
  <si>
    <t>WS1460934</t>
  </si>
  <si>
    <t>Truck/Foton/Hiab/FRONT SHOCK ABSORBER ASSY</t>
  </si>
  <si>
    <t>FRONT SHOCK ABSORBER ASSY</t>
  </si>
  <si>
    <t>WS1461393</t>
  </si>
  <si>
    <t>Front Shock Absorber VW</t>
  </si>
  <si>
    <t>WS1460722</t>
  </si>
  <si>
    <t>Truck/Isuzu/All/Shock Absorber Back</t>
  </si>
  <si>
    <t>Shock Absorber Back</t>
  </si>
  <si>
    <t>WS1461386</t>
  </si>
  <si>
    <t>Shock Absorber bolt 24mm Mercede sk 1729</t>
  </si>
  <si>
    <t>WS1460723</t>
  </si>
  <si>
    <t>Truck/Isuzu/All/Shock Absorber Front</t>
  </si>
  <si>
    <t>Shock Absorber Front</t>
  </si>
  <si>
    <t>WS1461384</t>
  </si>
  <si>
    <t>Shock Absorber Front Mercede sk 1729</t>
  </si>
  <si>
    <t>WS1461144</t>
  </si>
  <si>
    <t>Truck/Sino/6X4/Tractor SHOCK ABSORBER FRONT</t>
  </si>
  <si>
    <t>Tractor SHOCK ABSORBER FRONT</t>
  </si>
  <si>
    <t>WS1461224</t>
  </si>
  <si>
    <t>Truck/Sino/4X2/Complete Stabilizer Rod</t>
  </si>
  <si>
    <t>Complete Stabilizer Rod</t>
  </si>
  <si>
    <t>Stabilizer &amp; Torque Rods</t>
  </si>
  <si>
    <t>Stabilizer Rods, Links &amp; Bushings</t>
  </si>
  <si>
    <t>WS1460753</t>
  </si>
  <si>
    <t>Truck/Sino-VW/Hiab/Front Stabilizer Rubber</t>
  </si>
  <si>
    <t>Front Stabilizer Rubber</t>
  </si>
  <si>
    <t>WS1460755</t>
  </si>
  <si>
    <t>Truck/Sino/4X2/Rear Stablizer Bush Sleeve</t>
  </si>
  <si>
    <t>Rear Stablizer Bush Sleeve</t>
  </si>
  <si>
    <t>WS1460758</t>
  </si>
  <si>
    <t>Truck/Sino/6x4/Stabilizer Bushing</t>
  </si>
  <si>
    <t>Stabilizer Bushing</t>
  </si>
  <si>
    <t>WS1460759</t>
  </si>
  <si>
    <t>Van/Hyundai/H1/Stabilizer Linkage</t>
  </si>
  <si>
    <t>Stabilizer Linkage</t>
  </si>
  <si>
    <t>WS1460762</t>
  </si>
  <si>
    <t>Truck/Sino/6X4/Stabilizer Linkage Bushing Front</t>
  </si>
  <si>
    <t>Stabilizer Linkage Bushing Front</t>
  </si>
  <si>
    <t>WS1460764</t>
  </si>
  <si>
    <t>Truck/Sino/4X2/Stabilizer Linkage Rear</t>
  </si>
  <si>
    <t>Stabilizer Linkage Rear</t>
  </si>
  <si>
    <t>WS1460756</t>
  </si>
  <si>
    <t>Truck/Sino/6X4/Stabilizer Round Bushing Rear</t>
  </si>
  <si>
    <t>Stabilizer Round Bushing Rear</t>
  </si>
  <si>
    <t>WS1460654</t>
  </si>
  <si>
    <t>Truck/Sino/4X2/Thrust Rod Assembly</t>
  </si>
  <si>
    <t>Thrust Rod Assembly</t>
  </si>
  <si>
    <t>TRI-WHEEL-SPANNER</t>
  </si>
  <si>
    <t>WHEEL SPANNER</t>
  </si>
  <si>
    <t>Tools &amp; Equipment</t>
  </si>
  <si>
    <t>Hand Tools</t>
  </si>
  <si>
    <t>Wheel Spanner</t>
  </si>
  <si>
    <t>WS1461177</t>
  </si>
  <si>
    <t>Truck/All/All/WHEEL JACK</t>
  </si>
  <si>
    <t>WHEEL JACK</t>
  </si>
  <si>
    <t>Lifting Equipment</t>
  </si>
  <si>
    <t>Jack</t>
  </si>
  <si>
    <t>WS1460247</t>
  </si>
  <si>
    <t>Truck/VW/18310/Clutch Disc</t>
  </si>
  <si>
    <t>Clutch Disc</t>
  </si>
  <si>
    <t>Transmission &amp; Drivetrain</t>
  </si>
  <si>
    <t>Clutch</t>
  </si>
  <si>
    <t>Clutch Discs, Plates &amp; Kits</t>
  </si>
  <si>
    <t>WS1461131</t>
  </si>
  <si>
    <t>Truck/Sino/All/Clutch disc</t>
  </si>
  <si>
    <t>Clutch disc</t>
  </si>
  <si>
    <t>WS1460021</t>
  </si>
  <si>
    <t>Pickup/Foton/Hiab/Clutch Disc</t>
  </si>
  <si>
    <t>FOTON-LJ462Q-160</t>
  </si>
  <si>
    <t>CLUTCH DRIVEN DISC ASSY</t>
  </si>
  <si>
    <t>WS1460995</t>
  </si>
  <si>
    <t>Truck/Isuzu/All/CLUTCH DRIVEN DISC ASSY</t>
  </si>
  <si>
    <t>WS1461188</t>
  </si>
  <si>
    <t>Truck/Sino/6X4/Clutch Plate</t>
  </si>
  <si>
    <t>Clutch Plate</t>
  </si>
  <si>
    <t>WS1461284</t>
  </si>
  <si>
    <t>Truck/VW/All/Clutch Plate</t>
  </si>
  <si>
    <t>WS1460022</t>
  </si>
  <si>
    <t>Pickup/Foton/Hiab/Clutch Plate</t>
  </si>
  <si>
    <t>WS1460997</t>
  </si>
  <si>
    <t>Truck/Isuzu/All/CLUTCH PRESS PLATE ASSY</t>
  </si>
  <si>
    <t>CLUTCH PRESS PLATE ASSY</t>
  </si>
  <si>
    <t>WS1460114</t>
  </si>
  <si>
    <t>Truck/Mercedes/All/Complete Clutch Assembly</t>
  </si>
  <si>
    <t>Complete Clutch Assembly</t>
  </si>
  <si>
    <t>WS1460249</t>
  </si>
  <si>
    <t>Truck/VW/18310/Complete Clutch Set</t>
  </si>
  <si>
    <t>Complete Clutch Set</t>
  </si>
  <si>
    <t>WS1461250</t>
  </si>
  <si>
    <t>Truck/MB/Hiab/Down Clutch</t>
  </si>
  <si>
    <t>Down Clutch</t>
  </si>
  <si>
    <t>WS1461308</t>
  </si>
  <si>
    <t>Truck/Isuzu/All/Down Clutch</t>
  </si>
  <si>
    <t>WS1460578</t>
  </si>
  <si>
    <t>Push Assembly</t>
  </si>
  <si>
    <t>WS1460032</t>
  </si>
  <si>
    <t>Truck/Howo/All/Traction Disc Assembly</t>
  </si>
  <si>
    <t>Traction Disc Assembly</t>
  </si>
  <si>
    <t>WG9516230071</t>
  </si>
  <si>
    <t>Upper Clutch</t>
  </si>
  <si>
    <t>WS1460115</t>
  </si>
  <si>
    <t>Truck/Mercedes/All/Upper Clutch</t>
  </si>
  <si>
    <t>WS1460246</t>
  </si>
  <si>
    <t>Truck/VW/18310/Upper Clutch</t>
  </si>
  <si>
    <t>WS1460325</t>
  </si>
  <si>
    <t>Truck/Sino/4X2/Upper Clutch</t>
  </si>
  <si>
    <t>WS1460478</t>
  </si>
  <si>
    <t>Truck/Sino/6x4/Bell Housing</t>
  </si>
  <si>
    <t>Bell Housing</t>
  </si>
  <si>
    <t>Clutch Housing</t>
  </si>
  <si>
    <t>WS1460608</t>
  </si>
  <si>
    <t>Truck/Howo/4X2/Booster Pump</t>
  </si>
  <si>
    <t>Booster Pump</t>
  </si>
  <si>
    <t>Clutch Hydraulics</t>
  </si>
  <si>
    <t>WS1460245</t>
  </si>
  <si>
    <t>Truck/VW/18310/Clutch Booster</t>
  </si>
  <si>
    <t>Clutch Booster</t>
  </si>
  <si>
    <t>WS1461292</t>
  </si>
  <si>
    <t>Truck/VW/18310/Clutch Booster Con/Hose</t>
  </si>
  <si>
    <t>Clutch Booster Con/Hose</t>
  </si>
  <si>
    <t>WS1460128</t>
  </si>
  <si>
    <t>Truck/Sino/4x2/Clutch Hydraulic Hose</t>
  </si>
  <si>
    <t>Clutch Hydraulic Hose</t>
  </si>
  <si>
    <t>WS1460181</t>
  </si>
  <si>
    <t>Truck/Howo/6X4/Clutch Master Cylinder</t>
  </si>
  <si>
    <t>Clutch Master Cylinder</t>
  </si>
  <si>
    <t>WS1460919</t>
  </si>
  <si>
    <t>Truck/Foton/Hiab/CLUTCH MASTER CYLINDER</t>
  </si>
  <si>
    <t>CLUTCH MASTER CYLINDER</t>
  </si>
  <si>
    <t>WS1460996</t>
  </si>
  <si>
    <t>Truck/Isuzu/All/CLUTCH MASTER CYLINDER</t>
  </si>
  <si>
    <t>WS1460248</t>
  </si>
  <si>
    <t>Truck/VW/18310/Clutch Separator</t>
  </si>
  <si>
    <t>Clutch Separator</t>
  </si>
  <si>
    <t>WS1460252</t>
  </si>
  <si>
    <t>Truck/VW/18310/Complete Clutch Hose</t>
  </si>
  <si>
    <t>Complete Clutch Hose</t>
  </si>
  <si>
    <t>WS1460158</t>
  </si>
  <si>
    <t>Truck/Sino/6x4/Clutch Key</t>
  </si>
  <si>
    <t>Clutch Key</t>
  </si>
  <si>
    <t>Clutch Linkage</t>
  </si>
  <si>
    <t>SINO-4X2-CLTCH-FORK</t>
  </si>
  <si>
    <t>GEAR CLUTCH FORK</t>
  </si>
  <si>
    <t>WS1460035</t>
  </si>
  <si>
    <t>Truck/Sino/All/Release Bearing</t>
  </si>
  <si>
    <t>Release Bearing</t>
  </si>
  <si>
    <t>Release Bearings</t>
  </si>
  <si>
    <t>WS1460905</t>
  </si>
  <si>
    <t>Truck/Foton/Hiab/RELEASE BEARING</t>
  </si>
  <si>
    <t>RELEASE BEARING</t>
  </si>
  <si>
    <t>WS1460289</t>
  </si>
  <si>
    <t>Truck/VW/18310/Release Bearing</t>
  </si>
  <si>
    <t>WS1461043</t>
  </si>
  <si>
    <t>Truck/Isuzu/All/RELEASE BEARING</t>
  </si>
  <si>
    <t>WS1460428</t>
  </si>
  <si>
    <t>Truck/Sino/All/Complete Gear Selector</t>
  </si>
  <si>
    <t>Complete Gear Selector</t>
  </si>
  <si>
    <t>Gear Shift Controls</t>
  </si>
  <si>
    <t>Selectors, Cables &amp; Knobs</t>
  </si>
  <si>
    <t>WS1460432</t>
  </si>
  <si>
    <t>Truck/VW/18310/Gear Box Selector</t>
  </si>
  <si>
    <t>Gear Box Selector</t>
  </si>
  <si>
    <t>WS1460433</t>
  </si>
  <si>
    <t>Truck/VW/18310/Gear Box Selector Head</t>
  </si>
  <si>
    <t>Gear Box Selector Head</t>
  </si>
  <si>
    <t>WS1460434</t>
  </si>
  <si>
    <t>Truck/Sino/All/Gear Box Shooter</t>
  </si>
  <si>
    <t>Gear Box Shooter</t>
  </si>
  <si>
    <t>WS1460435</t>
  </si>
  <si>
    <t>Truck/VW/18310/Gear Box Shooter (New)</t>
  </si>
  <si>
    <t>Gear Box Shooter (New)</t>
  </si>
  <si>
    <t>WS1460505</t>
  </si>
  <si>
    <t>Truck/All/All/Gear Knob</t>
  </si>
  <si>
    <t>Gear Knob</t>
  </si>
  <si>
    <t>WS1460506</t>
  </si>
  <si>
    <t>Truck/VW/18310/Gear Knob</t>
  </si>
  <si>
    <t>WS1460508</t>
  </si>
  <si>
    <t>Truck/Sino/All/Gear Leaver Selector</t>
  </si>
  <si>
    <t>Gear Leaver Selector</t>
  </si>
  <si>
    <t>WS1460509</t>
  </si>
  <si>
    <t>Truck/VW/18310/Gear Liver Complete New</t>
  </si>
  <si>
    <t>Gear Liver Complete New</t>
  </si>
  <si>
    <t>WS1460652</t>
  </si>
  <si>
    <t>Truck/Sino/All/Gear Rod</t>
  </si>
  <si>
    <t>Gear Rod</t>
  </si>
  <si>
    <t>WS1461301</t>
  </si>
  <si>
    <t>Truck/VW/18310/Gear Selector Arm</t>
  </si>
  <si>
    <t>Gear Selector Arm</t>
  </si>
  <si>
    <t>WS1460885</t>
  </si>
  <si>
    <t>Truck/Sino/Hiab/GEAR SELECTOR CABLE</t>
  </si>
  <si>
    <t>GEAR SELECTOR CABLE</t>
  </si>
  <si>
    <t>WS1461276</t>
  </si>
  <si>
    <t>Truck/Foton/Hiab/Gear Selector Cable</t>
  </si>
  <si>
    <t>Gear Selector Cable</t>
  </si>
  <si>
    <t>WS1460859</t>
  </si>
  <si>
    <t>Truck/Sino/6x4D/GEAR SELECTOR CABLE</t>
  </si>
  <si>
    <t>WS1460884</t>
  </si>
  <si>
    <t>Truck/Sino/6x4C/GEAR SELECTOR CABLE</t>
  </si>
  <si>
    <t>SINO-6X4D-GR-SLT-ROL</t>
  </si>
  <si>
    <t>GEAR SELECTOR ROLLER</t>
  </si>
  <si>
    <t>VW-18310-GR-SLT-ROD</t>
  </si>
  <si>
    <t>GEAR SELECTOR TIE ROD</t>
  </si>
  <si>
    <t>WS1461168</t>
  </si>
  <si>
    <t>Truck/VW/All/GEAR SELECTOR TIE ROD</t>
  </si>
  <si>
    <t>WS1460790</t>
  </si>
  <si>
    <t>Truck/VW/18310/Gear Selector Tie Rod</t>
  </si>
  <si>
    <t>Gear Selector Tie Rod</t>
  </si>
  <si>
    <t>WS1461316</t>
  </si>
  <si>
    <t>Truck/Sino/Hiab/Complete Gear Box</t>
  </si>
  <si>
    <t>Complete Gear Box</t>
  </si>
  <si>
    <t>Gearbox</t>
  </si>
  <si>
    <t>Gearbox Assemblies</t>
  </si>
  <si>
    <t>WS1461397</t>
  </si>
  <si>
    <t>GEARBOX HW50 PTO HOWO 371 AZ9700290010 TRANSMISSION</t>
  </si>
  <si>
    <t>WS1460284</t>
  </si>
  <si>
    <t>Truck/VW/18310/Gear Box Overdrive Cover</t>
  </si>
  <si>
    <t>Gear Box Overdrive Cover</t>
  </si>
  <si>
    <t>Gearbox Parts</t>
  </si>
  <si>
    <t>WS1460436</t>
  </si>
  <si>
    <t>Truck/VW/18310/Gear Box Surrounding Bolt</t>
  </si>
  <si>
    <t>Gear Box Surrounding Bolt</t>
  </si>
  <si>
    <t>SINO-4X2-SHFT-WSHER</t>
  </si>
  <si>
    <t>GEAR MAIN SHAFT WASHER</t>
  </si>
  <si>
    <t>SINO-4X2-GEAR-PIN</t>
  </si>
  <si>
    <t>GEAR PIN</t>
  </si>
  <si>
    <t>WS1460330</t>
  </si>
  <si>
    <t>Truck/Sino/4X2/Gearbox Mounting Bracket</t>
  </si>
  <si>
    <t>Gearbox Mounting Bracket</t>
  </si>
  <si>
    <t>WS1460150</t>
  </si>
  <si>
    <t>Truck/Sino/6X4/Gearbox Shaft Cover Shim</t>
  </si>
  <si>
    <t>Gearbox Shaft Cover Shim</t>
  </si>
  <si>
    <t>WS1460171</t>
  </si>
  <si>
    <t>Truck/Sino/All/Gearbox Surrounding Bolt</t>
  </si>
  <si>
    <t>Gearbox Surrounding Bolt</t>
  </si>
  <si>
    <t>WS1461179</t>
  </si>
  <si>
    <t>Truck/Foton/Hiab/Input Shaft Cover</t>
  </si>
  <si>
    <t>Input Shaft Cover</t>
  </si>
  <si>
    <t>WS1460299</t>
  </si>
  <si>
    <t>Truck/VW/18310/Transmission Engine Cover</t>
  </si>
  <si>
    <t>Transmission Engine Cover</t>
  </si>
  <si>
    <t>SINO-4x2-GBX-SEAL-BK</t>
  </si>
  <si>
    <t>gear box seal back</t>
  </si>
  <si>
    <t>Gearbox Seals</t>
  </si>
  <si>
    <t>WS1460681</t>
  </si>
  <si>
    <t>Truck/Sino/6x4/Gearbox Main Shaft Cover Seal</t>
  </si>
  <si>
    <t>Gearbox Main Shaft Cover Seal</t>
  </si>
  <si>
    <t>WS1460682</t>
  </si>
  <si>
    <t>Truck/VW/18310/Gearbox Overdraft Oil Seal</t>
  </si>
  <si>
    <t>Gearbox Overdraft Oil Seal</t>
  </si>
  <si>
    <t>WS1461180</t>
  </si>
  <si>
    <t>Truck/Foton/Hiab/Input Shaft Oil Seal</t>
  </si>
  <si>
    <t>Input Shaft Oil Seal</t>
  </si>
  <si>
    <t>WS1460820</t>
  </si>
  <si>
    <t>Truck/Sino/Hiab/Pto Solenoid Valve</t>
  </si>
  <si>
    <t>Pto Solenoid Valve</t>
  </si>
  <si>
    <t>PTO</t>
  </si>
  <si>
    <t>WS1461200</t>
  </si>
  <si>
    <t>Truck/Sino/Hiab/ PTO Solenoid Valve</t>
  </si>
  <si>
    <t>PTO Solenoid Valve</t>
  </si>
  <si>
    <t>WS1461107</t>
  </si>
  <si>
    <t>Truck/Sino/Hiab/CENTER CASING</t>
  </si>
  <si>
    <t>CENTER CASING</t>
  </si>
  <si>
    <t>Propeller Shaft</t>
  </si>
  <si>
    <t>Prop Shafts, UJs &amp; Centre Bearings</t>
  </si>
  <si>
    <t>WS1460127</t>
  </si>
  <si>
    <t>Truck/Howo/4X2/Center Casing Bolt</t>
  </si>
  <si>
    <t>Center Casing Bolt</t>
  </si>
  <si>
    <t>WS1461328</t>
  </si>
  <si>
    <t>Centre Bearing Isuzu 5-87220030-0</t>
  </si>
  <si>
    <t>WS1461389</t>
  </si>
  <si>
    <t>Complete Propeller Shaft Howo 371</t>
  </si>
  <si>
    <t>WS1460131</t>
  </si>
  <si>
    <t>Truck/Howo/4X2/Drive Shaft Hanger</t>
  </si>
  <si>
    <t>Drive Shaft Hanger</t>
  </si>
  <si>
    <t>WS1460159</t>
  </si>
  <si>
    <t>Truck/Sino/6X4/Middle Spider Bearing</t>
  </si>
  <si>
    <t>Middle Spider Bearing</t>
  </si>
  <si>
    <t>WS1460135</t>
  </si>
  <si>
    <t>Truck/Sino/All/Propeller Bolt</t>
  </si>
  <si>
    <t>Propeller Bolt</t>
  </si>
  <si>
    <t>WS1460286</t>
  </si>
  <si>
    <t>Truck/VW/18310/Propeller Bolt</t>
  </si>
  <si>
    <t>WS1460900</t>
  </si>
  <si>
    <t>Truck/Foton/Hiab/PROPPELLER CENTRE CASING ASSY</t>
  </si>
  <si>
    <t>PROPPELLER CENTRE CASING ASSY</t>
  </si>
  <si>
    <t>WS1461036</t>
  </si>
  <si>
    <t>Truck/Isuzu/All/PROPPELLER UNIVERSAL JOINT</t>
  </si>
  <si>
    <t>PROPPELLER UNIVERSAL JOINT</t>
  </si>
  <si>
    <t>WS1460291</t>
  </si>
  <si>
    <t>Truck/VW/18310/Spider Bearing</t>
  </si>
  <si>
    <t>Spider Bearing</t>
  </si>
  <si>
    <t>WS1460138</t>
  </si>
  <si>
    <t>Truck/Howo/4X2/Spizer Bearing</t>
  </si>
  <si>
    <t>Spizer Bearing</t>
  </si>
  <si>
    <t>WS1461325</t>
  </si>
  <si>
    <t>Universal Joint (Crane propeller) SINO HOWO 371HP 9112290001</t>
  </si>
  <si>
    <t>WS1461279</t>
  </si>
  <si>
    <t>Truck/All/All/Tyre Chalk</t>
  </si>
  <si>
    <t>Tyre Chalk</t>
  </si>
  <si>
    <t>Tyre</t>
  </si>
  <si>
    <t>Tyres &amp; Wheels</t>
  </si>
  <si>
    <t>Tyre Service Supplies</t>
  </si>
  <si>
    <t>Marking Chalk</t>
  </si>
  <si>
    <t>WS1461278</t>
  </si>
  <si>
    <t>Truck/All/All/Tyre Flat Patch</t>
  </si>
  <si>
    <t>Tyre Flat Patch</t>
  </si>
  <si>
    <t>Repair Patch</t>
  </si>
  <si>
    <t>WS1461277</t>
  </si>
  <si>
    <t>Truck/All/All/Tyre Grease</t>
  </si>
  <si>
    <t>Tyre Grease</t>
  </si>
  <si>
    <t>Tyre Mounting Grease</t>
  </si>
  <si>
    <t>WS1461280</t>
  </si>
  <si>
    <t>Truck/All/All/Tyre Thread Dept Guage</t>
  </si>
  <si>
    <t>Tyre Thread Dept Guage</t>
  </si>
  <si>
    <t>Tyre Service Tools</t>
  </si>
  <si>
    <t>Tread Depth Gauge</t>
  </si>
  <si>
    <t>WS1461375</t>
  </si>
  <si>
    <t>Tyre Filler</t>
  </si>
  <si>
    <t>Tyre Inflator</t>
  </si>
  <si>
    <t>WS1460822</t>
  </si>
  <si>
    <t>Truck/All/All/Tubeless Neck Valve Short</t>
  </si>
  <si>
    <t>Tubeless Neck Valve Short</t>
  </si>
  <si>
    <t>Tyre Valves</t>
  </si>
  <si>
    <t>Valves &amp; Accessories</t>
  </si>
  <si>
    <t>WS1461282</t>
  </si>
  <si>
    <t>Truck/All/All/Tyre Valve Cap</t>
  </si>
  <si>
    <t>Tyre Valve Cap</t>
  </si>
  <si>
    <t>WS1461283</t>
  </si>
  <si>
    <t>Truck/All/All/Tyre Valve Extension</t>
  </si>
  <si>
    <t>Tyre Valve Extension</t>
  </si>
  <si>
    <t>WS1461374</t>
  </si>
  <si>
    <t>Valve core(Pin)</t>
  </si>
  <si>
    <t>WS1461281</t>
  </si>
  <si>
    <t>Truck/All/All/Valve Extension</t>
  </si>
  <si>
    <t>Valve Extension</t>
  </si>
  <si>
    <t>WS1460826</t>
  </si>
  <si>
    <t>Truck/All/All/Vw Tubless Valve Long</t>
  </si>
  <si>
    <t>Vw Tubless Valve Long</t>
  </si>
  <si>
    <t>WS1461356</t>
  </si>
  <si>
    <t>FREDERICH 315/80R22.5 FA808 PATTERN</t>
  </si>
  <si>
    <t>Tyres</t>
  </si>
  <si>
    <t>WS1460842</t>
  </si>
  <si>
    <t>Gallant Tyre 315/80R22.5</t>
  </si>
  <si>
    <t>WS1461355</t>
  </si>
  <si>
    <t>SAILUN 315/80R22.5 S801 PATTERN</t>
  </si>
  <si>
    <t>WS1461354</t>
  </si>
  <si>
    <t>SAILUN 315/80R22.5 S815 PATTERN</t>
  </si>
  <si>
    <t>WS1461315</t>
  </si>
  <si>
    <t>Trucks/All/All/Skypower Tyre 315/80R22.5</t>
  </si>
  <si>
    <t>Skypower Tyre 315/80R22.5</t>
  </si>
  <si>
    <t>WS1461257</t>
  </si>
  <si>
    <t>TRAILER</t>
  </si>
  <si>
    <t>Truck/VW/Tyre (11R24.5)</t>
  </si>
  <si>
    <t>Tyre (11R24.5)</t>
  </si>
  <si>
    <t>WS1461203</t>
  </si>
  <si>
    <t>Truck/MB Tanker/Tyre (295/80R22.5)</t>
  </si>
  <si>
    <t>Tyre (295/80R22.5)</t>
  </si>
  <si>
    <t>WS1461245</t>
  </si>
  <si>
    <t>Truck/Isuzu/Canter/Tyre (7.00R16)</t>
  </si>
  <si>
    <t>Tyre (7.00R16)</t>
  </si>
  <si>
    <t>WS1460802</t>
  </si>
  <si>
    <t>Tyre/Foton/Canter/Tyre 175/70R14Lt Austone</t>
  </si>
  <si>
    <t>Tyre 175/70R14Lt Austone</t>
  </si>
  <si>
    <t>WS1460809</t>
  </si>
  <si>
    <t>Trucks/All/Flatbody/Tyre-Doupro-385/65/22.5</t>
  </si>
  <si>
    <t>Tyre-Doupro-385/65/22.5</t>
  </si>
  <si>
    <t>WS1460768</t>
  </si>
  <si>
    <t>Truck/VW/18310/Front Wheel Stud</t>
  </si>
  <si>
    <t>Front Wheel Stud</t>
  </si>
  <si>
    <t>Wheel Fasteners</t>
  </si>
  <si>
    <t>Wheel Studs &amp; Nuts</t>
  </si>
  <si>
    <t>WS1460769</t>
  </si>
  <si>
    <t>Truck/VW/Flatbody/Front Wheel Stud And Nut</t>
  </si>
  <si>
    <t>Front Wheel Stud And Nut</t>
  </si>
  <si>
    <t>WS1460770</t>
  </si>
  <si>
    <t>Truck/VW/Flatbody/Rear Wheel Stud And Nut</t>
  </si>
  <si>
    <t>Rear Wheel Stud And Nut</t>
  </si>
  <si>
    <t>WS1460771</t>
  </si>
  <si>
    <t>Truck/VW/Flatbody/Tractor Wheel Stud Rear</t>
  </si>
  <si>
    <t>Tractor Wheel Stud Rear</t>
  </si>
  <si>
    <t>WS1460891</t>
  </si>
  <si>
    <t>Trailer/All/Body/Trailer Wheel Nut-York</t>
  </si>
  <si>
    <t>Trailer Wheel Nut-York</t>
  </si>
  <si>
    <t>WS1460866</t>
  </si>
  <si>
    <t>Trailer/All//TRAILER WHEEL STUD SUPER 35</t>
  </si>
  <si>
    <t>TRAILER WHEEL STUD SUPER 35</t>
  </si>
  <si>
    <t>WS1460182</t>
  </si>
  <si>
    <t>Truck/All/All/Wheel Bolt And Nut</t>
  </si>
  <si>
    <t>Wheel Bolt And Nut</t>
  </si>
  <si>
    <t>WS1461320</t>
  </si>
  <si>
    <t>Wheel Stud SINO HOWO 371HP 99000410104</t>
  </si>
  <si>
    <t>WS1461329</t>
  </si>
  <si>
    <t>Wheel Stud Super 30 Hub</t>
  </si>
  <si>
    <t>WS1460564</t>
  </si>
  <si>
    <t>Trailer/Sino/Body/Wheel Stud With Nut</t>
  </si>
  <si>
    <t>Wheel Stud With Nut</t>
  </si>
  <si>
    <t>WS1460642</t>
  </si>
  <si>
    <t>Truck/All/All/315R22.5 Rim</t>
  </si>
  <si>
    <t>315R22.5 Rim</t>
  </si>
  <si>
    <t>Wheels</t>
  </si>
  <si>
    <t>Rims</t>
  </si>
  <si>
    <t>WS1461233</t>
  </si>
  <si>
    <t>Trailer/All/Sand Paper</t>
  </si>
  <si>
    <t>Sand Paper</t>
  </si>
  <si>
    <t>Workshop Consumables</t>
  </si>
  <si>
    <t>Abrasives</t>
  </si>
  <si>
    <t>WS1460825</t>
  </si>
  <si>
    <t>All/All/All/Valve Grinding Paste</t>
  </si>
  <si>
    <t>Valve Grinding Paste</t>
  </si>
  <si>
    <t>WS1460443</t>
  </si>
  <si>
    <t>Car/Kia/Rio/4 Minute Gum</t>
  </si>
  <si>
    <t>4 Minute Gum</t>
  </si>
  <si>
    <t>Adhesives &amp; Sealants</t>
  </si>
  <si>
    <t>Gasket Maker / Glue</t>
  </si>
  <si>
    <t>WS1460447</t>
  </si>
  <si>
    <t>Car/Kia/Rio/Blue Gum</t>
  </si>
  <si>
    <t>Blue Gum</t>
  </si>
  <si>
    <t>WS1460402</t>
  </si>
  <si>
    <t>Car/Kia/Rio/Gasket Gum</t>
  </si>
  <si>
    <t>Gasket Gum</t>
  </si>
  <si>
    <t>WS1460448</t>
  </si>
  <si>
    <t>Car/Kia/Rio/Silicon Gum</t>
  </si>
  <si>
    <t>Silicon Gum</t>
  </si>
  <si>
    <t>WS1460444</t>
  </si>
  <si>
    <t>Car/Kia/Rio/Super Glue</t>
  </si>
  <si>
    <t>Super Glue</t>
  </si>
  <si>
    <t>WS1461221</t>
  </si>
  <si>
    <t>Trailer/All/Gasket Paper</t>
  </si>
  <si>
    <t>Gasket Paper</t>
  </si>
  <si>
    <t>Gasket Materials</t>
  </si>
  <si>
    <t>WS1460787</t>
  </si>
  <si>
    <t>Truck/VW/18310/Threading Tape</t>
  </si>
  <si>
    <t>Threading Tape</t>
  </si>
  <si>
    <t>Tapes</t>
  </si>
  <si>
    <t>Thread Seal Tape</t>
  </si>
  <si>
    <t>Flat Trucks Logistics-</t>
  </si>
  <si>
    <t>NBL-CNG</t>
  </si>
  <si>
    <t>DIVISION</t>
  </si>
  <si>
    <t xml:space="preserve">OLD PLATE NO </t>
  </si>
  <si>
    <t xml:space="preserve">NEW PLATE NO </t>
  </si>
  <si>
    <t xml:space="preserve">ASSET ID </t>
  </si>
  <si>
    <t>Consumption</t>
  </si>
  <si>
    <t xml:space="preserve">Mentaiance Budget </t>
  </si>
  <si>
    <t xml:space="preserve">Montly Trip </t>
  </si>
  <si>
    <t xml:space="preserve">KM </t>
  </si>
  <si>
    <t xml:space="preserve">Project Number of Day </t>
  </si>
  <si>
    <t xml:space="preserve">Planned </t>
  </si>
  <si>
    <t xml:space="preserve">Road Expenses Per KM </t>
  </si>
  <si>
    <t>T-1589LA</t>
  </si>
  <si>
    <t>T-1590LA</t>
  </si>
  <si>
    <t>T-1678LA</t>
  </si>
  <si>
    <t>GGE28XU</t>
  </si>
  <si>
    <t>KTU69XP</t>
  </si>
  <si>
    <t>T-2413LA</t>
  </si>
  <si>
    <t>KTU68XP</t>
  </si>
  <si>
    <t>T-2417LA</t>
  </si>
  <si>
    <t>KTU79XP</t>
  </si>
  <si>
    <t>T-2405LA</t>
  </si>
  <si>
    <t>KTU78XP</t>
  </si>
  <si>
    <t>T-2411LA</t>
  </si>
  <si>
    <t>KJA386XA</t>
  </si>
  <si>
    <t>T-2487LA</t>
  </si>
  <si>
    <t>T-5548LA</t>
  </si>
  <si>
    <t>KRD622XD</t>
  </si>
  <si>
    <t>T-2414LA</t>
  </si>
  <si>
    <t>KRD621XD</t>
  </si>
  <si>
    <t>T-2415LA</t>
  </si>
  <si>
    <t>KJA399XA</t>
  </si>
  <si>
    <t>T-2418LA</t>
  </si>
  <si>
    <t>KRD620XD</t>
  </si>
  <si>
    <t>T-2419LA</t>
  </si>
  <si>
    <t>KJA397XA</t>
  </si>
  <si>
    <t>T-2421LA</t>
  </si>
  <si>
    <t>KJA398XA</t>
  </si>
  <si>
    <t>T-2489LA</t>
  </si>
  <si>
    <t>T-5526LA</t>
  </si>
  <si>
    <t>EPE718XZ</t>
  </si>
  <si>
    <t>T-2409LA</t>
  </si>
  <si>
    <t>T-5524LA</t>
  </si>
  <si>
    <t>T-5525LA</t>
  </si>
  <si>
    <t>KJA169YA</t>
  </si>
  <si>
    <t>T-2422LA</t>
  </si>
  <si>
    <t>MVEH-000282</t>
  </si>
  <si>
    <t>NBL11</t>
  </si>
  <si>
    <t>NBL12</t>
  </si>
  <si>
    <t>NBL13</t>
  </si>
  <si>
    <t>NBL14</t>
  </si>
  <si>
    <t>NBL15</t>
  </si>
  <si>
    <t>NBL16</t>
  </si>
  <si>
    <t>NBL17</t>
  </si>
  <si>
    <t>NBL18</t>
  </si>
  <si>
    <t>NBL19</t>
  </si>
  <si>
    <t>NBL20</t>
  </si>
  <si>
    <t>KJA44XZ</t>
  </si>
  <si>
    <t>T-2404LA</t>
  </si>
  <si>
    <t>LSD698XZ</t>
  </si>
  <si>
    <t>T-2407LA</t>
  </si>
  <si>
    <t>APP366XZ</t>
  </si>
  <si>
    <t>T-2412LA</t>
  </si>
  <si>
    <t>EPE710XZ</t>
  </si>
  <si>
    <t>T-2420LA</t>
  </si>
  <si>
    <t>MUS259XY</t>
  </si>
  <si>
    <t>T-2485LA</t>
  </si>
  <si>
    <t>MUS261XY</t>
  </si>
  <si>
    <t>T-2486LA</t>
  </si>
  <si>
    <t>KJA47XZ</t>
  </si>
  <si>
    <t>T-2490LA</t>
  </si>
  <si>
    <t xml:space="preserve">Selling Fixed </t>
  </si>
  <si>
    <t xml:space="preserve">MTC Cost Per KM </t>
  </si>
  <si>
    <t xml:space="preserve">Tyre Cost Per KM </t>
  </si>
  <si>
    <t xml:space="preserve">Actual Fixed Cost </t>
  </si>
  <si>
    <t xml:space="preserve">Type </t>
  </si>
  <si>
    <t>Cost Center</t>
  </si>
  <si>
    <t xml:space="preserve">Cost Center Name </t>
  </si>
  <si>
    <t>Tractor Head</t>
  </si>
  <si>
    <t>Canter</t>
  </si>
  <si>
    <t>Bus</t>
  </si>
  <si>
    <t>MVEH-000134</t>
  </si>
  <si>
    <t>Flat Trailer single Axel - 30T</t>
  </si>
  <si>
    <t>BOX BODY</t>
  </si>
  <si>
    <t>MVEH-000135</t>
  </si>
  <si>
    <t>Flat Trailer single Axel - 30T (double not yet acquired)</t>
  </si>
  <si>
    <t>MVEH-000265</t>
  </si>
  <si>
    <t xml:space="preserve"> FLAT TRAILER SINGLE AXEL-30T</t>
  </si>
  <si>
    <t>Flat Trailer</t>
  </si>
  <si>
    <t>MVEH-000268</t>
  </si>
  <si>
    <t>MVEH-000279</t>
  </si>
  <si>
    <t>MVEH-000292</t>
  </si>
  <si>
    <t>FLAT TRAILER SINGLE AXEL-30T</t>
  </si>
  <si>
    <t>MVEH-000293</t>
  </si>
  <si>
    <t>MVEH-000303</t>
  </si>
  <si>
    <t>MVEH-000362</t>
  </si>
  <si>
    <t>MVEH-000133</t>
  </si>
  <si>
    <t>MVEH-000138</t>
  </si>
  <si>
    <t>MVEH-000139</t>
  </si>
  <si>
    <t>MVEH-000140</t>
  </si>
  <si>
    <t>MVEH-000270</t>
  </si>
  <si>
    <t>MVEH-000272</t>
  </si>
  <si>
    <t>MVEH-000277</t>
  </si>
  <si>
    <t>MVEH-000290</t>
  </si>
  <si>
    <t>IPI FLAT TRAILER SINGLE AXEL-30T</t>
  </si>
  <si>
    <t>MVEH-000302</t>
  </si>
  <si>
    <t>MVEH-000328</t>
  </si>
  <si>
    <t>Flat Body(15200x2650x2600 Tri AXLE</t>
  </si>
  <si>
    <t>MVEH-000330</t>
  </si>
  <si>
    <t>Sided</t>
  </si>
  <si>
    <t>MVEH-000332</t>
  </si>
  <si>
    <t>MVEH-000341</t>
  </si>
  <si>
    <t>Flat Body 12500x2500 Bogie Axle</t>
  </si>
  <si>
    <t>MVEH-000343</t>
  </si>
  <si>
    <t>MVEH-000345</t>
  </si>
  <si>
    <t>MVEH-000354</t>
  </si>
  <si>
    <t>JUMBO BOX BODY(15200 X 2650 X 2600)-TRI-AXLE, EPOXY PAINT</t>
  </si>
  <si>
    <t>MVEH-000355</t>
  </si>
  <si>
    <t>Haulage</t>
  </si>
  <si>
    <t>MVEH-000360</t>
  </si>
  <si>
    <t>MVEH-000361</t>
  </si>
  <si>
    <t>MVEH-000385</t>
  </si>
  <si>
    <t>JUMBO BOX BODY(15200 X 2650 X 2600)-BOGIEI-AXLE, EPOXY PAINT</t>
  </si>
  <si>
    <t>MVEH-000386</t>
  </si>
  <si>
    <t>MVEH-000387</t>
  </si>
  <si>
    <t>MVEH-000286</t>
  </si>
  <si>
    <t>MVEH-000291</t>
  </si>
  <si>
    <t>IPI FLAT TRAILER DOUBLE AXEL-48T</t>
  </si>
  <si>
    <t>MVEH-000294</t>
  </si>
  <si>
    <t>MVEH-000295</t>
  </si>
  <si>
    <t>Flat Trailer Closed Body - 40T</t>
  </si>
  <si>
    <t>102-40T</t>
  </si>
  <si>
    <t>MVEH-000337</t>
  </si>
  <si>
    <t>MVEH-000339</t>
  </si>
  <si>
    <t>MVEH-000453</t>
  </si>
  <si>
    <t>24 Pallet Trailer (15800x2700x2100) With Traixale</t>
  </si>
  <si>
    <t>MVEH-000454</t>
  </si>
  <si>
    <t>MVEH-000455</t>
  </si>
  <si>
    <t>MVEH-000456</t>
  </si>
  <si>
    <t>MVEH-000457</t>
  </si>
  <si>
    <t>MVEH-000458</t>
  </si>
  <si>
    <t>MVEH-000459</t>
  </si>
  <si>
    <t>MVEH-000460</t>
  </si>
  <si>
    <t>MVEH-000461</t>
  </si>
  <si>
    <t>MVEH-000462</t>
  </si>
  <si>
    <t>MVEH-000463</t>
  </si>
  <si>
    <t>MVEH-000464</t>
  </si>
  <si>
    <t>MVEH-000465</t>
  </si>
  <si>
    <t>MVEH-000466</t>
  </si>
  <si>
    <t>MVEH-000467</t>
  </si>
  <si>
    <t>MVEH-000468</t>
  </si>
  <si>
    <t>MVEH-000469</t>
  </si>
  <si>
    <t>MVEH-000470</t>
  </si>
  <si>
    <t>MVEH-000471</t>
  </si>
  <si>
    <t>MVEH-000472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</si>
</sst>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23" x14ac:knownFonts="1">
    <font>
      <sz val="11"/>
      <color theme="1"/>
      <name val="Calibri"/>
      <family val="2"/>
      <charset val="1"/>
    </font>
    <font>
      <sz val="11"/>
      <color theme="1"/>
      <name val="Calibri"/>
      <family val="2"/>
      <scheme val="minor"/>
    </font>
    <font>
      <sz val="10"/>
      <name val="Arial"/>
      <family val="2"/>
    </font>
    <font>
      <b/>
      <sz val="11"/>
      <color rgb="FFFFFFFF"/>
      <name val="Arial"/>
      <family val="2"/>
    </font>
    <font>
      <sz val="10"/>
      <name val="Arial"/>
      <family val="2"/>
    </font>
    <font>
      <sz val="10"/>
      <color rgb="FF0000FF"/>
      <name val="Arial"/>
      <family val="2"/>
    </font>
    <font>
      <b/>
      <sz val="10"/>
      <name val="Arial"/>
      <family val="2"/>
    </font>
    <font>
      <b/>
      <sz val="13"/>
      <name val="Arial"/>
      <family val="2"/>
    </font>
    <font>
      <sz val="11"/>
      <color theme="1"/>
      <name val="Calibri"/>
      <family val="2"/>
      <charset val="1"/>
    </font>
    <font>
      <b/>
      <sz val="11"/>
      <color theme="1"/>
      <name val="Calibri"/>
      <family val="2"/>
      <scheme val="minor"/>
    </font>
    <font>
      <b/>
      <sz val="11"/>
      <color indexed="8"/>
      <name val="Calibri"/>
      <family val="2"/>
    </font>
    <font>
      <sz val="11"/>
      <color indexed="8"/>
      <name val="Calibri"/>
      <family val="2"/>
    </font>
    <font>
      <sz val="12"/>
      <color theme="1"/>
      <name val="Aptos"/>
      <family val="2"/>
    </font>
    <font>
      <sz val="11"/>
      <color rgb="FF000000"/>
      <name val="Aptos Narrow"/>
      <family val="2"/>
    </font>
    <font>
      <b/>
      <sz val="11"/>
      <color rgb="FF000000"/>
      <name val="Aptos Narrow"/>
      <family val="2"/>
    </font>
    <font>
      <b/>
      <sz val="11"/>
      <color theme="1"/>
      <name val="Calibri"/>
      <family val="2"/>
    </font>
    <font>
      <b/>
      <sz val="11"/>
      <color theme="1"/>
      <name val="Calibri"/>
      <family val="2"/>
      <charset val="1"/>
    </font>
    <font>
      <sz val="11"/>
      <name val="Calibri"/>
      <family val="2"/>
    </font>
    <font>
      <sz val="11"/>
      <color rgb="FF00B0F0"/>
      <name val="Calibri"/>
      <family val="2"/>
      <scheme val="minor"/>
    </font>
    <font>
      <b/>
      <sz val="11"/>
      <name val="Calibri"/>
      <family val="2"/>
      <scheme val="minor"/>
    </font>
    <font>
      <b/>
      <sz val="11"/>
      <color rgb="FF000000"/>
      <name val="Calibri"/>
      <family val="2"/>
      <scheme val="minor"/>
    </font>
    <font>
      <sz val="11"/>
      <name val="Calibri"/>
      <family val="2"/>
      <scheme val="minor"/>
    </font>
    <font>
      <sz val="11"/>
      <color rgb="FF000000"/>
      <name val="Calibri"/>
      <family val="2"/>
      <scheme val="minor"/>
    </font>
  </fonts>
  <fills count="12">
    <fill>
      <patternFill patternType="none"/>
    </fill>
    <fill>
      <patternFill patternType="gray125"/>
    </fill>
    <fill>
      <patternFill patternType="solid">
        <fgColor rgb="FF1F3864"/>
        <bgColor rgb="FF333333"/>
      </patternFill>
    </fill>
    <fill>
      <patternFill patternType="solid">
        <fgColor rgb="FFFFF2CC"/>
        <bgColor rgb="FFFFFDE7"/>
      </patternFill>
    </fill>
    <fill>
      <patternFill patternType="solid">
        <fgColor rgb="FFFFFDE7"/>
        <bgColor rgb="FFFFFFFF"/>
      </patternFill>
    </fill>
    <fill>
      <patternFill patternType="solid">
        <fgColor theme="4" tint="0.79998168889431442"/>
        <bgColor indexed="64"/>
      </patternFill>
    </fill>
    <fill>
      <patternFill patternType="solid">
        <fgColor theme="5"/>
        <bgColor indexed="64"/>
      </patternFill>
    </fill>
    <fill>
      <patternFill patternType="solid">
        <fgColor rgb="FFC0E6F5"/>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rgb="FFF2F6FC"/>
        <bgColor rgb="FFFFFFFF"/>
      </patternFill>
    </fill>
    <fill>
      <patternFill patternType="solid">
        <fgColor rgb="FFFFFF00"/>
        <bgColor rgb="FFFFFF00"/>
      </patternFill>
    </fill>
  </fills>
  <borders count="15">
    <border>
      <left/>
      <right/>
      <top/>
      <bottom/>
      <diagonal/>
    </border>
    <border>
      <left style="thin">
        <color rgb="FFBFBFBF"/>
      </left>
      <right style="thin">
        <color rgb="FFBFBFBF"/>
      </right>
      <top style="thin">
        <color rgb="FFBFBFBF"/>
      </top>
      <bottom style="thin">
        <color rgb="FFBFBFB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s>
  <cellStyleXfs count="7">
    <xf numFmtId="0" fontId="0" fillId="0" borderId="0"/>
    <xf numFmtId="43" fontId="2" fillId="0" borderId="0" applyBorder="0" applyAlignment="0" applyProtection="0"/>
    <xf numFmtId="0" fontId="1" fillId="0" borderId="0"/>
    <xf numFmtId="0" fontId="17" fillId="0" borderId="0"/>
    <xf numFmtId="164" fontId="1" fillId="0" borderId="0" applyFont="0" applyFill="0" applyBorder="0" applyAlignment="0" applyProtection="0"/>
    <xf numFmtId="0" fontId="8" fillId="0" borderId="0"/>
    <xf numFmtId="43" fontId="1" fillId="0" borderId="0" applyFont="0" applyFill="0" applyBorder="0" applyAlignment="0" applyProtection="0"/>
  </cellStyleXfs>
  <cellXfs count="99">
    <xf numFmtId="0" fontId="0" fillId="0" borderId="0" xfId="0"/>
    <xf numFmtId="0" fontId="3" fillId="2" borderId="1" xfId="0" applyFont="1" applyFill="1" applyBorder="1" applyAlignment="1">
      <alignment vertical="center" wrapText="1"/>
    </xf>
    <xf numFmtId="0" fontId="4" fillId="0" borderId="1" xfId="0" applyFont="1" applyBorder="1"/>
    <xf numFmtId="0" fontId="5" fillId="0" borderId="1" xfId="0" applyFont="1" applyBorder="1"/>
    <xf numFmtId="0" fontId="6" fillId="0" borderId="1" xfId="0" applyFont="1" applyBorder="1"/>
    <xf numFmtId="0" fontId="4" fillId="3" borderId="1" xfId="0" applyFont="1" applyFill="1" applyBorder="1"/>
    <xf numFmtId="0" fontId="5" fillId="3" borderId="1" xfId="0" applyFont="1" applyFill="1" applyBorder="1"/>
    <xf numFmtId="0" fontId="6" fillId="3" borderId="1" xfId="0" applyFont="1" applyFill="1" applyBorder="1"/>
    <xf numFmtId="0" fontId="4" fillId="4" borderId="1" xfId="0" applyFont="1" applyFill="1" applyBorder="1"/>
    <xf numFmtId="0" fontId="7" fillId="0" borderId="0" xfId="0" applyFont="1"/>
    <xf numFmtId="0" fontId="6" fillId="0" borderId="0" xfId="0" applyFont="1" applyAlignment="1">
      <alignment vertical="top"/>
    </xf>
    <xf numFmtId="0" fontId="4" fillId="0" borderId="0" xfId="0" applyFont="1" applyAlignment="1">
      <alignment vertical="top" wrapText="1"/>
    </xf>
    <xf numFmtId="0" fontId="1" fillId="0" borderId="0" xfId="2"/>
    <xf numFmtId="0" fontId="1" fillId="0" borderId="2" xfId="2" applyBorder="1"/>
    <xf numFmtId="0" fontId="1" fillId="0" borderId="3" xfId="2" applyBorder="1"/>
    <xf numFmtId="0" fontId="1" fillId="0" borderId="4" xfId="2" applyBorder="1"/>
    <xf numFmtId="0" fontId="1" fillId="0" borderId="5" xfId="2" applyBorder="1"/>
    <xf numFmtId="0" fontId="1" fillId="0" borderId="6" xfId="2" applyBorder="1"/>
    <xf numFmtId="0" fontId="1" fillId="0" borderId="7" xfId="2" applyBorder="1"/>
    <xf numFmtId="0" fontId="10" fillId="5" borderId="8" xfId="2" applyFont="1" applyFill="1" applyBorder="1"/>
    <xf numFmtId="0" fontId="10" fillId="5" borderId="9" xfId="2" applyFont="1" applyFill="1" applyBorder="1"/>
    <xf numFmtId="0" fontId="10" fillId="5" borderId="3" xfId="2" applyFont="1" applyFill="1" applyBorder="1"/>
    <xf numFmtId="0" fontId="10" fillId="5" borderId="4" xfId="2" applyFont="1" applyFill="1" applyBorder="1"/>
    <xf numFmtId="49" fontId="11" fillId="6" borderId="10" xfId="2" applyNumberFormat="1" applyFont="1" applyFill="1" applyBorder="1" applyAlignment="1">
      <alignment horizontal="left"/>
    </xf>
    <xf numFmtId="49" fontId="11" fillId="6" borderId="0" xfId="2" applyNumberFormat="1" applyFont="1" applyFill="1" applyAlignment="1">
      <alignment horizontal="left"/>
    </xf>
    <xf numFmtId="0" fontId="1" fillId="0" borderId="11" xfId="2" applyBorder="1"/>
    <xf numFmtId="49" fontId="11" fillId="0" borderId="10" xfId="2" applyNumberFormat="1" applyFont="1" applyBorder="1" applyAlignment="1">
      <alignment horizontal="left"/>
    </xf>
    <xf numFmtId="49" fontId="11" fillId="0" borderId="0" xfId="2" applyNumberFormat="1" applyFont="1" applyAlignment="1">
      <alignment horizontal="left"/>
    </xf>
    <xf numFmtId="0" fontId="1" fillId="0" borderId="10" xfId="2" applyBorder="1"/>
    <xf numFmtId="49" fontId="11" fillId="0" borderId="6" xfId="2" applyNumberFormat="1" applyFont="1" applyBorder="1" applyAlignment="1">
      <alignment horizontal="left"/>
    </xf>
    <xf numFmtId="0" fontId="12" fillId="0" borderId="0" xfId="2" applyFont="1" applyAlignment="1">
      <alignment vertical="center"/>
    </xf>
    <xf numFmtId="0" fontId="13" fillId="0" borderId="12" xfId="2" applyFont="1" applyBorder="1" applyAlignment="1">
      <alignment vertical="center"/>
    </xf>
    <xf numFmtId="0" fontId="13" fillId="7" borderId="12" xfId="2" applyFont="1" applyFill="1" applyBorder="1" applyAlignment="1">
      <alignment horizontal="center" vertical="center"/>
    </xf>
    <xf numFmtId="0" fontId="13" fillId="0" borderId="12" xfId="2" applyFont="1" applyBorder="1" applyAlignment="1">
      <alignment horizontal="center" vertical="center"/>
    </xf>
    <xf numFmtId="0" fontId="13" fillId="0" borderId="12" xfId="2" applyFont="1" applyBorder="1" applyAlignment="1">
      <alignment horizontal="center" vertical="center" wrapText="1"/>
    </xf>
    <xf numFmtId="0" fontId="13" fillId="0" borderId="12" xfId="2" applyFont="1" applyBorder="1" applyAlignment="1">
      <alignment horizontal="center" vertical="center" wrapText="1"/>
    </xf>
    <xf numFmtId="0" fontId="14" fillId="0" borderId="12" xfId="2" applyFont="1" applyBorder="1" applyAlignment="1">
      <alignment horizontal="center" vertical="center" wrapText="1"/>
    </xf>
    <xf numFmtId="0" fontId="0" fillId="0" borderId="10" xfId="0" applyBorder="1"/>
    <xf numFmtId="0" fontId="0" fillId="0" borderId="5" xfId="0" applyBorder="1"/>
    <xf numFmtId="0" fontId="15" fillId="0" borderId="0" xfId="0" applyFont="1" applyAlignment="1">
      <alignment horizontal="left"/>
    </xf>
    <xf numFmtId="0" fontId="0" fillId="0" borderId="2" xfId="0" applyBorder="1" applyAlignment="1">
      <alignment horizontal="left"/>
    </xf>
    <xf numFmtId="0" fontId="0" fillId="0" borderId="10" xfId="0" applyBorder="1" applyAlignment="1">
      <alignment horizontal="left"/>
    </xf>
    <xf numFmtId="0" fontId="16" fillId="0" borderId="4" xfId="0" applyFont="1" applyBorder="1" applyAlignment="1">
      <alignment horizontal="center"/>
    </xf>
    <xf numFmtId="0" fontId="16" fillId="0" borderId="11" xfId="0" applyFont="1" applyBorder="1" applyAlignment="1">
      <alignment horizontal="center"/>
    </xf>
    <xf numFmtId="43" fontId="6" fillId="0" borderId="11" xfId="1" applyFont="1" applyBorder="1" applyAlignment="1">
      <alignment horizontal="center" vertical="center"/>
    </xf>
    <xf numFmtId="43" fontId="6" fillId="0" borderId="7" xfId="1" applyFont="1" applyBorder="1" applyAlignment="1">
      <alignment horizontal="center" vertical="center"/>
    </xf>
    <xf numFmtId="0" fontId="9" fillId="8" borderId="12" xfId="0" applyFont="1" applyFill="1" applyBorder="1" applyAlignment="1">
      <alignment horizontal="left"/>
    </xf>
    <xf numFmtId="0" fontId="9" fillId="0" borderId="12" xfId="0" applyFont="1" applyBorder="1"/>
    <xf numFmtId="0" fontId="9" fillId="0" borderId="0" xfId="0" applyFont="1"/>
    <xf numFmtId="49" fontId="9" fillId="0" borderId="0" xfId="0" applyNumberFormat="1" applyFont="1"/>
    <xf numFmtId="49" fontId="17" fillId="9" borderId="12" xfId="3" applyNumberFormat="1" applyFill="1" applyBorder="1" applyAlignment="1">
      <alignment horizontal="left"/>
    </xf>
    <xf numFmtId="0" fontId="0" fillId="0" borderId="12" xfId="0" applyBorder="1"/>
    <xf numFmtId="49" fontId="0" fillId="0" borderId="0" xfId="0" applyNumberFormat="1"/>
    <xf numFmtId="0" fontId="18" fillId="0" borderId="0" xfId="0" applyFont="1"/>
    <xf numFmtId="49" fontId="17" fillId="0" borderId="12" xfId="3" applyNumberFormat="1" applyBorder="1" applyAlignment="1">
      <alignment horizontal="left"/>
    </xf>
    <xf numFmtId="49" fontId="11" fillId="0" borderId="12" xfId="0" applyNumberFormat="1" applyFont="1" applyBorder="1" applyAlignment="1">
      <alignment horizontal="left"/>
    </xf>
    <xf numFmtId="0" fontId="19" fillId="0" borderId="0" xfId="2" applyFont="1" applyAlignment="1">
      <alignment wrapText="1"/>
    </xf>
    <xf numFmtId="49" fontId="20" fillId="0" borderId="12" xfId="2" applyNumberFormat="1" applyFont="1" applyBorder="1" applyAlignment="1">
      <alignment horizontal="left" wrapText="1"/>
    </xf>
    <xf numFmtId="0" fontId="9" fillId="0" borderId="12" xfId="2" applyFont="1" applyBorder="1" applyAlignment="1">
      <alignment wrapText="1"/>
    </xf>
    <xf numFmtId="0" fontId="19" fillId="0" borderId="12" xfId="2" applyFont="1" applyBorder="1" applyAlignment="1">
      <alignment horizontal="left" wrapText="1"/>
    </xf>
    <xf numFmtId="49" fontId="19" fillId="0" borderId="12" xfId="2" applyNumberFormat="1" applyFont="1" applyBorder="1" applyAlignment="1">
      <alignment horizontal="left" wrapText="1"/>
    </xf>
    <xf numFmtId="14" fontId="19" fillId="0" borderId="12" xfId="2" applyNumberFormat="1" applyFont="1" applyBorder="1" applyAlignment="1">
      <alignment horizontal="left" wrapText="1"/>
    </xf>
    <xf numFmtId="0" fontId="19" fillId="0" borderId="12" xfId="2" applyFont="1" applyBorder="1" applyAlignment="1">
      <alignment wrapText="1"/>
    </xf>
    <xf numFmtId="0" fontId="19" fillId="0" borderId="12" xfId="2" applyFont="1" applyBorder="1" applyAlignment="1">
      <alignment horizontal="center" vertical="center" wrapText="1"/>
    </xf>
    <xf numFmtId="49" fontId="1" fillId="0" borderId="0" xfId="2" applyNumberFormat="1" applyAlignment="1">
      <alignment horizontal="right"/>
    </xf>
    <xf numFmtId="0" fontId="1" fillId="0" borderId="0" xfId="2" applyAlignment="1">
      <alignment horizontal="left"/>
    </xf>
    <xf numFmtId="14" fontId="1" fillId="0" borderId="0" xfId="2" applyNumberFormat="1"/>
    <xf numFmtId="0" fontId="1" fillId="0" borderId="0" xfId="2" applyAlignment="1">
      <alignment wrapText="1"/>
    </xf>
    <xf numFmtId="49" fontId="21" fillId="0" borderId="0" xfId="2" quotePrefix="1" applyNumberFormat="1" applyFont="1" applyAlignment="1">
      <alignment horizontal="right"/>
    </xf>
    <xf numFmtId="0" fontId="21" fillId="0" borderId="0" xfId="2" applyFont="1" applyAlignment="1">
      <alignment horizontal="left"/>
    </xf>
    <xf numFmtId="49" fontId="1" fillId="0" borderId="0" xfId="2" quotePrefix="1" applyNumberFormat="1" applyAlignment="1">
      <alignment horizontal="right"/>
    </xf>
    <xf numFmtId="0" fontId="1" fillId="0" borderId="0" xfId="2" applyAlignment="1">
      <alignment vertical="center" wrapText="1"/>
    </xf>
    <xf numFmtId="0" fontId="21" fillId="0" borderId="0" xfId="2" applyFont="1"/>
    <xf numFmtId="14" fontId="21" fillId="0" borderId="0" xfId="2" applyNumberFormat="1" applyFont="1"/>
    <xf numFmtId="0" fontId="21" fillId="0" borderId="0" xfId="2" applyFont="1" applyAlignment="1">
      <alignment wrapText="1"/>
    </xf>
    <xf numFmtId="49" fontId="21" fillId="0" borderId="0" xfId="2" applyNumberFormat="1" applyFont="1" applyAlignment="1">
      <alignment horizontal="right"/>
    </xf>
    <xf numFmtId="0" fontId="18" fillId="0" borderId="0" xfId="2" applyFont="1"/>
    <xf numFmtId="0" fontId="22" fillId="0" borderId="0" xfId="2" applyFont="1" applyAlignment="1">
      <alignment vertical="center" wrapText="1"/>
    </xf>
    <xf numFmtId="0" fontId="22" fillId="0" borderId="0" xfId="2" applyFont="1"/>
    <xf numFmtId="0" fontId="1" fillId="0" borderId="12" xfId="2" applyBorder="1"/>
    <xf numFmtId="0" fontId="1" fillId="0" borderId="0" xfId="2" quotePrefix="1" applyAlignment="1">
      <alignment horizontal="right"/>
    </xf>
    <xf numFmtId="0" fontId="22" fillId="0" borderId="0" xfId="2" quotePrefix="1" applyFont="1" applyAlignment="1">
      <alignment horizontal="right"/>
    </xf>
    <xf numFmtId="0" fontId="22" fillId="0" borderId="0" xfId="2" applyFont="1" applyAlignment="1">
      <alignment horizontal="left"/>
    </xf>
    <xf numFmtId="14" fontId="21" fillId="0" borderId="13" xfId="4" applyNumberFormat="1" applyFont="1" applyFill="1" applyBorder="1" applyAlignment="1">
      <alignment horizontal="center" vertical="top"/>
    </xf>
    <xf numFmtId="0" fontId="1" fillId="0" borderId="13" xfId="2" applyBorder="1"/>
    <xf numFmtId="43" fontId="2" fillId="0" borderId="0" xfId="1"/>
    <xf numFmtId="0" fontId="3" fillId="2" borderId="1" xfId="5" applyFont="1" applyFill="1" applyBorder="1" applyAlignment="1">
      <alignment vertical="center" wrapText="1"/>
    </xf>
    <xf numFmtId="0" fontId="8" fillId="0" borderId="0" xfId="5"/>
    <xf numFmtId="0" fontId="2" fillId="0" borderId="1" xfId="5" applyFont="1" applyBorder="1"/>
    <xf numFmtId="0" fontId="2" fillId="10" borderId="1" xfId="5" applyFont="1" applyFill="1" applyBorder="1"/>
    <xf numFmtId="43" fontId="8" fillId="0" borderId="0" xfId="6" applyFont="1"/>
    <xf numFmtId="0" fontId="2" fillId="11" borderId="1" xfId="5" applyFont="1" applyFill="1" applyBorder="1"/>
    <xf numFmtId="0" fontId="0" fillId="0" borderId="0" xfId="0" applyAlignment="1">
      <alignment horizontal="left"/>
    </xf>
    <xf numFmtId="43" fontId="0" fillId="0" borderId="0" xfId="0" applyNumberFormat="1"/>
    <xf numFmtId="0" fontId="9" fillId="9" borderId="14" xfId="0" applyFont="1" applyFill="1" applyBorder="1"/>
    <xf numFmtId="0" fontId="9" fillId="8" borderId="12" xfId="2" applyFont="1" applyFill="1" applyBorder="1" applyAlignment="1">
      <alignment horizontal="left"/>
    </xf>
    <xf numFmtId="0" fontId="9" fillId="0" borderId="12" xfId="2" applyFont="1" applyBorder="1"/>
    <xf numFmtId="0" fontId="9" fillId="0" borderId="0" xfId="2" applyFont="1"/>
    <xf numFmtId="49" fontId="11" fillId="0" borderId="12" xfId="2" applyNumberFormat="1" applyFont="1" applyBorder="1" applyAlignment="1">
      <alignment horizontal="left"/>
    </xf>
  </cellXfs>
  <cellStyles count="7">
    <cellStyle name="Comma" xfId="1" builtinId="3"/>
    <cellStyle name="Comma 2" xfId="4" xr:uid="{E671E08A-2961-4A7C-8856-8BEB570CAC74}"/>
    <cellStyle name="Comma 3" xfId="6" xr:uid="{84DB9E4D-F344-49CD-87AD-F4D540DB2954}"/>
    <cellStyle name="Normal" xfId="0" builtinId="0"/>
    <cellStyle name="Normal 2" xfId="2" xr:uid="{23469EB1-5533-42C3-A00B-A07AA7DA3CDA}"/>
    <cellStyle name="Normal 2 2" xfId="5" xr:uid="{46FF55E0-E4C2-41D5-8295-C16870DB0881}"/>
    <cellStyle name="Normal 2 2 2" xfId="3" xr:uid="{4ADE07E8-5A56-4929-89F6-33458B948BFA}"/>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DE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Master%20Folder/Haulage%20Setup/2025/BP2026/Proland/Setup/DATA%20Compusoft.xlsx" TargetMode="External"/><Relationship Id="rId2" Type="http://schemas.openxmlformats.org/officeDocument/2006/relationships/externalLinkPath" Target="file:///C:\Users\m.dayekh\Desktop\Master%20Folder\Haulage%20Setup\2025\BP2026\Proland\Setup\DATA%20Compusoft.xlsx" TargetMode="External"/><Relationship Id="rId1" Type="http://schemas.openxmlformats.org/officeDocument/2006/relationships/externalLinkPath" Target="/Users/m.dayekh/Desktop/Master%20Folder/Haulage%20Setup/2025/BP2026/Proland/Setup/DATA%20Compusoft.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esktop/Master%20Folder/Haulage%20Setup/2025/BP2026/Budgets/Budget%20Expense%20Account%202026-JMG-CC%20changedV2.xlsx" TargetMode="External"/><Relationship Id="rId2" Type="http://schemas.openxmlformats.org/officeDocument/2006/relationships/externalLinkPath" Target="file:///C:\Users\m.dayekh\Desktop\Master%20Folder\Haulage%20Setup\2025\BP2026\Budgets\Budget%20Expense%20Account%202026-JMG-CC%20changedV2.xlsx" TargetMode="External"/><Relationship Id="rId1" Type="http://schemas.openxmlformats.org/officeDocument/2006/relationships/externalLinkPath" Target="/Users/m.dayekh/Desktop/Master%20Folder/Haulage%20Setup/2025/BP2026/Budgets/Budget%20Expense%20Account%202026-JMG-CC%20changedV2.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Desktop/Master%20Folder/Haulage%20Setup/2025/BP2026/BP2027/Budgets/Budget%20Expense%20Account%202027-JMG-CC%20Scenario%201.xlsx" TargetMode="External"/><Relationship Id="rId2" Type="http://schemas.openxmlformats.org/officeDocument/2006/relationships/externalLinkPath" Target="file:///C:\Users\m.dayekh\Desktop\Master%20Folder\Haulage%20Setup\2025\BP2026\BP2027\Budgets\Budget%20Expense%20Account%202027-JMG-CC%20Scenario%201.xlsx" TargetMode="External"/><Relationship Id="rId1" Type="http://schemas.openxmlformats.org/officeDocument/2006/relationships/externalLinkPath" Target="/Users/m.dayekh/Desktop/Master%20Folder/Haulage%20Setup/2025/BP2026/BP2027/Budgets/Budget%20Expense%20Account%202027-JMG-CC%20Scenario%201.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OneDrive%20-%20JMG%20Ltd/Transport%20Operation/JMG%20Fleet%20Asset%20Body%20Register/JMG_Fleet_Asset_Body_Register.xlsx" TargetMode="External"/><Relationship Id="rId2" Type="http://schemas.openxmlformats.org/officeDocument/2006/relationships/externalLinkPath" Target="file:///C:\Users\m.dayekh\OneDrive%20-%20JMG%20Ltd\Transport%20Operation\JMG%20Fleet%20Asset%20Body%20Register\JMG_Fleet_Asset_Body_Register.xlsx" TargetMode="External"/><Relationship Id="rId1" Type="http://schemas.openxmlformats.org/officeDocument/2006/relationships/externalLinkPath" Target="/Users/m.dayekh/OneDrive%20-%20JMG%20Ltd/Transport%20Operation/JMG%20Fleet%20Asset%20Body%20Register/JMG_Fleet_Asset_Body_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tem List"/>
      <sheetName val="Material By warehouse"/>
      <sheetName val="Item List Pricing "/>
      <sheetName val="Budgets (2)2026"/>
      <sheetName val="Asset Code"/>
      <sheetName val="Truck Mapping With Driver"/>
      <sheetName val="Driver Mapped to Trucks"/>
      <sheetName val="Staffs List"/>
      <sheetName val="Client List"/>
      <sheetName val="Supplier"/>
      <sheetName val="Sheet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1"/>
      <sheetName val="Final Summary"/>
      <sheetName val="Sheet5"/>
      <sheetName val="Sheet6"/>
      <sheetName val="Budgets (2)2026"/>
      <sheetName val="Summary FOr NBL"/>
      <sheetName val="Budget NEW TRUCK"/>
      <sheetName val="Price"/>
      <sheetName val="Sheet1"/>
      <sheetName val="Sheet10"/>
      <sheetName val="Sheet2"/>
      <sheetName val="Asset List Trs"/>
      <sheetName val="Summary"/>
      <sheetName val="Sheet4"/>
      <sheetName val="Budgets"/>
      <sheetName val="Criteria"/>
      <sheetName val="accounts"/>
      <sheetName val="rate"/>
      <sheetName val="Sheet8"/>
      <sheetName val="Sheet7"/>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A3">
            <v>6103009</v>
          </cell>
        </row>
      </sheetData>
      <sheetData sheetId="15"/>
      <sheetData sheetId="16">
        <row r="1">
          <cell r="A1" t="str">
            <v>Account Number</v>
          </cell>
        </row>
        <row r="2">
          <cell r="B2" t="str">
            <v>Cars and Pickups Maintenance</v>
          </cell>
        </row>
        <row r="3">
          <cell r="B3" t="str">
            <v>Hiabs Maintenance Expenses</v>
          </cell>
        </row>
        <row r="4">
          <cell r="B4" t="str">
            <v>Lorries Maintenance Expenses</v>
          </cell>
        </row>
        <row r="5">
          <cell r="B5" t="str">
            <v>Logistics Allowances</v>
          </cell>
        </row>
        <row r="6">
          <cell r="B6" t="str">
            <v>Truck Tyre Expenses</v>
          </cell>
        </row>
        <row r="7">
          <cell r="B7" t="str">
            <v>Logistics Misc Expenses</v>
          </cell>
        </row>
        <row r="8">
          <cell r="B8" t="str">
            <v>Logistics Port Expenses</v>
          </cell>
        </row>
        <row r="9">
          <cell r="B9" t="str">
            <v>Motor Vehicle Fuel Expenses</v>
          </cell>
        </row>
        <row r="10">
          <cell r="B10" t="str">
            <v>Diesel for Hiabs</v>
          </cell>
        </row>
        <row r="11">
          <cell r="B11" t="str">
            <v>Diesel for Lorries</v>
          </cell>
        </row>
        <row r="12">
          <cell r="B12" t="str">
            <v>Fuel and Diesel Logistics Allowances</v>
          </cell>
        </row>
        <row r="13">
          <cell r="B13" t="str">
            <v>Depreciation Motor Vehicles</v>
          </cell>
        </row>
        <row r="14">
          <cell r="B14" t="str">
            <v>License and Permits Vehicles</v>
          </cell>
        </row>
        <row r="15">
          <cell r="B15" t="str">
            <v>Insurance Expense for Vehicles</v>
          </cell>
        </row>
        <row r="16">
          <cell r="B16" t="str">
            <v>Logistics Positioning-Pushing Allowances</v>
          </cell>
        </row>
        <row r="17">
          <cell r="B17" t="str">
            <v>Delivery Allowance Misc</v>
          </cell>
        </row>
      </sheetData>
      <sheetData sheetId="17"/>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ccount Details"/>
      <sheetName val="Detail1"/>
      <sheetName val="Final Summary"/>
      <sheetName val="Sheet5"/>
      <sheetName val="Sheet6"/>
      <sheetName val="Budgets 2027"/>
      <sheetName val="Summary FOr NBL"/>
      <sheetName val="Budget NEW TRUCK"/>
      <sheetName val="Price"/>
      <sheetName val="Sheet1"/>
      <sheetName val="Sheet10"/>
      <sheetName val="Sheet2"/>
      <sheetName val="Asset List Trs"/>
      <sheetName val="Summary"/>
      <sheetName val="CAPEX"/>
      <sheetName val="Sheet4"/>
      <sheetName val="Budgets"/>
      <sheetName val="Criteria"/>
      <sheetName val="accounts"/>
      <sheetName val="rate"/>
    </sheetNames>
    <sheetDataSet>
      <sheetData sheetId="0"/>
      <sheetData sheetId="1"/>
      <sheetData sheetId="2"/>
      <sheetData sheetId="3"/>
      <sheetData sheetId="4"/>
      <sheetData sheetId="5">
        <row r="3">
          <cell r="I3" t="str">
            <v>MVEH-000266</v>
          </cell>
          <cell r="Q3" t="str">
            <v>CC046</v>
          </cell>
          <cell r="R3" t="str">
            <v>Flat Trucks Logistics</v>
          </cell>
        </row>
        <row r="4">
          <cell r="I4" t="str">
            <v>MVEH-000267</v>
          </cell>
          <cell r="Q4" t="str">
            <v>CC046</v>
          </cell>
          <cell r="R4" t="str">
            <v>Flat Trucks Logistics</v>
          </cell>
        </row>
        <row r="5">
          <cell r="I5" t="str">
            <v>MVEH-000269</v>
          </cell>
          <cell r="Q5" t="str">
            <v>CC046</v>
          </cell>
          <cell r="R5" t="str">
            <v>Flat Trucks Logistics</v>
          </cell>
        </row>
        <row r="6">
          <cell r="I6" t="str">
            <v>MVEH-000271</v>
          </cell>
          <cell r="Q6" t="str">
            <v>CC046</v>
          </cell>
          <cell r="R6" t="str">
            <v>Flat Trucks Logistics</v>
          </cell>
        </row>
        <row r="7">
          <cell r="I7" t="str">
            <v>MVEH-000273</v>
          </cell>
          <cell r="Q7" t="str">
            <v>CC046</v>
          </cell>
          <cell r="R7" t="str">
            <v>Flat Trucks Logistics</v>
          </cell>
        </row>
        <row r="8">
          <cell r="I8" t="str">
            <v>MVEH-000276</v>
          </cell>
          <cell r="Q8" t="str">
            <v>CC046</v>
          </cell>
          <cell r="R8" t="str">
            <v>Flat Trucks Logistics</v>
          </cell>
        </row>
        <row r="9">
          <cell r="I9" t="str">
            <v>MVEH-000283</v>
          </cell>
          <cell r="Q9" t="str">
            <v>CC046</v>
          </cell>
          <cell r="R9" t="str">
            <v>Flat Trucks Logistics</v>
          </cell>
        </row>
        <row r="10">
          <cell r="I10" t="str">
            <v>MVEH-000326</v>
          </cell>
          <cell r="Q10" t="str">
            <v>CC037</v>
          </cell>
          <cell r="R10" t="str">
            <v>General Overhead</v>
          </cell>
        </row>
        <row r="11">
          <cell r="I11" t="str">
            <v>MVEH-000130</v>
          </cell>
          <cell r="Q11" t="str">
            <v>CC046</v>
          </cell>
          <cell r="R11" t="str">
            <v>Flat Trucks Logistics</v>
          </cell>
        </row>
        <row r="12">
          <cell r="I12" t="str">
            <v>MVEH-000131</v>
          </cell>
          <cell r="Q12" t="str">
            <v>CC046</v>
          </cell>
          <cell r="R12" t="str">
            <v>Flat Trucks Logistics</v>
          </cell>
        </row>
        <row r="13">
          <cell r="I13" t="str">
            <v>MVEH-000132</v>
          </cell>
          <cell r="Q13" t="str">
            <v>CC046</v>
          </cell>
          <cell r="R13" t="str">
            <v>Flat Trucks Logistics</v>
          </cell>
        </row>
        <row r="14">
          <cell r="I14" t="str">
            <v>MVEH-000142</v>
          </cell>
          <cell r="Q14" t="str">
            <v>CC046</v>
          </cell>
          <cell r="R14" t="str">
            <v>Flat Trucks Logistics</v>
          </cell>
        </row>
        <row r="15">
          <cell r="I15" t="str">
            <v>MVEH-000143</v>
          </cell>
          <cell r="Q15" t="str">
            <v>CC046</v>
          </cell>
          <cell r="R15" t="str">
            <v>Flat Trucks Logistics</v>
          </cell>
        </row>
        <row r="16">
          <cell r="I16" t="str">
            <v>MVEH-000144</v>
          </cell>
          <cell r="Q16" t="str">
            <v>CC046</v>
          </cell>
          <cell r="R16" t="str">
            <v>Flat Trucks Logistics</v>
          </cell>
        </row>
        <row r="17">
          <cell r="I17" t="str">
            <v>MVEH-000318</v>
          </cell>
          <cell r="Q17" t="str">
            <v>CC046</v>
          </cell>
          <cell r="R17" t="str">
            <v>Flat Trucks Logistics</v>
          </cell>
        </row>
        <row r="18">
          <cell r="I18" t="str">
            <v>MVEH-000320</v>
          </cell>
          <cell r="Q18" t="str">
            <v>CC059</v>
          </cell>
          <cell r="R18" t="str">
            <v>Haulage</v>
          </cell>
        </row>
        <row r="19">
          <cell r="I19" t="str">
            <v>MVEH-000327</v>
          </cell>
          <cell r="Q19" t="str">
            <v>CC059</v>
          </cell>
          <cell r="R19" t="str">
            <v>Haulage</v>
          </cell>
        </row>
        <row r="20">
          <cell r="I20" t="str">
            <v>MVEH-000329</v>
          </cell>
          <cell r="Q20" t="str">
            <v>CC059</v>
          </cell>
          <cell r="R20" t="str">
            <v>Haulage</v>
          </cell>
        </row>
        <row r="21">
          <cell r="I21" t="str">
            <v>MVEH-000331</v>
          </cell>
          <cell r="Q21" t="str">
            <v>CC059</v>
          </cell>
          <cell r="R21" t="str">
            <v>Haulage</v>
          </cell>
        </row>
        <row r="22">
          <cell r="I22" t="str">
            <v>MVEH-000335</v>
          </cell>
          <cell r="Q22" t="str">
            <v>CC059</v>
          </cell>
          <cell r="R22" t="str">
            <v>Haulage</v>
          </cell>
        </row>
        <row r="23">
          <cell r="I23" t="str">
            <v>MVEH-000336</v>
          </cell>
          <cell r="Q23" t="str">
            <v>CC059</v>
          </cell>
          <cell r="R23" t="str">
            <v>Haulage</v>
          </cell>
        </row>
        <row r="24">
          <cell r="I24" t="str">
            <v>MVEH-000340</v>
          </cell>
          <cell r="Q24" t="str">
            <v>CC059</v>
          </cell>
          <cell r="R24" t="str">
            <v>Haulage</v>
          </cell>
        </row>
        <row r="25">
          <cell r="I25" t="str">
            <v>MVEH-000342</v>
          </cell>
          <cell r="Q25" t="str">
            <v>CC059</v>
          </cell>
          <cell r="R25" t="str">
            <v>Haulage</v>
          </cell>
        </row>
        <row r="26">
          <cell r="I26" t="str">
            <v>MVEH-000344</v>
          </cell>
          <cell r="Q26" t="str">
            <v>CC059</v>
          </cell>
          <cell r="R26" t="str">
            <v>Haulage</v>
          </cell>
        </row>
        <row r="27">
          <cell r="I27" t="str">
            <v>MVEH-000352</v>
          </cell>
          <cell r="Q27" t="str">
            <v>CC059</v>
          </cell>
          <cell r="R27" t="str">
            <v>Haulage</v>
          </cell>
        </row>
        <row r="28">
          <cell r="I28" t="str">
            <v>MVEH-000359</v>
          </cell>
          <cell r="Q28" t="str">
            <v>CC059</v>
          </cell>
          <cell r="R28" t="str">
            <v>Haulage</v>
          </cell>
        </row>
        <row r="29">
          <cell r="I29" t="str">
            <v>MVEH-000285</v>
          </cell>
          <cell r="Q29" t="str">
            <v>CC059</v>
          </cell>
          <cell r="R29" t="str">
            <v>Haulage</v>
          </cell>
        </row>
        <row r="30">
          <cell r="I30" t="str">
            <v>MVEH-000306</v>
          </cell>
          <cell r="Q30" t="str">
            <v>CC059</v>
          </cell>
          <cell r="R30" t="str">
            <v>Haulage</v>
          </cell>
        </row>
        <row r="31">
          <cell r="I31" t="str">
            <v>MVEH-000319</v>
          </cell>
          <cell r="Q31" t="str">
            <v>CC059</v>
          </cell>
          <cell r="R31" t="str">
            <v>Haulage</v>
          </cell>
        </row>
        <row r="32">
          <cell r="I32" t="str">
            <v>MVEH-000333</v>
          </cell>
          <cell r="Q32" t="str">
            <v>CC059</v>
          </cell>
          <cell r="R32" t="str">
            <v>Haulage</v>
          </cell>
        </row>
        <row r="33">
          <cell r="I33" t="str">
            <v>MVEH-000334</v>
          </cell>
          <cell r="Q33" t="str">
            <v>CC059</v>
          </cell>
          <cell r="R33" t="str">
            <v>Haulage</v>
          </cell>
        </row>
        <row r="34">
          <cell r="I34" t="str">
            <v>MVEH-000433</v>
          </cell>
          <cell r="Q34" t="str">
            <v>CC059</v>
          </cell>
          <cell r="R34" t="str">
            <v>Haulage</v>
          </cell>
        </row>
        <row r="35">
          <cell r="I35" t="str">
            <v>MVEH-000434</v>
          </cell>
          <cell r="Q35" t="str">
            <v>CC059</v>
          </cell>
          <cell r="R35" t="str">
            <v>Haulage</v>
          </cell>
        </row>
        <row r="36">
          <cell r="I36" t="str">
            <v>MVEH-000435</v>
          </cell>
          <cell r="Q36" t="str">
            <v>CC059</v>
          </cell>
          <cell r="R36" t="str">
            <v>Haulage</v>
          </cell>
        </row>
        <row r="37">
          <cell r="I37" t="str">
            <v>MVEH-000436</v>
          </cell>
          <cell r="Q37" t="str">
            <v>CC059</v>
          </cell>
          <cell r="R37" t="str">
            <v>Haulage</v>
          </cell>
        </row>
        <row r="38">
          <cell r="I38" t="str">
            <v>MVEH-000437</v>
          </cell>
          <cell r="Q38" t="str">
            <v>CC059</v>
          </cell>
          <cell r="R38" t="str">
            <v>Haulage</v>
          </cell>
        </row>
        <row r="39">
          <cell r="I39" t="str">
            <v>MVEH-000438</v>
          </cell>
          <cell r="Q39" t="str">
            <v>CC059</v>
          </cell>
          <cell r="R39" t="str">
            <v>Haulage</v>
          </cell>
        </row>
        <row r="40">
          <cell r="I40" t="str">
            <v>MVEH-000439</v>
          </cell>
          <cell r="Q40" t="str">
            <v>CC059</v>
          </cell>
          <cell r="R40" t="str">
            <v>Haulage</v>
          </cell>
        </row>
        <row r="41">
          <cell r="I41" t="str">
            <v>MVEH-000440</v>
          </cell>
          <cell r="Q41" t="str">
            <v>CC059</v>
          </cell>
          <cell r="R41" t="str">
            <v>Haulage</v>
          </cell>
        </row>
        <row r="42">
          <cell r="I42" t="str">
            <v>MVEH-000441</v>
          </cell>
          <cell r="Q42" t="str">
            <v>CC059</v>
          </cell>
          <cell r="R42" t="str">
            <v>Haulage</v>
          </cell>
        </row>
        <row r="43">
          <cell r="I43" t="str">
            <v>MVEH-000442</v>
          </cell>
          <cell r="Q43" t="str">
            <v>CC059</v>
          </cell>
          <cell r="R43" t="str">
            <v>Haulage</v>
          </cell>
        </row>
        <row r="44">
          <cell r="I44" t="str">
            <v>MVEH-000443</v>
          </cell>
          <cell r="Q44" t="str">
            <v>CC059</v>
          </cell>
          <cell r="R44" t="str">
            <v>Haulage</v>
          </cell>
        </row>
        <row r="45">
          <cell r="I45" t="str">
            <v>MVEH-000444</v>
          </cell>
          <cell r="Q45" t="str">
            <v>CC059</v>
          </cell>
          <cell r="R45" t="str">
            <v>Haulage</v>
          </cell>
        </row>
        <row r="46">
          <cell r="I46" t="str">
            <v>MVEH-000445</v>
          </cell>
          <cell r="Q46" t="str">
            <v>CC059</v>
          </cell>
          <cell r="R46" t="str">
            <v>Haulage</v>
          </cell>
        </row>
        <row r="47">
          <cell r="I47" t="str">
            <v>MVEH-000446</v>
          </cell>
          <cell r="Q47" t="str">
            <v>CC059</v>
          </cell>
          <cell r="R47" t="str">
            <v>Haulage</v>
          </cell>
        </row>
        <row r="48">
          <cell r="I48" t="str">
            <v>MVEH-000447</v>
          </cell>
          <cell r="Q48" t="str">
            <v>CC059</v>
          </cell>
          <cell r="R48" t="str">
            <v>Haulage</v>
          </cell>
        </row>
        <row r="49">
          <cell r="I49" t="str">
            <v>MVEH-000448</v>
          </cell>
          <cell r="Q49" t="str">
            <v>CC059</v>
          </cell>
          <cell r="R49" t="str">
            <v>Haulage</v>
          </cell>
        </row>
        <row r="50">
          <cell r="I50" t="str">
            <v>MVEH-000449</v>
          </cell>
          <cell r="Q50" t="str">
            <v>CC059</v>
          </cell>
          <cell r="R50" t="str">
            <v>Haulage</v>
          </cell>
        </row>
        <row r="51">
          <cell r="I51" t="str">
            <v>MVEH-000450</v>
          </cell>
          <cell r="Q51" t="str">
            <v>CC059</v>
          </cell>
          <cell r="R51" t="str">
            <v>Haulage</v>
          </cell>
        </row>
        <row r="52">
          <cell r="I52" t="str">
            <v>MVEH-000451</v>
          </cell>
          <cell r="Q52" t="str">
            <v>CC059</v>
          </cell>
          <cell r="R52" t="str">
            <v>Haulage</v>
          </cell>
        </row>
        <row r="53">
          <cell r="I53" t="str">
            <v>MVEH-000452</v>
          </cell>
          <cell r="Q53" t="str">
            <v>CC059</v>
          </cell>
          <cell r="R53" t="str">
            <v>Haulage</v>
          </cell>
        </row>
        <row r="54">
          <cell r="I54" t="str">
            <v>MVEH-000102</v>
          </cell>
          <cell r="Q54" t="str">
            <v>CC039</v>
          </cell>
          <cell r="R54" t="str">
            <v>Hiabs Logistics</v>
          </cell>
        </row>
        <row r="55">
          <cell r="I55" t="str">
            <v>MVEH-000097</v>
          </cell>
          <cell r="Q55" t="str">
            <v>CC039</v>
          </cell>
          <cell r="R55" t="str">
            <v>Hiabs Logistics</v>
          </cell>
        </row>
        <row r="56">
          <cell r="I56" t="str">
            <v>MVEH-000101</v>
          </cell>
          <cell r="Q56" t="str">
            <v>CC039</v>
          </cell>
          <cell r="R56" t="str">
            <v>Hiabs Logistics</v>
          </cell>
        </row>
        <row r="57">
          <cell r="I57" t="str">
            <v>MVEH-000104</v>
          </cell>
          <cell r="Q57" t="str">
            <v>CC039</v>
          </cell>
          <cell r="R57" t="str">
            <v>Hiabs Logistics</v>
          </cell>
        </row>
        <row r="58">
          <cell r="I58" t="str">
            <v>MVEH-000105</v>
          </cell>
          <cell r="Q58" t="str">
            <v>CC039</v>
          </cell>
          <cell r="R58" t="str">
            <v>Hiabs Logistics</v>
          </cell>
        </row>
        <row r="59">
          <cell r="I59" t="str">
            <v>MVEH-000297</v>
          </cell>
          <cell r="Q59" t="str">
            <v>CC039</v>
          </cell>
          <cell r="R59" t="str">
            <v>Hiabs Logistics</v>
          </cell>
        </row>
        <row r="60">
          <cell r="I60" t="str">
            <v>MVEH-000298</v>
          </cell>
          <cell r="Q60" t="str">
            <v>CC039</v>
          </cell>
          <cell r="R60" t="str">
            <v>Hiabs Logistics</v>
          </cell>
        </row>
        <row r="61">
          <cell r="I61" t="str">
            <v>MVEH-000145</v>
          </cell>
          <cell r="Q61" t="str">
            <v>CC047</v>
          </cell>
          <cell r="R61" t="str">
            <v>Closed Body Logistics</v>
          </cell>
        </row>
        <row r="62">
          <cell r="I62" t="str">
            <v>MVEH-000202</v>
          </cell>
          <cell r="Q62" t="str">
            <v>CC047</v>
          </cell>
          <cell r="R62" t="str">
            <v>Closed Body Logistics</v>
          </cell>
        </row>
        <row r="63">
          <cell r="I63" t="str">
            <v>MVEH-000289</v>
          </cell>
          <cell r="Q63" t="str">
            <v>CC047</v>
          </cell>
          <cell r="R63" t="str">
            <v>Closed Body Logistics</v>
          </cell>
        </row>
        <row r="64">
          <cell r="I64" t="str">
            <v>MVEH-000304</v>
          </cell>
          <cell r="Q64" t="str">
            <v>CC047</v>
          </cell>
          <cell r="R64" t="str">
            <v>Closed Body Logistics</v>
          </cell>
        </row>
        <row r="65">
          <cell r="I65" t="str">
            <v>MVEH-000363</v>
          </cell>
          <cell r="Q65" t="str">
            <v>CC047</v>
          </cell>
          <cell r="R65" t="str">
            <v>Closed Body Logistics</v>
          </cell>
        </row>
        <row r="66">
          <cell r="I66" t="str">
            <v>MVEH-000287</v>
          </cell>
          <cell r="Q66" t="str">
            <v>CC047</v>
          </cell>
          <cell r="R66" t="str">
            <v>Closed Body Logistics</v>
          </cell>
        </row>
        <row r="67">
          <cell r="I67" t="str">
            <v>MVEH-000103</v>
          </cell>
          <cell r="Q67" t="str">
            <v>CC039</v>
          </cell>
          <cell r="R67" t="str">
            <v>Hiabs Logistics</v>
          </cell>
        </row>
        <row r="68">
          <cell r="I68" t="str">
            <v>MVEH-000288</v>
          </cell>
          <cell r="Q68" t="str">
            <v>CC039</v>
          </cell>
          <cell r="R68" t="str">
            <v>Closed Body Logistics</v>
          </cell>
        </row>
        <row r="69">
          <cell r="I69" t="str">
            <v>MVEH-000146</v>
          </cell>
          <cell r="Q69" t="str">
            <v>CC047</v>
          </cell>
          <cell r="R69" t="str">
            <v>Closed Body Logistics</v>
          </cell>
        </row>
        <row r="70">
          <cell r="I70" t="str">
            <v>MVEH-000134</v>
          </cell>
          <cell r="Q70" t="str">
            <v>CC046</v>
          </cell>
          <cell r="R70" t="str">
            <v>Flat Trucks Logistics</v>
          </cell>
        </row>
        <row r="71">
          <cell r="I71" t="str">
            <v>MVEH-000135</v>
          </cell>
          <cell r="Q71" t="str">
            <v>CC046</v>
          </cell>
          <cell r="R71" t="str">
            <v>Flat Trucks Logistics</v>
          </cell>
        </row>
        <row r="72">
          <cell r="I72" t="str">
            <v>MVEH-000265</v>
          </cell>
          <cell r="Q72" t="str">
            <v>CC046</v>
          </cell>
          <cell r="R72" t="str">
            <v>Flat Trucks Logistics</v>
          </cell>
        </row>
        <row r="73">
          <cell r="I73" t="str">
            <v>MVEH-000268</v>
          </cell>
          <cell r="Q73" t="str">
            <v>CC046</v>
          </cell>
          <cell r="R73" t="str">
            <v>Flat Trucks Logistics</v>
          </cell>
        </row>
        <row r="74">
          <cell r="I74" t="str">
            <v>MVEH-000279</v>
          </cell>
          <cell r="Q74" t="str">
            <v>CC046</v>
          </cell>
          <cell r="R74" t="str">
            <v>Flat Trucks Logistics</v>
          </cell>
        </row>
        <row r="75">
          <cell r="I75" t="str">
            <v>MVEH-000292</v>
          </cell>
          <cell r="Q75" t="str">
            <v>CC046</v>
          </cell>
          <cell r="R75" t="str">
            <v>Flat Trucks Logistics</v>
          </cell>
        </row>
        <row r="76">
          <cell r="I76" t="str">
            <v>MVEH-000293</v>
          </cell>
          <cell r="Q76" t="str">
            <v>CC046</v>
          </cell>
          <cell r="R76" t="str">
            <v>Flat Trucks Logistics</v>
          </cell>
        </row>
        <row r="77">
          <cell r="I77" t="str">
            <v>MVEH-000303</v>
          </cell>
          <cell r="Q77" t="str">
            <v>CC046</v>
          </cell>
          <cell r="R77" t="str">
            <v>Flat Trucks Logistics</v>
          </cell>
        </row>
        <row r="78">
          <cell r="I78" t="str">
            <v>MVEH-000362</v>
          </cell>
          <cell r="Q78" t="str">
            <v>CC046</v>
          </cell>
          <cell r="R78" t="str">
            <v>Flat Trucks Logistics</v>
          </cell>
        </row>
        <row r="79">
          <cell r="I79" t="str">
            <v>MVEH-000133</v>
          </cell>
          <cell r="Q79" t="str">
            <v>CC046</v>
          </cell>
          <cell r="R79" t="str">
            <v>Flat Trucks Logistics</v>
          </cell>
        </row>
        <row r="80">
          <cell r="I80" t="str">
            <v>MVEH-000138</v>
          </cell>
          <cell r="Q80" t="str">
            <v>CC046</v>
          </cell>
          <cell r="R80" t="str">
            <v>Flat Trucks Logistics</v>
          </cell>
        </row>
        <row r="81">
          <cell r="I81" t="str">
            <v>MVEH-000139</v>
          </cell>
          <cell r="Q81" t="str">
            <v>CC046</v>
          </cell>
          <cell r="R81" t="str">
            <v>Flat Trucks Logistics</v>
          </cell>
        </row>
        <row r="82">
          <cell r="I82" t="str">
            <v>MVEH-000140</v>
          </cell>
          <cell r="Q82" t="str">
            <v>CC046</v>
          </cell>
          <cell r="R82" t="str">
            <v>Flat Trucks Logistics</v>
          </cell>
        </row>
        <row r="83">
          <cell r="I83" t="str">
            <v>MVEH-000270</v>
          </cell>
          <cell r="Q83" t="str">
            <v>CC046</v>
          </cell>
          <cell r="R83" t="str">
            <v>Flat Trucks Logistics</v>
          </cell>
        </row>
        <row r="84">
          <cell r="I84" t="str">
            <v>MVEH-000272</v>
          </cell>
          <cell r="Q84" t="str">
            <v>CC046</v>
          </cell>
          <cell r="R84" t="str">
            <v>Flat Trucks Logistics</v>
          </cell>
        </row>
        <row r="85">
          <cell r="I85" t="str">
            <v>MVEH-000277</v>
          </cell>
          <cell r="Q85" t="str">
            <v>CC046</v>
          </cell>
          <cell r="R85" t="str">
            <v>Flat Trucks Logistics</v>
          </cell>
        </row>
        <row r="86">
          <cell r="I86" t="str">
            <v>MVEH-000290</v>
          </cell>
          <cell r="Q86" t="str">
            <v>CC046</v>
          </cell>
          <cell r="R86" t="str">
            <v>Flat Trucks Logistics</v>
          </cell>
        </row>
        <row r="87">
          <cell r="I87" t="str">
            <v>MVEH-000302</v>
          </cell>
          <cell r="Q87" t="str">
            <v>CC046</v>
          </cell>
          <cell r="R87" t="str">
            <v>Flat Trucks Logistics</v>
          </cell>
        </row>
        <row r="88">
          <cell r="I88" t="str">
            <v>MVEH-000328</v>
          </cell>
          <cell r="Q88" t="str">
            <v>CC059</v>
          </cell>
          <cell r="R88" t="str">
            <v>Haulage</v>
          </cell>
        </row>
        <row r="89">
          <cell r="I89" t="str">
            <v>MVEH-000330</v>
          </cell>
          <cell r="Q89" t="str">
            <v>CC059</v>
          </cell>
          <cell r="R89" t="str">
            <v>Haulage</v>
          </cell>
        </row>
        <row r="90">
          <cell r="I90" t="str">
            <v>MVEH-000332</v>
          </cell>
          <cell r="Q90" t="str">
            <v>CC059</v>
          </cell>
          <cell r="R90" t="str">
            <v>Haulage</v>
          </cell>
        </row>
        <row r="91">
          <cell r="I91" t="str">
            <v>MVEH-000341</v>
          </cell>
          <cell r="Q91" t="str">
            <v>CC059</v>
          </cell>
          <cell r="R91" t="str">
            <v>Haulage</v>
          </cell>
        </row>
        <row r="92">
          <cell r="I92" t="str">
            <v>MVEH-000343</v>
          </cell>
          <cell r="Q92" t="str">
            <v>CC059</v>
          </cell>
          <cell r="R92" t="str">
            <v>Haulage</v>
          </cell>
        </row>
        <row r="93">
          <cell r="I93" t="str">
            <v>MVEH-000345</v>
          </cell>
          <cell r="Q93" t="str">
            <v>CC059</v>
          </cell>
          <cell r="R93" t="str">
            <v>Haulage</v>
          </cell>
        </row>
        <row r="94">
          <cell r="I94" t="str">
            <v>MVEH-000354</v>
          </cell>
          <cell r="Q94" t="str">
            <v>CC059</v>
          </cell>
          <cell r="R94" t="str">
            <v>Haulage</v>
          </cell>
        </row>
        <row r="95">
          <cell r="I95" t="str">
            <v>MVEH-000360</v>
          </cell>
          <cell r="Q95" t="str">
            <v>CC059</v>
          </cell>
          <cell r="R95" t="str">
            <v>Haulage</v>
          </cell>
        </row>
        <row r="96">
          <cell r="I96" t="str">
            <v>MVEH-000361</v>
          </cell>
          <cell r="Q96" t="str">
            <v>CC059</v>
          </cell>
          <cell r="R96" t="str">
            <v>Haulage</v>
          </cell>
        </row>
        <row r="97">
          <cell r="I97" t="str">
            <v>MVEH-000385</v>
          </cell>
          <cell r="Q97" t="str">
            <v>CC059</v>
          </cell>
          <cell r="R97" t="str">
            <v>Haulage</v>
          </cell>
        </row>
        <row r="98">
          <cell r="I98" t="str">
            <v>MVEH-000387</v>
          </cell>
          <cell r="Q98" t="str">
            <v>CC059</v>
          </cell>
          <cell r="R98" t="str">
            <v>Haulage</v>
          </cell>
        </row>
        <row r="99">
          <cell r="I99" t="str">
            <v>MVEH-000286</v>
          </cell>
          <cell r="Q99" t="str">
            <v>CC059</v>
          </cell>
          <cell r="R99" t="str">
            <v>Haulage</v>
          </cell>
        </row>
        <row r="100">
          <cell r="I100" t="str">
            <v>MVEH-000291</v>
          </cell>
          <cell r="Q100" t="str">
            <v>CC059</v>
          </cell>
          <cell r="R100" t="str">
            <v>Haulage</v>
          </cell>
        </row>
        <row r="101">
          <cell r="I101" t="str">
            <v>MVEH-000294</v>
          </cell>
          <cell r="Q101" t="str">
            <v>CC059</v>
          </cell>
          <cell r="R101" t="str">
            <v>Haulage</v>
          </cell>
        </row>
        <row r="102">
          <cell r="I102" t="str">
            <v>MVEH-000295</v>
          </cell>
          <cell r="Q102" t="str">
            <v>CC059</v>
          </cell>
          <cell r="R102" t="str">
            <v>Haulage</v>
          </cell>
        </row>
        <row r="103">
          <cell r="I103" t="str">
            <v>MVEH-000337</v>
          </cell>
          <cell r="Q103" t="str">
            <v>CC059</v>
          </cell>
          <cell r="R103" t="str">
            <v>Haulage</v>
          </cell>
        </row>
        <row r="104">
          <cell r="I104" t="str">
            <v>MVEH-000339</v>
          </cell>
          <cell r="Q104" t="str">
            <v>CC059</v>
          </cell>
          <cell r="R104" t="str">
            <v>Haulage</v>
          </cell>
        </row>
        <row r="105">
          <cell r="I105" t="str">
            <v>MVEH-000453</v>
          </cell>
          <cell r="Q105" t="str">
            <v>CC059</v>
          </cell>
          <cell r="R105" t="str">
            <v>Haulage</v>
          </cell>
        </row>
        <row r="106">
          <cell r="I106" t="str">
            <v>MVEH-000454</v>
          </cell>
          <cell r="Q106" t="str">
            <v>CC059</v>
          </cell>
          <cell r="R106" t="str">
            <v>Haulage</v>
          </cell>
        </row>
        <row r="107">
          <cell r="I107" t="str">
            <v>MVEH-000455</v>
          </cell>
          <cell r="Q107" t="str">
            <v>CC059</v>
          </cell>
          <cell r="R107" t="str">
            <v>Haulage</v>
          </cell>
        </row>
        <row r="108">
          <cell r="I108" t="str">
            <v>MVEH-000456</v>
          </cell>
          <cell r="Q108" t="str">
            <v>CC059</v>
          </cell>
          <cell r="R108" t="str">
            <v>Haulage</v>
          </cell>
        </row>
        <row r="109">
          <cell r="I109" t="str">
            <v>MVEH-000457</v>
          </cell>
          <cell r="Q109" t="str">
            <v>CC059</v>
          </cell>
          <cell r="R109" t="str">
            <v>Haulage</v>
          </cell>
        </row>
        <row r="110">
          <cell r="I110" t="str">
            <v>MVEH-000458</v>
          </cell>
          <cell r="Q110" t="str">
            <v>CC059</v>
          </cell>
          <cell r="R110" t="str">
            <v>Haulage</v>
          </cell>
        </row>
        <row r="111">
          <cell r="I111" t="str">
            <v>MVEH-000459</v>
          </cell>
          <cell r="Q111" t="str">
            <v>CC059</v>
          </cell>
          <cell r="R111" t="str">
            <v>Haulage</v>
          </cell>
        </row>
        <row r="112">
          <cell r="I112" t="str">
            <v>MVEH-000460</v>
          </cell>
          <cell r="Q112" t="str">
            <v>CC059</v>
          </cell>
          <cell r="R112" t="str">
            <v>Haulage</v>
          </cell>
        </row>
        <row r="113">
          <cell r="I113" t="str">
            <v>MVEH-000461</v>
          </cell>
          <cell r="Q113" t="str">
            <v>CC059</v>
          </cell>
          <cell r="R113" t="str">
            <v>Haulage</v>
          </cell>
        </row>
        <row r="114">
          <cell r="I114" t="str">
            <v>MVEH-000462</v>
          </cell>
          <cell r="Q114" t="str">
            <v>CC059</v>
          </cell>
          <cell r="R114" t="str">
            <v>Haulage</v>
          </cell>
        </row>
        <row r="115">
          <cell r="I115" t="str">
            <v>MVEH-000463</v>
          </cell>
          <cell r="Q115" t="str">
            <v>CC059</v>
          </cell>
          <cell r="R115" t="str">
            <v>Haulage</v>
          </cell>
        </row>
        <row r="116">
          <cell r="I116" t="str">
            <v>MVEH-000464</v>
          </cell>
          <cell r="Q116" t="str">
            <v>CC059</v>
          </cell>
          <cell r="R116" t="str">
            <v>Haulage</v>
          </cell>
        </row>
        <row r="117">
          <cell r="I117" t="str">
            <v>MVEH-000465</v>
          </cell>
          <cell r="Q117" t="str">
            <v>CC059</v>
          </cell>
          <cell r="R117" t="str">
            <v>Haulage</v>
          </cell>
        </row>
        <row r="118">
          <cell r="I118" t="str">
            <v>MVEH-000466</v>
          </cell>
          <cell r="Q118" t="str">
            <v>CC059</v>
          </cell>
          <cell r="R118" t="str">
            <v>Haulage</v>
          </cell>
        </row>
        <row r="119">
          <cell r="I119" t="str">
            <v>MVEH-000467</v>
          </cell>
          <cell r="Q119" t="str">
            <v>CC059</v>
          </cell>
          <cell r="R119" t="str">
            <v>Haulage</v>
          </cell>
        </row>
        <row r="120">
          <cell r="I120" t="str">
            <v>MVEH-000468</v>
          </cell>
          <cell r="Q120" t="str">
            <v>CC059</v>
          </cell>
          <cell r="R120" t="str">
            <v>Haulage</v>
          </cell>
        </row>
        <row r="121">
          <cell r="I121" t="str">
            <v>MVEH-000469</v>
          </cell>
          <cell r="Q121" t="str">
            <v>CC059</v>
          </cell>
          <cell r="R121" t="str">
            <v>Haulage</v>
          </cell>
        </row>
        <row r="122">
          <cell r="I122" t="str">
            <v>MVEH-000470</v>
          </cell>
          <cell r="Q122" t="str">
            <v>CC059</v>
          </cell>
          <cell r="R122" t="str">
            <v>Haulage</v>
          </cell>
        </row>
        <row r="123">
          <cell r="I123" t="str">
            <v>MVEH-000471</v>
          </cell>
          <cell r="Q123" t="str">
            <v>CC059</v>
          </cell>
          <cell r="R123" t="str">
            <v>Haulage</v>
          </cell>
        </row>
        <row r="124">
          <cell r="I124" t="str">
            <v>MVEH-000472</v>
          </cell>
          <cell r="Q124" t="str">
            <v>CC059</v>
          </cell>
          <cell r="R124" t="str">
            <v>Haulage</v>
          </cell>
        </row>
        <row r="125">
          <cell r="I125" t="str">
            <v>MVEH-000266</v>
          </cell>
          <cell r="Q125" t="str">
            <v>CC046</v>
          </cell>
          <cell r="R125" t="str">
            <v>Flat Trucks Logistics</v>
          </cell>
        </row>
        <row r="126">
          <cell r="I126" t="str">
            <v>MVEH-000267</v>
          </cell>
          <cell r="Q126" t="str">
            <v>CC046</v>
          </cell>
          <cell r="R126" t="str">
            <v>Flat Trucks Logistics</v>
          </cell>
        </row>
        <row r="127">
          <cell r="I127" t="str">
            <v>MVEH-000269</v>
          </cell>
          <cell r="Q127" t="str">
            <v>CC046</v>
          </cell>
          <cell r="R127" t="str">
            <v>Flat Trucks Logistics</v>
          </cell>
        </row>
        <row r="128">
          <cell r="I128" t="str">
            <v>MVEH-000271</v>
          </cell>
          <cell r="Q128" t="str">
            <v>CC046</v>
          </cell>
          <cell r="R128" t="str">
            <v>Flat Trucks Logistics</v>
          </cell>
        </row>
        <row r="129">
          <cell r="I129" t="str">
            <v>MVEH-000273</v>
          </cell>
          <cell r="Q129" t="str">
            <v>CC046</v>
          </cell>
          <cell r="R129" t="str">
            <v>Flat Trucks Logistics</v>
          </cell>
        </row>
        <row r="130">
          <cell r="I130" t="str">
            <v>MVEH-000276</v>
          </cell>
          <cell r="Q130" t="str">
            <v>CC046</v>
          </cell>
          <cell r="R130" t="str">
            <v>Flat Trucks Logistics</v>
          </cell>
        </row>
        <row r="131">
          <cell r="I131" t="str">
            <v>MVEH-000283</v>
          </cell>
          <cell r="Q131" t="str">
            <v>CC046</v>
          </cell>
          <cell r="R131" t="str">
            <v>Flat Trucks Logistics</v>
          </cell>
        </row>
        <row r="132">
          <cell r="I132" t="str">
            <v>MVEH-000326</v>
          </cell>
          <cell r="Q132" t="str">
            <v>CC037</v>
          </cell>
          <cell r="R132" t="str">
            <v>General Overhead</v>
          </cell>
        </row>
        <row r="133">
          <cell r="I133" t="str">
            <v>MVEH-000130</v>
          </cell>
          <cell r="Q133" t="str">
            <v>CC046</v>
          </cell>
          <cell r="R133" t="str">
            <v>Flat Trucks Logistics</v>
          </cell>
        </row>
        <row r="134">
          <cell r="I134" t="str">
            <v>MVEH-000131</v>
          </cell>
          <cell r="Q134" t="str">
            <v>CC046</v>
          </cell>
          <cell r="R134" t="str">
            <v>Flat Trucks Logistics</v>
          </cell>
        </row>
        <row r="135">
          <cell r="I135" t="str">
            <v>MVEH-000132</v>
          </cell>
          <cell r="Q135" t="str">
            <v>CC046</v>
          </cell>
          <cell r="R135" t="str">
            <v>Flat Trucks Logistics</v>
          </cell>
        </row>
        <row r="136">
          <cell r="I136" t="str">
            <v>MVEH-000142</v>
          </cell>
          <cell r="Q136" t="str">
            <v>CC046</v>
          </cell>
          <cell r="R136" t="str">
            <v>Flat Trucks Logistics</v>
          </cell>
        </row>
        <row r="137">
          <cell r="I137" t="str">
            <v>MVEH-000143</v>
          </cell>
          <cell r="Q137" t="str">
            <v>CC046</v>
          </cell>
          <cell r="R137" t="str">
            <v>Flat Trucks Logistics</v>
          </cell>
        </row>
        <row r="138">
          <cell r="I138" t="str">
            <v>MVEH-000144</v>
          </cell>
          <cell r="Q138" t="str">
            <v>CC046</v>
          </cell>
          <cell r="R138" t="str">
            <v>Flat Trucks Logistics</v>
          </cell>
        </row>
        <row r="139">
          <cell r="I139" t="str">
            <v>MVEH-000318</v>
          </cell>
          <cell r="Q139" t="str">
            <v>CC046</v>
          </cell>
          <cell r="R139" t="str">
            <v>Flat Trucks Logistics</v>
          </cell>
        </row>
        <row r="140">
          <cell r="I140" t="str">
            <v>MVEH-000320</v>
          </cell>
          <cell r="Q140" t="str">
            <v>CC059</v>
          </cell>
          <cell r="R140" t="str">
            <v>Haulage</v>
          </cell>
        </row>
        <row r="141">
          <cell r="I141" t="str">
            <v>MVEH-000327</v>
          </cell>
          <cell r="Q141" t="str">
            <v>CC059</v>
          </cell>
          <cell r="R141" t="str">
            <v>Haulage</v>
          </cell>
        </row>
        <row r="142">
          <cell r="I142" t="str">
            <v>MVEH-000329</v>
          </cell>
          <cell r="Q142" t="str">
            <v>CC059</v>
          </cell>
          <cell r="R142" t="str">
            <v>Haulage</v>
          </cell>
        </row>
        <row r="143">
          <cell r="I143" t="str">
            <v>MVEH-000331</v>
          </cell>
          <cell r="Q143" t="str">
            <v>CC059</v>
          </cell>
          <cell r="R143" t="str">
            <v>Haulage</v>
          </cell>
        </row>
        <row r="144">
          <cell r="I144" t="str">
            <v>MVEH-000335</v>
          </cell>
          <cell r="Q144" t="str">
            <v>CC059</v>
          </cell>
          <cell r="R144" t="str">
            <v>Haulage</v>
          </cell>
        </row>
        <row r="145">
          <cell r="I145" t="str">
            <v>MVEH-000336</v>
          </cell>
          <cell r="Q145" t="str">
            <v>CC059</v>
          </cell>
          <cell r="R145" t="str">
            <v>Haulage</v>
          </cell>
        </row>
        <row r="146">
          <cell r="I146" t="str">
            <v>MVEH-000340</v>
          </cell>
          <cell r="Q146" t="str">
            <v>CC059</v>
          </cell>
          <cell r="R146" t="str">
            <v>Haulage</v>
          </cell>
        </row>
        <row r="147">
          <cell r="I147" t="str">
            <v>MVEH-000342</v>
          </cell>
          <cell r="Q147" t="str">
            <v>CC059</v>
          </cell>
          <cell r="R147" t="str">
            <v>Haulage</v>
          </cell>
        </row>
        <row r="148">
          <cell r="I148" t="str">
            <v>MVEH-000344</v>
          </cell>
          <cell r="Q148" t="str">
            <v>CC059</v>
          </cell>
          <cell r="R148" t="str">
            <v>Haulage</v>
          </cell>
        </row>
        <row r="149">
          <cell r="I149" t="str">
            <v>MVEH-000352</v>
          </cell>
          <cell r="Q149" t="str">
            <v>CC059</v>
          </cell>
          <cell r="R149" t="str">
            <v>Haulage</v>
          </cell>
        </row>
        <row r="150">
          <cell r="I150" t="str">
            <v>MVEH-000359</v>
          </cell>
          <cell r="Q150" t="str">
            <v>CC059</v>
          </cell>
          <cell r="R150" t="str">
            <v>Haulage</v>
          </cell>
        </row>
        <row r="151">
          <cell r="I151" t="str">
            <v>MVEH-000285</v>
          </cell>
          <cell r="Q151" t="str">
            <v>CC059</v>
          </cell>
          <cell r="R151" t="str">
            <v>Haulage</v>
          </cell>
        </row>
        <row r="152">
          <cell r="I152" t="str">
            <v>MVEH-000306</v>
          </cell>
          <cell r="Q152" t="str">
            <v>CC059</v>
          </cell>
          <cell r="R152" t="str">
            <v>Haulage</v>
          </cell>
        </row>
        <row r="153">
          <cell r="I153" t="str">
            <v>MVEH-000319</v>
          </cell>
          <cell r="Q153" t="str">
            <v>CC059</v>
          </cell>
          <cell r="R153" t="str">
            <v>Haulage</v>
          </cell>
        </row>
        <row r="154">
          <cell r="I154" t="str">
            <v>MVEH-000333</v>
          </cell>
          <cell r="Q154" t="str">
            <v>CC059</v>
          </cell>
          <cell r="R154" t="str">
            <v>Haulage</v>
          </cell>
        </row>
        <row r="155">
          <cell r="I155" t="str">
            <v>MVEH-000334</v>
          </cell>
          <cell r="Q155" t="str">
            <v>CC059</v>
          </cell>
          <cell r="R155" t="str">
            <v>Haulage</v>
          </cell>
        </row>
        <row r="156">
          <cell r="I156" t="str">
            <v>MVEH-000433</v>
          </cell>
          <cell r="Q156" t="str">
            <v>CC059</v>
          </cell>
          <cell r="R156" t="str">
            <v>Haulage</v>
          </cell>
        </row>
        <row r="157">
          <cell r="I157" t="str">
            <v>MVEH-000434</v>
          </cell>
          <cell r="Q157" t="str">
            <v>CC059</v>
          </cell>
          <cell r="R157" t="str">
            <v>Haulage</v>
          </cell>
        </row>
        <row r="158">
          <cell r="I158" t="str">
            <v>MVEH-000435</v>
          </cell>
          <cell r="Q158" t="str">
            <v>CC059</v>
          </cell>
          <cell r="R158" t="str">
            <v>Haulage</v>
          </cell>
        </row>
        <row r="159">
          <cell r="I159" t="str">
            <v>MVEH-000436</v>
          </cell>
          <cell r="Q159" t="str">
            <v>CC059</v>
          </cell>
          <cell r="R159" t="str">
            <v>Haulage</v>
          </cell>
        </row>
        <row r="160">
          <cell r="I160" t="str">
            <v>MVEH-000437</v>
          </cell>
          <cell r="Q160" t="str">
            <v>CC059</v>
          </cell>
          <cell r="R160" t="str">
            <v>Haulage</v>
          </cell>
        </row>
        <row r="161">
          <cell r="I161" t="str">
            <v>MVEH-000438</v>
          </cell>
          <cell r="Q161" t="str">
            <v>CC059</v>
          </cell>
          <cell r="R161" t="str">
            <v>Haulage</v>
          </cell>
        </row>
        <row r="162">
          <cell r="I162" t="str">
            <v>MVEH-000439</v>
          </cell>
          <cell r="Q162" t="str">
            <v>CC059</v>
          </cell>
          <cell r="R162" t="str">
            <v>Haulage</v>
          </cell>
        </row>
        <row r="163">
          <cell r="I163" t="str">
            <v>MVEH-000440</v>
          </cell>
          <cell r="Q163" t="str">
            <v>CC059</v>
          </cell>
          <cell r="R163" t="str">
            <v>Haulage</v>
          </cell>
        </row>
        <row r="164">
          <cell r="I164" t="str">
            <v>MVEH-000441</v>
          </cell>
          <cell r="Q164" t="str">
            <v>CC059</v>
          </cell>
          <cell r="R164" t="str">
            <v>Haulage</v>
          </cell>
        </row>
        <row r="165">
          <cell r="I165" t="str">
            <v>MVEH-000442</v>
          </cell>
          <cell r="Q165" t="str">
            <v>CC059</v>
          </cell>
          <cell r="R165" t="str">
            <v>Haulage</v>
          </cell>
        </row>
        <row r="166">
          <cell r="I166" t="str">
            <v>MVEH-000443</v>
          </cell>
          <cell r="Q166" t="str">
            <v>CC059</v>
          </cell>
          <cell r="R166" t="str">
            <v>Haulage</v>
          </cell>
        </row>
        <row r="167">
          <cell r="I167" t="str">
            <v>MVEH-000444</v>
          </cell>
          <cell r="Q167" t="str">
            <v>CC059</v>
          </cell>
          <cell r="R167" t="str">
            <v>Haulage</v>
          </cell>
        </row>
        <row r="168">
          <cell r="I168" t="str">
            <v>MVEH-000445</v>
          </cell>
          <cell r="Q168" t="str">
            <v>CC059</v>
          </cell>
          <cell r="R168" t="str">
            <v>Haulage</v>
          </cell>
        </row>
        <row r="169">
          <cell r="I169" t="str">
            <v>MVEH-000446</v>
          </cell>
          <cell r="Q169" t="str">
            <v>CC059</v>
          </cell>
          <cell r="R169" t="str">
            <v>Haulage</v>
          </cell>
        </row>
        <row r="170">
          <cell r="I170" t="str">
            <v>MVEH-000447</v>
          </cell>
          <cell r="Q170" t="str">
            <v>CC059</v>
          </cell>
          <cell r="R170" t="str">
            <v>Haulage</v>
          </cell>
        </row>
        <row r="171">
          <cell r="I171" t="str">
            <v>MVEH-000448</v>
          </cell>
          <cell r="Q171" t="str">
            <v>CC059</v>
          </cell>
          <cell r="R171" t="str">
            <v>Haulage</v>
          </cell>
        </row>
        <row r="172">
          <cell r="I172" t="str">
            <v>MVEH-000449</v>
          </cell>
          <cell r="Q172" t="str">
            <v>CC059</v>
          </cell>
          <cell r="R172" t="str">
            <v>Haulage</v>
          </cell>
        </row>
        <row r="173">
          <cell r="I173" t="str">
            <v>MVEH-000450</v>
          </cell>
          <cell r="Q173" t="str">
            <v>CC059</v>
          </cell>
          <cell r="R173" t="str">
            <v>Haulage</v>
          </cell>
        </row>
        <row r="174">
          <cell r="I174" t="str">
            <v>MVEH-000451</v>
          </cell>
          <cell r="Q174" t="str">
            <v>CC059</v>
          </cell>
          <cell r="R174" t="str">
            <v>Haulage</v>
          </cell>
        </row>
        <row r="175">
          <cell r="I175" t="str">
            <v>MVEH-000452</v>
          </cell>
          <cell r="Q175" t="str">
            <v>CC059</v>
          </cell>
          <cell r="R175" t="str">
            <v>Haulage</v>
          </cell>
        </row>
        <row r="176">
          <cell r="I176" t="str">
            <v>MVEH-000102</v>
          </cell>
          <cell r="Q176" t="str">
            <v>CC039</v>
          </cell>
          <cell r="R176" t="str">
            <v>Hiabs Logistics</v>
          </cell>
        </row>
        <row r="177">
          <cell r="I177" t="str">
            <v>MVEH-000097</v>
          </cell>
          <cell r="Q177" t="str">
            <v>CC039</v>
          </cell>
          <cell r="R177" t="str">
            <v>Hiabs Logistics</v>
          </cell>
        </row>
        <row r="178">
          <cell r="I178" t="str">
            <v>MVEH-000101</v>
          </cell>
          <cell r="Q178" t="str">
            <v>CC039</v>
          </cell>
          <cell r="R178" t="str">
            <v>Hiabs Logistics</v>
          </cell>
        </row>
        <row r="179">
          <cell r="I179" t="str">
            <v>MVEH-000104</v>
          </cell>
          <cell r="Q179" t="str">
            <v>CC039</v>
          </cell>
          <cell r="R179" t="str">
            <v>Hiabs Logistics</v>
          </cell>
        </row>
        <row r="180">
          <cell r="I180" t="str">
            <v>MVEH-000105</v>
          </cell>
          <cell r="Q180" t="str">
            <v>CC039</v>
          </cell>
          <cell r="R180" t="str">
            <v>Hiabs Logistics</v>
          </cell>
        </row>
        <row r="181">
          <cell r="I181" t="str">
            <v>MVEH-000297</v>
          </cell>
          <cell r="Q181" t="str">
            <v>CC039</v>
          </cell>
          <cell r="R181" t="str">
            <v>Hiabs Logistics</v>
          </cell>
        </row>
        <row r="182">
          <cell r="I182" t="str">
            <v>MVEH-000298</v>
          </cell>
          <cell r="Q182" t="str">
            <v>CC039</v>
          </cell>
          <cell r="R182" t="str">
            <v>Hiabs Logistics</v>
          </cell>
        </row>
        <row r="183">
          <cell r="I183" t="str">
            <v>MVEH-000145</v>
          </cell>
          <cell r="Q183" t="str">
            <v>CC047</v>
          </cell>
          <cell r="R183" t="str">
            <v>Closed Body Logistics</v>
          </cell>
        </row>
        <row r="184">
          <cell r="I184" t="str">
            <v>MVEH-000202</v>
          </cell>
          <cell r="Q184" t="str">
            <v>CC047</v>
          </cell>
          <cell r="R184" t="str">
            <v>Closed Body Logistics</v>
          </cell>
        </row>
        <row r="185">
          <cell r="I185" t="str">
            <v>MVEH-000289</v>
          </cell>
          <cell r="Q185" t="str">
            <v>CC047</v>
          </cell>
          <cell r="R185" t="str">
            <v>Closed Body Logistics</v>
          </cell>
        </row>
        <row r="186">
          <cell r="I186" t="str">
            <v>MVEH-000304</v>
          </cell>
          <cell r="Q186" t="str">
            <v>CC047</v>
          </cell>
          <cell r="R186" t="str">
            <v>Closed Body Logistics</v>
          </cell>
        </row>
        <row r="187">
          <cell r="I187" t="str">
            <v>MVEH-000363</v>
          </cell>
          <cell r="Q187" t="str">
            <v>CC047</v>
          </cell>
          <cell r="R187" t="str">
            <v>Closed Body Logistics</v>
          </cell>
        </row>
        <row r="188">
          <cell r="I188" t="str">
            <v>MVEH-000287</v>
          </cell>
          <cell r="Q188" t="str">
            <v>CC047</v>
          </cell>
          <cell r="R188" t="str">
            <v>Closed Body Logistics</v>
          </cell>
        </row>
        <row r="189">
          <cell r="I189" t="str">
            <v>MVEH-000103</v>
          </cell>
          <cell r="Q189" t="str">
            <v>CC039</v>
          </cell>
          <cell r="R189" t="str">
            <v>Hiabs Logistics</v>
          </cell>
        </row>
        <row r="190">
          <cell r="I190" t="str">
            <v>MVEH-000288</v>
          </cell>
          <cell r="Q190" t="str">
            <v>CC039</v>
          </cell>
          <cell r="R190" t="str">
            <v>Closed Body Logistics</v>
          </cell>
        </row>
        <row r="191">
          <cell r="I191" t="str">
            <v>MVEH-000146</v>
          </cell>
          <cell r="Q191" t="str">
            <v>CC047</v>
          </cell>
          <cell r="R191" t="str">
            <v>Closed Body Logistics</v>
          </cell>
        </row>
        <row r="192">
          <cell r="I192" t="str">
            <v>MVEH-000134</v>
          </cell>
          <cell r="Q192" t="str">
            <v>CC046</v>
          </cell>
          <cell r="R192" t="str">
            <v>Flat Trucks Logistics</v>
          </cell>
        </row>
        <row r="193">
          <cell r="I193" t="str">
            <v>MVEH-000135</v>
          </cell>
          <cell r="Q193" t="str">
            <v>CC046</v>
          </cell>
          <cell r="R193" t="str">
            <v>Flat Trucks Logistics</v>
          </cell>
        </row>
        <row r="194">
          <cell r="I194" t="str">
            <v>MVEH-000265</v>
          </cell>
          <cell r="Q194" t="str">
            <v>CC046</v>
          </cell>
          <cell r="R194" t="str">
            <v>Flat Trucks Logistics</v>
          </cell>
        </row>
        <row r="195">
          <cell r="I195" t="str">
            <v>MVEH-000268</v>
          </cell>
          <cell r="Q195" t="str">
            <v>CC046</v>
          </cell>
          <cell r="R195" t="str">
            <v>Flat Trucks Logistics</v>
          </cell>
        </row>
        <row r="196">
          <cell r="I196" t="str">
            <v>MVEH-000279</v>
          </cell>
          <cell r="Q196" t="str">
            <v>CC046</v>
          </cell>
          <cell r="R196" t="str">
            <v>Flat Trucks Logistics</v>
          </cell>
        </row>
        <row r="197">
          <cell r="I197" t="str">
            <v>MVEH-000292</v>
          </cell>
          <cell r="Q197" t="str">
            <v>CC046</v>
          </cell>
          <cell r="R197" t="str">
            <v>Flat Trucks Logistics</v>
          </cell>
        </row>
        <row r="198">
          <cell r="I198" t="str">
            <v>MVEH-000293</v>
          </cell>
          <cell r="Q198" t="str">
            <v>CC046</v>
          </cell>
          <cell r="R198" t="str">
            <v>Flat Trucks Logistics</v>
          </cell>
        </row>
        <row r="199">
          <cell r="I199" t="str">
            <v>MVEH-000303</v>
          </cell>
          <cell r="Q199" t="str">
            <v>CC046</v>
          </cell>
          <cell r="R199" t="str">
            <v>Flat Trucks Logistics</v>
          </cell>
        </row>
        <row r="200">
          <cell r="I200" t="str">
            <v>MVEH-000362</v>
          </cell>
          <cell r="Q200" t="str">
            <v>CC046</v>
          </cell>
          <cell r="R200" t="str">
            <v>Flat Trucks Logistics</v>
          </cell>
        </row>
        <row r="201">
          <cell r="I201" t="str">
            <v>MVEH-000133</v>
          </cell>
          <cell r="Q201" t="str">
            <v>CC046</v>
          </cell>
          <cell r="R201" t="str">
            <v>Flat Trucks Logistics</v>
          </cell>
        </row>
        <row r="202">
          <cell r="I202" t="str">
            <v>MVEH-000138</v>
          </cell>
          <cell r="Q202" t="str">
            <v>CC046</v>
          </cell>
          <cell r="R202" t="str">
            <v>Flat Trucks Logistics</v>
          </cell>
        </row>
        <row r="203">
          <cell r="I203" t="str">
            <v>MVEH-000139</v>
          </cell>
          <cell r="Q203" t="str">
            <v>CC046</v>
          </cell>
          <cell r="R203" t="str">
            <v>Flat Trucks Logistics</v>
          </cell>
        </row>
        <row r="204">
          <cell r="I204" t="str">
            <v>MVEH-000140</v>
          </cell>
          <cell r="Q204" t="str">
            <v>CC046</v>
          </cell>
          <cell r="R204" t="str">
            <v>Flat Trucks Logistics</v>
          </cell>
        </row>
        <row r="205">
          <cell r="I205" t="str">
            <v>MVEH-000270</v>
          </cell>
          <cell r="Q205" t="str">
            <v>CC046</v>
          </cell>
          <cell r="R205" t="str">
            <v>Flat Trucks Logistics</v>
          </cell>
        </row>
        <row r="206">
          <cell r="I206" t="str">
            <v>MVEH-000272</v>
          </cell>
          <cell r="Q206" t="str">
            <v>CC046</v>
          </cell>
          <cell r="R206" t="str">
            <v>Flat Trucks Logistics</v>
          </cell>
        </row>
        <row r="207">
          <cell r="I207" t="str">
            <v>MVEH-000277</v>
          </cell>
          <cell r="Q207" t="str">
            <v>CC046</v>
          </cell>
          <cell r="R207" t="str">
            <v>Flat Trucks Logistics</v>
          </cell>
        </row>
        <row r="208">
          <cell r="I208" t="str">
            <v>MVEH-000290</v>
          </cell>
          <cell r="Q208" t="str">
            <v>CC046</v>
          </cell>
          <cell r="R208" t="str">
            <v>Flat Trucks Logistics</v>
          </cell>
        </row>
        <row r="209">
          <cell r="I209" t="str">
            <v>MVEH-000302</v>
          </cell>
          <cell r="Q209" t="str">
            <v>CC046</v>
          </cell>
          <cell r="R209" t="str">
            <v>Flat Trucks Logistics</v>
          </cell>
        </row>
        <row r="210">
          <cell r="I210" t="str">
            <v>MVEH-000328</v>
          </cell>
          <cell r="Q210" t="str">
            <v>CC059</v>
          </cell>
          <cell r="R210" t="str">
            <v>Haulage</v>
          </cell>
        </row>
        <row r="211">
          <cell r="I211" t="str">
            <v>MVEH-000330</v>
          </cell>
          <cell r="Q211" t="str">
            <v>CC059</v>
          </cell>
          <cell r="R211" t="str">
            <v>Haulage</v>
          </cell>
        </row>
        <row r="212">
          <cell r="I212" t="str">
            <v>MVEH-000332</v>
          </cell>
          <cell r="Q212" t="str">
            <v>CC059</v>
          </cell>
          <cell r="R212" t="str">
            <v>Haulage</v>
          </cell>
        </row>
        <row r="213">
          <cell r="I213" t="str">
            <v>MVEH-000341</v>
          </cell>
          <cell r="Q213" t="str">
            <v>CC059</v>
          </cell>
          <cell r="R213" t="str">
            <v>Haulage</v>
          </cell>
        </row>
        <row r="214">
          <cell r="I214" t="str">
            <v>MVEH-000343</v>
          </cell>
          <cell r="Q214" t="str">
            <v>CC059</v>
          </cell>
          <cell r="R214" t="str">
            <v>Haulage</v>
          </cell>
        </row>
        <row r="215">
          <cell r="I215" t="str">
            <v>MVEH-000345</v>
          </cell>
          <cell r="Q215" t="str">
            <v>CC059</v>
          </cell>
          <cell r="R215" t="str">
            <v>Haulage</v>
          </cell>
        </row>
        <row r="216">
          <cell r="I216" t="str">
            <v>MVEH-000354</v>
          </cell>
          <cell r="Q216" t="str">
            <v>CC059</v>
          </cell>
          <cell r="R216" t="str">
            <v>Haulage</v>
          </cell>
        </row>
        <row r="217">
          <cell r="I217" t="str">
            <v>MVEH-000360</v>
          </cell>
          <cell r="Q217" t="str">
            <v>CC059</v>
          </cell>
          <cell r="R217" t="str">
            <v>Haulage</v>
          </cell>
        </row>
        <row r="218">
          <cell r="I218" t="str">
            <v>MVEH-000361</v>
          </cell>
          <cell r="Q218" t="str">
            <v>CC059</v>
          </cell>
          <cell r="R218" t="str">
            <v>Haulage</v>
          </cell>
        </row>
        <row r="219">
          <cell r="I219" t="str">
            <v>MVEH-000385</v>
          </cell>
          <cell r="Q219" t="str">
            <v>CC059</v>
          </cell>
          <cell r="R219" t="str">
            <v>Haulage</v>
          </cell>
        </row>
        <row r="220">
          <cell r="I220" t="str">
            <v>MVEH-000387</v>
          </cell>
          <cell r="Q220" t="str">
            <v>CC059</v>
          </cell>
          <cell r="R220" t="str">
            <v>Haulage</v>
          </cell>
        </row>
        <row r="221">
          <cell r="I221" t="str">
            <v>MVEH-000286</v>
          </cell>
          <cell r="Q221" t="str">
            <v>CC059</v>
          </cell>
          <cell r="R221" t="str">
            <v>Haulage</v>
          </cell>
        </row>
        <row r="222">
          <cell r="I222" t="str">
            <v>MVEH-000291</v>
          </cell>
          <cell r="Q222" t="str">
            <v>CC059</v>
          </cell>
          <cell r="R222" t="str">
            <v>Haulage</v>
          </cell>
        </row>
        <row r="223">
          <cell r="I223" t="str">
            <v>MVEH-000294</v>
          </cell>
          <cell r="Q223" t="str">
            <v>CC059</v>
          </cell>
          <cell r="R223" t="str">
            <v>Haulage</v>
          </cell>
        </row>
        <row r="224">
          <cell r="I224" t="str">
            <v>MVEH-000295</v>
          </cell>
          <cell r="Q224" t="str">
            <v>CC059</v>
          </cell>
          <cell r="R224" t="str">
            <v>Haulage</v>
          </cell>
        </row>
        <row r="225">
          <cell r="I225" t="str">
            <v>MVEH-000337</v>
          </cell>
          <cell r="Q225" t="str">
            <v>CC059</v>
          </cell>
          <cell r="R225" t="str">
            <v>Haulage</v>
          </cell>
        </row>
        <row r="226">
          <cell r="I226" t="str">
            <v>MVEH-000339</v>
          </cell>
          <cell r="Q226" t="str">
            <v>CC059</v>
          </cell>
          <cell r="R226" t="str">
            <v>Haulage</v>
          </cell>
        </row>
        <row r="227">
          <cell r="I227" t="str">
            <v>MVEH-000453</v>
          </cell>
          <cell r="Q227" t="str">
            <v>CC059</v>
          </cell>
          <cell r="R227" t="str">
            <v>Haulage</v>
          </cell>
        </row>
        <row r="228">
          <cell r="I228" t="str">
            <v>MVEH-000454</v>
          </cell>
          <cell r="Q228" t="str">
            <v>CC059</v>
          </cell>
          <cell r="R228" t="str">
            <v>Haulage</v>
          </cell>
        </row>
        <row r="229">
          <cell r="I229" t="str">
            <v>MVEH-000455</v>
          </cell>
          <cell r="Q229" t="str">
            <v>CC059</v>
          </cell>
          <cell r="R229" t="str">
            <v>Haulage</v>
          </cell>
        </row>
        <row r="230">
          <cell r="I230" t="str">
            <v>MVEH-000456</v>
          </cell>
          <cell r="Q230" t="str">
            <v>CC059</v>
          </cell>
          <cell r="R230" t="str">
            <v>Haulage</v>
          </cell>
        </row>
        <row r="231">
          <cell r="I231" t="str">
            <v>MVEH-000457</v>
          </cell>
          <cell r="Q231" t="str">
            <v>CC059</v>
          </cell>
          <cell r="R231" t="str">
            <v>Haulage</v>
          </cell>
        </row>
        <row r="232">
          <cell r="I232" t="str">
            <v>MVEH-000458</v>
          </cell>
          <cell r="Q232" t="str">
            <v>CC059</v>
          </cell>
          <cell r="R232" t="str">
            <v>Haulage</v>
          </cell>
        </row>
        <row r="233">
          <cell r="I233" t="str">
            <v>MVEH-000459</v>
          </cell>
          <cell r="Q233" t="str">
            <v>CC059</v>
          </cell>
          <cell r="R233" t="str">
            <v>Haulage</v>
          </cell>
        </row>
        <row r="234">
          <cell r="I234" t="str">
            <v>MVEH-000460</v>
          </cell>
          <cell r="Q234" t="str">
            <v>CC059</v>
          </cell>
          <cell r="R234" t="str">
            <v>Haulage</v>
          </cell>
        </row>
        <row r="235">
          <cell r="I235" t="str">
            <v>MVEH-000461</v>
          </cell>
          <cell r="Q235" t="str">
            <v>CC059</v>
          </cell>
          <cell r="R235" t="str">
            <v>Haulage</v>
          </cell>
        </row>
        <row r="236">
          <cell r="I236" t="str">
            <v>MVEH-000462</v>
          </cell>
          <cell r="Q236" t="str">
            <v>CC059</v>
          </cell>
          <cell r="R236" t="str">
            <v>Haulage</v>
          </cell>
        </row>
        <row r="237">
          <cell r="I237" t="str">
            <v>MVEH-000463</v>
          </cell>
          <cell r="Q237" t="str">
            <v>CC059</v>
          </cell>
          <cell r="R237" t="str">
            <v>Haulage</v>
          </cell>
        </row>
        <row r="238">
          <cell r="I238" t="str">
            <v>MVEH-000464</v>
          </cell>
          <cell r="Q238" t="str">
            <v>CC059</v>
          </cell>
          <cell r="R238" t="str">
            <v>Haulage</v>
          </cell>
        </row>
        <row r="239">
          <cell r="I239" t="str">
            <v>MVEH-000465</v>
          </cell>
          <cell r="Q239" t="str">
            <v>CC059</v>
          </cell>
          <cell r="R239" t="str">
            <v>Haulage</v>
          </cell>
        </row>
        <row r="240">
          <cell r="I240" t="str">
            <v>MVEH-000466</v>
          </cell>
          <cell r="Q240" t="str">
            <v>CC059</v>
          </cell>
          <cell r="R240" t="str">
            <v>Haulage</v>
          </cell>
        </row>
        <row r="241">
          <cell r="I241" t="str">
            <v>MVEH-000467</v>
          </cell>
          <cell r="Q241" t="str">
            <v>CC059</v>
          </cell>
          <cell r="R241" t="str">
            <v>Haulage</v>
          </cell>
        </row>
        <row r="242">
          <cell r="I242" t="str">
            <v>MVEH-000468</v>
          </cell>
          <cell r="Q242" t="str">
            <v>CC059</v>
          </cell>
          <cell r="R242" t="str">
            <v>Haulage</v>
          </cell>
        </row>
        <row r="243">
          <cell r="I243" t="str">
            <v>MVEH-000469</v>
          </cell>
          <cell r="Q243" t="str">
            <v>CC059</v>
          </cell>
          <cell r="R243" t="str">
            <v>Haulage</v>
          </cell>
        </row>
        <row r="244">
          <cell r="I244" t="str">
            <v>MVEH-000470</v>
          </cell>
          <cell r="Q244" t="str">
            <v>CC059</v>
          </cell>
          <cell r="R244" t="str">
            <v>Haulage</v>
          </cell>
        </row>
        <row r="245">
          <cell r="I245" t="str">
            <v>MVEH-000471</v>
          </cell>
          <cell r="Q245" t="str">
            <v>CC059</v>
          </cell>
          <cell r="R245" t="str">
            <v>Haulage</v>
          </cell>
        </row>
        <row r="246">
          <cell r="I246" t="str">
            <v>MVEH-000472</v>
          </cell>
          <cell r="Q246" t="str">
            <v>CC059</v>
          </cell>
          <cell r="R246" t="str">
            <v>Haulage</v>
          </cell>
        </row>
        <row r="247">
          <cell r="I247" t="str">
            <v>MVEH-000266</v>
          </cell>
          <cell r="Q247" t="str">
            <v>CC046</v>
          </cell>
          <cell r="R247" t="str">
            <v>Flat Trucks Logistics</v>
          </cell>
        </row>
        <row r="248">
          <cell r="I248" t="str">
            <v>MVEH-000267</v>
          </cell>
          <cell r="Q248" t="str">
            <v>CC046</v>
          </cell>
          <cell r="R248" t="str">
            <v>Flat Trucks Logistics</v>
          </cell>
        </row>
        <row r="249">
          <cell r="I249" t="str">
            <v>MVEH-000269</v>
          </cell>
          <cell r="Q249" t="str">
            <v>CC046</v>
          </cell>
          <cell r="R249" t="str">
            <v>Flat Trucks Logistics</v>
          </cell>
        </row>
        <row r="250">
          <cell r="I250" t="str">
            <v>MVEH-000271</v>
          </cell>
          <cell r="Q250" t="str">
            <v>CC046</v>
          </cell>
          <cell r="R250" t="str">
            <v>Flat Trucks Logistics</v>
          </cell>
        </row>
        <row r="251">
          <cell r="I251" t="str">
            <v>MVEH-000273</v>
          </cell>
          <cell r="Q251" t="str">
            <v>CC046</v>
          </cell>
          <cell r="R251" t="str">
            <v>Flat Trucks Logistics</v>
          </cell>
        </row>
        <row r="252">
          <cell r="I252" t="str">
            <v>MVEH-000276</v>
          </cell>
          <cell r="Q252" t="str">
            <v>CC046</v>
          </cell>
          <cell r="R252" t="str">
            <v>Flat Trucks Logistics</v>
          </cell>
        </row>
        <row r="253">
          <cell r="I253" t="str">
            <v>MVEH-000283</v>
          </cell>
          <cell r="Q253" t="str">
            <v>CC046</v>
          </cell>
          <cell r="R253" t="str">
            <v>Flat Trucks Logistics</v>
          </cell>
        </row>
        <row r="254">
          <cell r="I254" t="str">
            <v>MVEH-000326</v>
          </cell>
          <cell r="Q254" t="str">
            <v>CC037</v>
          </cell>
          <cell r="R254" t="str">
            <v>General Overhead</v>
          </cell>
        </row>
        <row r="255">
          <cell r="I255" t="str">
            <v>MVEH-000130</v>
          </cell>
          <cell r="Q255" t="str">
            <v>CC046</v>
          </cell>
          <cell r="R255" t="str">
            <v>Flat Trucks Logistics</v>
          </cell>
        </row>
        <row r="256">
          <cell r="I256" t="str">
            <v>MVEH-000131</v>
          </cell>
          <cell r="Q256" t="str">
            <v>CC046</v>
          </cell>
          <cell r="R256" t="str">
            <v>Flat Trucks Logistics</v>
          </cell>
        </row>
        <row r="257">
          <cell r="I257" t="str">
            <v>MVEH-000132</v>
          </cell>
          <cell r="Q257" t="str">
            <v>CC046</v>
          </cell>
          <cell r="R257" t="str">
            <v>Flat Trucks Logistics</v>
          </cell>
        </row>
        <row r="258">
          <cell r="I258" t="str">
            <v>MVEH-000142</v>
          </cell>
          <cell r="Q258" t="str">
            <v>CC046</v>
          </cell>
          <cell r="R258" t="str">
            <v>Flat Trucks Logistics</v>
          </cell>
        </row>
        <row r="259">
          <cell r="I259" t="str">
            <v>MVEH-000143</v>
          </cell>
          <cell r="Q259" t="str">
            <v>CC046</v>
          </cell>
          <cell r="R259" t="str">
            <v>Flat Trucks Logistics</v>
          </cell>
        </row>
        <row r="260">
          <cell r="I260" t="str">
            <v>MVEH-000144</v>
          </cell>
          <cell r="Q260" t="str">
            <v>CC046</v>
          </cell>
          <cell r="R260" t="str">
            <v>Flat Trucks Logistics</v>
          </cell>
        </row>
        <row r="261">
          <cell r="I261" t="str">
            <v>MVEH-000318</v>
          </cell>
          <cell r="Q261" t="str">
            <v>CC046</v>
          </cell>
          <cell r="R261" t="str">
            <v>Flat Trucks Logistics</v>
          </cell>
        </row>
        <row r="262">
          <cell r="I262" t="str">
            <v>MVEH-000320</v>
          </cell>
          <cell r="Q262" t="str">
            <v>CC059</v>
          </cell>
          <cell r="R262" t="str">
            <v>Haulage</v>
          </cell>
        </row>
        <row r="263">
          <cell r="I263" t="str">
            <v>MVEH-000327</v>
          </cell>
          <cell r="Q263" t="str">
            <v>CC059</v>
          </cell>
          <cell r="R263" t="str">
            <v>Haulage</v>
          </cell>
        </row>
        <row r="264">
          <cell r="I264" t="str">
            <v>MVEH-000329</v>
          </cell>
          <cell r="Q264" t="str">
            <v>CC059</v>
          </cell>
          <cell r="R264" t="str">
            <v>Haulage</v>
          </cell>
        </row>
        <row r="265">
          <cell r="I265" t="str">
            <v>MVEH-000331</v>
          </cell>
          <cell r="Q265" t="str">
            <v>CC059</v>
          </cell>
          <cell r="R265" t="str">
            <v>Haulage</v>
          </cell>
        </row>
        <row r="266">
          <cell r="I266" t="str">
            <v>MVEH-000335</v>
          </cell>
          <cell r="Q266" t="str">
            <v>CC059</v>
          </cell>
          <cell r="R266" t="str">
            <v>Haulage</v>
          </cell>
        </row>
        <row r="267">
          <cell r="I267" t="str">
            <v>MVEH-000336</v>
          </cell>
          <cell r="Q267" t="str">
            <v>CC059</v>
          </cell>
          <cell r="R267" t="str">
            <v>Haulage</v>
          </cell>
        </row>
        <row r="268">
          <cell r="I268" t="str">
            <v>MVEH-000340</v>
          </cell>
          <cell r="Q268" t="str">
            <v>CC059</v>
          </cell>
          <cell r="R268" t="str">
            <v>Haulage</v>
          </cell>
        </row>
        <row r="269">
          <cell r="I269" t="str">
            <v>MVEH-000342</v>
          </cell>
          <cell r="Q269" t="str">
            <v>CC059</v>
          </cell>
          <cell r="R269" t="str">
            <v>Haulage</v>
          </cell>
        </row>
        <row r="270">
          <cell r="I270" t="str">
            <v>MVEH-000344</v>
          </cell>
          <cell r="Q270" t="str">
            <v>CC059</v>
          </cell>
          <cell r="R270" t="str">
            <v>Haulage</v>
          </cell>
        </row>
        <row r="271">
          <cell r="I271" t="str">
            <v>MVEH-000352</v>
          </cell>
          <cell r="Q271" t="str">
            <v>CC059</v>
          </cell>
          <cell r="R271" t="str">
            <v>Haulage</v>
          </cell>
        </row>
        <row r="272">
          <cell r="I272" t="str">
            <v>MVEH-000359</v>
          </cell>
          <cell r="Q272" t="str">
            <v>CC059</v>
          </cell>
          <cell r="R272" t="str">
            <v>Haulage</v>
          </cell>
        </row>
        <row r="273">
          <cell r="I273" t="str">
            <v>MVEH-000285</v>
          </cell>
          <cell r="Q273" t="str">
            <v>CC059</v>
          </cell>
          <cell r="R273" t="str">
            <v>Haulage</v>
          </cell>
        </row>
        <row r="274">
          <cell r="I274" t="str">
            <v>MVEH-000306</v>
          </cell>
          <cell r="Q274" t="str">
            <v>CC059</v>
          </cell>
          <cell r="R274" t="str">
            <v>Haulage</v>
          </cell>
        </row>
        <row r="275">
          <cell r="I275" t="str">
            <v>MVEH-000319</v>
          </cell>
          <cell r="Q275" t="str">
            <v>CC059</v>
          </cell>
          <cell r="R275" t="str">
            <v>Haulage</v>
          </cell>
        </row>
        <row r="276">
          <cell r="I276" t="str">
            <v>MVEH-000333</v>
          </cell>
          <cell r="Q276" t="str">
            <v>CC059</v>
          </cell>
          <cell r="R276" t="str">
            <v>Haulage</v>
          </cell>
        </row>
        <row r="277">
          <cell r="I277" t="str">
            <v>MVEH-000334</v>
          </cell>
          <cell r="Q277" t="str">
            <v>CC059</v>
          </cell>
          <cell r="R277" t="str">
            <v>Haulage</v>
          </cell>
        </row>
        <row r="278">
          <cell r="I278" t="str">
            <v>MVEH-000433</v>
          </cell>
          <cell r="Q278" t="str">
            <v>CC059</v>
          </cell>
          <cell r="R278" t="str">
            <v>Haulage</v>
          </cell>
        </row>
        <row r="279">
          <cell r="I279" t="str">
            <v>MVEH-000434</v>
          </cell>
          <cell r="Q279" t="str">
            <v>CC059</v>
          </cell>
          <cell r="R279" t="str">
            <v>Haulage</v>
          </cell>
        </row>
        <row r="280">
          <cell r="I280" t="str">
            <v>MVEH-000435</v>
          </cell>
          <cell r="Q280" t="str">
            <v>CC059</v>
          </cell>
          <cell r="R280" t="str">
            <v>Haulage</v>
          </cell>
        </row>
        <row r="281">
          <cell r="I281" t="str">
            <v>MVEH-000436</v>
          </cell>
          <cell r="Q281" t="str">
            <v>CC059</v>
          </cell>
          <cell r="R281" t="str">
            <v>Haulage</v>
          </cell>
        </row>
        <row r="282">
          <cell r="I282" t="str">
            <v>MVEH-000437</v>
          </cell>
          <cell r="Q282" t="str">
            <v>CC059</v>
          </cell>
          <cell r="R282" t="str">
            <v>Haulage</v>
          </cell>
        </row>
        <row r="283">
          <cell r="I283" t="str">
            <v>MVEH-000438</v>
          </cell>
          <cell r="Q283" t="str">
            <v>CC059</v>
          </cell>
          <cell r="R283" t="str">
            <v>Haulage</v>
          </cell>
        </row>
        <row r="284">
          <cell r="I284" t="str">
            <v>MVEH-000439</v>
          </cell>
          <cell r="Q284" t="str">
            <v>CC059</v>
          </cell>
          <cell r="R284" t="str">
            <v>Haulage</v>
          </cell>
        </row>
        <row r="285">
          <cell r="I285" t="str">
            <v>MVEH-000440</v>
          </cell>
          <cell r="Q285" t="str">
            <v>CC059</v>
          </cell>
          <cell r="R285" t="str">
            <v>Haulage</v>
          </cell>
        </row>
        <row r="286">
          <cell r="I286" t="str">
            <v>MVEH-000441</v>
          </cell>
          <cell r="Q286" t="str">
            <v>CC059</v>
          </cell>
          <cell r="R286" t="str">
            <v>Haulage</v>
          </cell>
        </row>
        <row r="287">
          <cell r="I287" t="str">
            <v>MVEH-000442</v>
          </cell>
          <cell r="Q287" t="str">
            <v>CC059</v>
          </cell>
          <cell r="R287" t="str">
            <v>Haulage</v>
          </cell>
        </row>
        <row r="288">
          <cell r="I288" t="str">
            <v>MVEH-000443</v>
          </cell>
          <cell r="Q288" t="str">
            <v>CC059</v>
          </cell>
          <cell r="R288" t="str">
            <v>Haulage</v>
          </cell>
        </row>
        <row r="289">
          <cell r="I289" t="str">
            <v>MVEH-000444</v>
          </cell>
          <cell r="Q289" t="str">
            <v>CC059</v>
          </cell>
          <cell r="R289" t="str">
            <v>Haulage</v>
          </cell>
        </row>
        <row r="290">
          <cell r="I290" t="str">
            <v>MVEH-000445</v>
          </cell>
          <cell r="Q290" t="str">
            <v>CC059</v>
          </cell>
          <cell r="R290" t="str">
            <v>Haulage</v>
          </cell>
        </row>
        <row r="291">
          <cell r="I291" t="str">
            <v>MVEH-000446</v>
          </cell>
          <cell r="Q291" t="str">
            <v>CC059</v>
          </cell>
          <cell r="R291" t="str">
            <v>Haulage</v>
          </cell>
        </row>
        <row r="292">
          <cell r="I292" t="str">
            <v>MVEH-000447</v>
          </cell>
          <cell r="Q292" t="str">
            <v>CC059</v>
          </cell>
          <cell r="R292" t="str">
            <v>Haulage</v>
          </cell>
        </row>
        <row r="293">
          <cell r="I293" t="str">
            <v>MVEH-000448</v>
          </cell>
          <cell r="Q293" t="str">
            <v>CC059</v>
          </cell>
          <cell r="R293" t="str">
            <v>Haulage</v>
          </cell>
        </row>
        <row r="294">
          <cell r="I294" t="str">
            <v>MVEH-000449</v>
          </cell>
          <cell r="Q294" t="str">
            <v>CC059</v>
          </cell>
          <cell r="R294" t="str">
            <v>Haulage</v>
          </cell>
        </row>
        <row r="295">
          <cell r="I295" t="str">
            <v>MVEH-000450</v>
          </cell>
          <cell r="Q295" t="str">
            <v>CC059</v>
          </cell>
          <cell r="R295" t="str">
            <v>Haulage</v>
          </cell>
        </row>
        <row r="296">
          <cell r="I296" t="str">
            <v>MVEH-000451</v>
          </cell>
          <cell r="Q296" t="str">
            <v>CC059</v>
          </cell>
          <cell r="R296" t="str">
            <v>Haulage</v>
          </cell>
        </row>
        <row r="297">
          <cell r="I297" t="str">
            <v>MVEH-000452</v>
          </cell>
          <cell r="Q297" t="str">
            <v>CC059</v>
          </cell>
          <cell r="R297" t="str">
            <v>Haulage</v>
          </cell>
        </row>
        <row r="298">
          <cell r="I298" t="str">
            <v>MVEH-000102</v>
          </cell>
          <cell r="Q298" t="str">
            <v>CC039</v>
          </cell>
          <cell r="R298" t="str">
            <v>Hiabs Logistics</v>
          </cell>
        </row>
        <row r="299">
          <cell r="I299" t="str">
            <v>MVEH-000097</v>
          </cell>
          <cell r="Q299" t="str">
            <v>CC039</v>
          </cell>
          <cell r="R299" t="str">
            <v>Hiabs Logistics</v>
          </cell>
        </row>
        <row r="300">
          <cell r="I300" t="str">
            <v>MVEH-000101</v>
          </cell>
          <cell r="Q300" t="str">
            <v>CC039</v>
          </cell>
          <cell r="R300" t="str">
            <v>Hiabs Logistics</v>
          </cell>
        </row>
        <row r="301">
          <cell r="I301" t="str">
            <v>MVEH-000104</v>
          </cell>
          <cell r="Q301" t="str">
            <v>CC039</v>
          </cell>
          <cell r="R301" t="str">
            <v>Hiabs Logistics</v>
          </cell>
        </row>
        <row r="302">
          <cell r="I302" t="str">
            <v>MVEH-000105</v>
          </cell>
          <cell r="Q302" t="str">
            <v>CC039</v>
          </cell>
          <cell r="R302" t="str">
            <v>Hiabs Logistics</v>
          </cell>
        </row>
        <row r="303">
          <cell r="I303" t="str">
            <v>MVEH-000297</v>
          </cell>
          <cell r="Q303" t="str">
            <v>CC039</v>
          </cell>
          <cell r="R303" t="str">
            <v>Hiabs Logistics</v>
          </cell>
        </row>
        <row r="304">
          <cell r="I304" t="str">
            <v>MVEH-000298</v>
          </cell>
          <cell r="Q304" t="str">
            <v>CC039</v>
          </cell>
          <cell r="R304" t="str">
            <v>Hiabs Logistics</v>
          </cell>
        </row>
        <row r="305">
          <cell r="I305" t="str">
            <v>MVEH-000145</v>
          </cell>
          <cell r="Q305" t="str">
            <v>CC047</v>
          </cell>
          <cell r="R305" t="str">
            <v>Closed Body Logistics</v>
          </cell>
        </row>
        <row r="306">
          <cell r="I306" t="str">
            <v>MVEH-000202</v>
          </cell>
          <cell r="Q306" t="str">
            <v>CC047</v>
          </cell>
          <cell r="R306" t="str">
            <v>Closed Body Logistics</v>
          </cell>
        </row>
        <row r="307">
          <cell r="I307" t="str">
            <v>MVEH-000289</v>
          </cell>
          <cell r="Q307" t="str">
            <v>CC047</v>
          </cell>
          <cell r="R307" t="str">
            <v>Closed Body Logistics</v>
          </cell>
        </row>
        <row r="308">
          <cell r="I308" t="str">
            <v>MVEH-000304</v>
          </cell>
          <cell r="Q308" t="str">
            <v>CC047</v>
          </cell>
          <cell r="R308" t="str">
            <v>Closed Body Logistics</v>
          </cell>
        </row>
        <row r="309">
          <cell r="I309" t="str">
            <v>MVEH-000363</v>
          </cell>
          <cell r="Q309" t="str">
            <v>CC047</v>
          </cell>
          <cell r="R309" t="str">
            <v>Closed Body Logistics</v>
          </cell>
        </row>
        <row r="310">
          <cell r="I310" t="str">
            <v>MVEH-000287</v>
          </cell>
          <cell r="Q310" t="str">
            <v>CC047</v>
          </cell>
          <cell r="R310" t="str">
            <v>Closed Body Logistics</v>
          </cell>
        </row>
        <row r="311">
          <cell r="I311" t="str">
            <v>MVEH-000103</v>
          </cell>
          <cell r="Q311" t="str">
            <v>CC039</v>
          </cell>
          <cell r="R311" t="str">
            <v>Hiabs Logistics</v>
          </cell>
        </row>
        <row r="312">
          <cell r="I312" t="str">
            <v>MVEH-000288</v>
          </cell>
          <cell r="Q312" t="str">
            <v>CC039</v>
          </cell>
          <cell r="R312" t="str">
            <v>Closed Body Logistics</v>
          </cell>
        </row>
        <row r="313">
          <cell r="I313" t="str">
            <v>MVEH-000146</v>
          </cell>
          <cell r="Q313" t="str">
            <v>CC047</v>
          </cell>
          <cell r="R313" t="str">
            <v>Closed Body Logistics</v>
          </cell>
        </row>
        <row r="314">
          <cell r="I314" t="str">
            <v>MVEH-000134</v>
          </cell>
          <cell r="Q314" t="str">
            <v>CC046</v>
          </cell>
          <cell r="R314" t="str">
            <v>Flat Trucks Logistics</v>
          </cell>
        </row>
        <row r="315">
          <cell r="I315" t="str">
            <v>MVEH-000135</v>
          </cell>
          <cell r="Q315" t="str">
            <v>CC046</v>
          </cell>
          <cell r="R315" t="str">
            <v>Flat Trucks Logistics</v>
          </cell>
        </row>
        <row r="316">
          <cell r="I316" t="str">
            <v>MVEH-000265</v>
          </cell>
          <cell r="Q316" t="str">
            <v>CC046</v>
          </cell>
          <cell r="R316" t="str">
            <v>Flat Trucks Logistics</v>
          </cell>
        </row>
        <row r="317">
          <cell r="I317" t="str">
            <v>MVEH-000268</v>
          </cell>
          <cell r="Q317" t="str">
            <v>CC046</v>
          </cell>
          <cell r="R317" t="str">
            <v>Flat Trucks Logistics</v>
          </cell>
        </row>
        <row r="318">
          <cell r="I318" t="str">
            <v>MVEH-000279</v>
          </cell>
          <cell r="Q318" t="str">
            <v>CC046</v>
          </cell>
          <cell r="R318" t="str">
            <v>Flat Trucks Logistics</v>
          </cell>
        </row>
        <row r="319">
          <cell r="I319" t="str">
            <v>MVEH-000292</v>
          </cell>
          <cell r="Q319" t="str">
            <v>CC046</v>
          </cell>
          <cell r="R319" t="str">
            <v>Flat Trucks Logistics</v>
          </cell>
        </row>
        <row r="320">
          <cell r="I320" t="str">
            <v>MVEH-000293</v>
          </cell>
          <cell r="Q320" t="str">
            <v>CC046</v>
          </cell>
          <cell r="R320" t="str">
            <v>Flat Trucks Logistics</v>
          </cell>
        </row>
        <row r="321">
          <cell r="I321" t="str">
            <v>MVEH-000303</v>
          </cell>
          <cell r="Q321" t="str">
            <v>CC046</v>
          </cell>
          <cell r="R321" t="str">
            <v>Flat Trucks Logistics</v>
          </cell>
        </row>
        <row r="322">
          <cell r="I322" t="str">
            <v>MVEH-000362</v>
          </cell>
          <cell r="Q322" t="str">
            <v>CC046</v>
          </cell>
          <cell r="R322" t="str">
            <v>Flat Trucks Logistics</v>
          </cell>
        </row>
        <row r="323">
          <cell r="I323" t="str">
            <v>MVEH-000133</v>
          </cell>
          <cell r="Q323" t="str">
            <v>CC046</v>
          </cell>
          <cell r="R323" t="str">
            <v>Flat Trucks Logistics</v>
          </cell>
        </row>
        <row r="324">
          <cell r="I324" t="str">
            <v>MVEH-000138</v>
          </cell>
          <cell r="Q324" t="str">
            <v>CC046</v>
          </cell>
          <cell r="R324" t="str">
            <v>Flat Trucks Logistics</v>
          </cell>
        </row>
        <row r="325">
          <cell r="I325" t="str">
            <v>MVEH-000139</v>
          </cell>
          <cell r="Q325" t="str">
            <v>CC046</v>
          </cell>
          <cell r="R325" t="str">
            <v>Flat Trucks Logistics</v>
          </cell>
        </row>
        <row r="326">
          <cell r="I326" t="str">
            <v>MVEH-000140</v>
          </cell>
          <cell r="Q326" t="str">
            <v>CC046</v>
          </cell>
          <cell r="R326" t="str">
            <v>Flat Trucks Logistics</v>
          </cell>
        </row>
        <row r="327">
          <cell r="I327" t="str">
            <v>MVEH-000270</v>
          </cell>
          <cell r="Q327" t="str">
            <v>CC046</v>
          </cell>
          <cell r="R327" t="str">
            <v>Flat Trucks Logistics</v>
          </cell>
        </row>
        <row r="328">
          <cell r="I328" t="str">
            <v>MVEH-000272</v>
          </cell>
          <cell r="Q328" t="str">
            <v>CC046</v>
          </cell>
          <cell r="R328" t="str">
            <v>Flat Trucks Logistics</v>
          </cell>
        </row>
        <row r="329">
          <cell r="I329" t="str">
            <v>MVEH-000277</v>
          </cell>
          <cell r="Q329" t="str">
            <v>CC046</v>
          </cell>
          <cell r="R329" t="str">
            <v>Flat Trucks Logistics</v>
          </cell>
        </row>
        <row r="330">
          <cell r="I330" t="str">
            <v>MVEH-000290</v>
          </cell>
          <cell r="Q330" t="str">
            <v>CC046</v>
          </cell>
          <cell r="R330" t="str">
            <v>Flat Trucks Logistics</v>
          </cell>
        </row>
        <row r="331">
          <cell r="I331" t="str">
            <v>MVEH-000302</v>
          </cell>
          <cell r="Q331" t="str">
            <v>CC046</v>
          </cell>
          <cell r="R331" t="str">
            <v>Flat Trucks Logistics</v>
          </cell>
        </row>
        <row r="332">
          <cell r="I332" t="str">
            <v>MVEH-000328</v>
          </cell>
          <cell r="Q332" t="str">
            <v>CC059</v>
          </cell>
          <cell r="R332" t="str">
            <v>Haulage</v>
          </cell>
        </row>
        <row r="333">
          <cell r="I333" t="str">
            <v>MVEH-000330</v>
          </cell>
          <cell r="Q333" t="str">
            <v>CC059</v>
          </cell>
          <cell r="R333" t="str">
            <v>Haulage</v>
          </cell>
        </row>
        <row r="334">
          <cell r="I334" t="str">
            <v>MVEH-000332</v>
          </cell>
          <cell r="Q334" t="str">
            <v>CC059</v>
          </cell>
          <cell r="R334" t="str">
            <v>Haulage</v>
          </cell>
        </row>
        <row r="335">
          <cell r="I335" t="str">
            <v>MVEH-000341</v>
          </cell>
          <cell r="Q335" t="str">
            <v>CC059</v>
          </cell>
          <cell r="R335" t="str">
            <v>Haulage</v>
          </cell>
        </row>
        <row r="336">
          <cell r="I336" t="str">
            <v>MVEH-000343</v>
          </cell>
          <cell r="Q336" t="str">
            <v>CC059</v>
          </cell>
          <cell r="R336" t="str">
            <v>Haulage</v>
          </cell>
        </row>
        <row r="337">
          <cell r="I337" t="str">
            <v>MVEH-000345</v>
          </cell>
          <cell r="Q337" t="str">
            <v>CC059</v>
          </cell>
          <cell r="R337" t="str">
            <v>Haulage</v>
          </cell>
        </row>
        <row r="338">
          <cell r="I338" t="str">
            <v>MVEH-000354</v>
          </cell>
          <cell r="Q338" t="str">
            <v>CC059</v>
          </cell>
          <cell r="R338" t="str">
            <v>Haulage</v>
          </cell>
        </row>
        <row r="339">
          <cell r="I339" t="str">
            <v>MVEH-000360</v>
          </cell>
          <cell r="Q339" t="str">
            <v>CC059</v>
          </cell>
          <cell r="R339" t="str">
            <v>Haulage</v>
          </cell>
        </row>
        <row r="340">
          <cell r="I340" t="str">
            <v>MVEH-000361</v>
          </cell>
          <cell r="Q340" t="str">
            <v>CC059</v>
          </cell>
          <cell r="R340" t="str">
            <v>Haulage</v>
          </cell>
        </row>
        <row r="341">
          <cell r="I341" t="str">
            <v>MVEH-000385</v>
          </cell>
          <cell r="Q341" t="str">
            <v>CC059</v>
          </cell>
          <cell r="R341" t="str">
            <v>Haulage</v>
          </cell>
        </row>
        <row r="342">
          <cell r="I342" t="str">
            <v>MVEH-000387</v>
          </cell>
          <cell r="Q342" t="str">
            <v>CC059</v>
          </cell>
          <cell r="R342" t="str">
            <v>Haulage</v>
          </cell>
        </row>
        <row r="343">
          <cell r="I343" t="str">
            <v>MVEH-000286</v>
          </cell>
          <cell r="Q343" t="str">
            <v>CC059</v>
          </cell>
          <cell r="R343" t="str">
            <v>Haulage</v>
          </cell>
        </row>
        <row r="344">
          <cell r="I344" t="str">
            <v>MVEH-000291</v>
          </cell>
          <cell r="Q344" t="str">
            <v>CC059</v>
          </cell>
          <cell r="R344" t="str">
            <v>Haulage</v>
          </cell>
        </row>
        <row r="345">
          <cell r="I345" t="str">
            <v>MVEH-000294</v>
          </cell>
          <cell r="Q345" t="str">
            <v>CC059</v>
          </cell>
          <cell r="R345" t="str">
            <v>Haulage</v>
          </cell>
        </row>
        <row r="346">
          <cell r="I346" t="str">
            <v>MVEH-000295</v>
          </cell>
          <cell r="Q346" t="str">
            <v>CC059</v>
          </cell>
          <cell r="R346" t="str">
            <v>Haulage</v>
          </cell>
        </row>
        <row r="347">
          <cell r="I347" t="str">
            <v>MVEH-000337</v>
          </cell>
          <cell r="Q347" t="str">
            <v>CC059</v>
          </cell>
          <cell r="R347" t="str">
            <v>Haulage</v>
          </cell>
        </row>
        <row r="348">
          <cell r="I348" t="str">
            <v>MVEH-000339</v>
          </cell>
          <cell r="Q348" t="str">
            <v>CC059</v>
          </cell>
          <cell r="R348" t="str">
            <v>Haulage</v>
          </cell>
        </row>
        <row r="349">
          <cell r="I349" t="str">
            <v>MVEH-000453</v>
          </cell>
          <cell r="Q349" t="str">
            <v>CC059</v>
          </cell>
          <cell r="R349" t="str">
            <v>Haulage</v>
          </cell>
        </row>
        <row r="350">
          <cell r="I350" t="str">
            <v>MVEH-000454</v>
          </cell>
          <cell r="Q350" t="str">
            <v>CC059</v>
          </cell>
          <cell r="R350" t="str">
            <v>Haulage</v>
          </cell>
        </row>
        <row r="351">
          <cell r="I351" t="str">
            <v>MVEH-000455</v>
          </cell>
          <cell r="Q351" t="str">
            <v>CC059</v>
          </cell>
          <cell r="R351" t="str">
            <v>Haulage</v>
          </cell>
        </row>
        <row r="352">
          <cell r="I352" t="str">
            <v>MVEH-000456</v>
          </cell>
          <cell r="Q352" t="str">
            <v>CC059</v>
          </cell>
          <cell r="R352" t="str">
            <v>Haulage</v>
          </cell>
        </row>
        <row r="353">
          <cell r="I353" t="str">
            <v>MVEH-000457</v>
          </cell>
          <cell r="Q353" t="str">
            <v>CC059</v>
          </cell>
          <cell r="R353" t="str">
            <v>Haulage</v>
          </cell>
        </row>
        <row r="354">
          <cell r="I354" t="str">
            <v>MVEH-000458</v>
          </cell>
          <cell r="Q354" t="str">
            <v>CC059</v>
          </cell>
          <cell r="R354" t="str">
            <v>Haulage</v>
          </cell>
        </row>
        <row r="355">
          <cell r="I355" t="str">
            <v>MVEH-000459</v>
          </cell>
          <cell r="Q355" t="str">
            <v>CC059</v>
          </cell>
          <cell r="R355" t="str">
            <v>Haulage</v>
          </cell>
        </row>
        <row r="356">
          <cell r="I356" t="str">
            <v>MVEH-000460</v>
          </cell>
          <cell r="Q356" t="str">
            <v>CC059</v>
          </cell>
          <cell r="R356" t="str">
            <v>Haulage</v>
          </cell>
        </row>
        <row r="357">
          <cell r="I357" t="str">
            <v>MVEH-000461</v>
          </cell>
          <cell r="Q357" t="str">
            <v>CC059</v>
          </cell>
          <cell r="R357" t="str">
            <v>Haulage</v>
          </cell>
        </row>
        <row r="358">
          <cell r="I358" t="str">
            <v>MVEH-000462</v>
          </cell>
          <cell r="Q358" t="str">
            <v>CC059</v>
          </cell>
          <cell r="R358" t="str">
            <v>Haulage</v>
          </cell>
        </row>
        <row r="359">
          <cell r="I359" t="str">
            <v>MVEH-000463</v>
          </cell>
          <cell r="Q359" t="str">
            <v>CC059</v>
          </cell>
          <cell r="R359" t="str">
            <v>Haulage</v>
          </cell>
        </row>
        <row r="360">
          <cell r="I360" t="str">
            <v>MVEH-000464</v>
          </cell>
          <cell r="Q360" t="str">
            <v>CC059</v>
          </cell>
          <cell r="R360" t="str">
            <v>Haulage</v>
          </cell>
        </row>
        <row r="361">
          <cell r="I361" t="str">
            <v>MVEH-000465</v>
          </cell>
          <cell r="Q361" t="str">
            <v>CC059</v>
          </cell>
          <cell r="R361" t="str">
            <v>Haulage</v>
          </cell>
        </row>
        <row r="362">
          <cell r="I362" t="str">
            <v>MVEH-000466</v>
          </cell>
          <cell r="Q362" t="str">
            <v>CC059</v>
          </cell>
          <cell r="R362" t="str">
            <v>Haulage</v>
          </cell>
        </row>
        <row r="363">
          <cell r="I363" t="str">
            <v>MVEH-000467</v>
          </cell>
          <cell r="Q363" t="str">
            <v>CC059</v>
          </cell>
          <cell r="R363" t="str">
            <v>Haulage</v>
          </cell>
        </row>
        <row r="364">
          <cell r="I364" t="str">
            <v>MVEH-000468</v>
          </cell>
          <cell r="Q364" t="str">
            <v>CC059</v>
          </cell>
          <cell r="R364" t="str">
            <v>Haulage</v>
          </cell>
        </row>
        <row r="365">
          <cell r="I365" t="str">
            <v>MVEH-000469</v>
          </cell>
          <cell r="Q365" t="str">
            <v>CC059</v>
          </cell>
          <cell r="R365" t="str">
            <v>Haulage</v>
          </cell>
        </row>
        <row r="366">
          <cell r="I366" t="str">
            <v>MVEH-000470</v>
          </cell>
          <cell r="Q366" t="str">
            <v>CC059</v>
          </cell>
          <cell r="R366" t="str">
            <v>Haulage</v>
          </cell>
        </row>
        <row r="367">
          <cell r="I367" t="str">
            <v>MVEH-000471</v>
          </cell>
          <cell r="Q367" t="str">
            <v>CC059</v>
          </cell>
          <cell r="R367" t="str">
            <v>Haulage</v>
          </cell>
        </row>
        <row r="368">
          <cell r="I368" t="str">
            <v>MVEH-000472</v>
          </cell>
          <cell r="Q368" t="str">
            <v>CC059</v>
          </cell>
          <cell r="R368" t="str">
            <v>Haulage</v>
          </cell>
        </row>
        <row r="369">
          <cell r="I369" t="str">
            <v>MVEH-000266</v>
          </cell>
          <cell r="Q369" t="str">
            <v>CC046</v>
          </cell>
          <cell r="R369" t="str">
            <v>Flat Trucks Logistics</v>
          </cell>
        </row>
        <row r="370">
          <cell r="I370" t="str">
            <v>MVEH-000267</v>
          </cell>
          <cell r="Q370" t="str">
            <v>CC046</v>
          </cell>
          <cell r="R370" t="str">
            <v>Flat Trucks Logistics</v>
          </cell>
        </row>
        <row r="371">
          <cell r="I371" t="str">
            <v>MVEH-000269</v>
          </cell>
          <cell r="Q371" t="str">
            <v>CC046</v>
          </cell>
          <cell r="R371" t="str">
            <v>Flat Trucks Logistics</v>
          </cell>
        </row>
        <row r="372">
          <cell r="I372" t="str">
            <v>MVEH-000271</v>
          </cell>
          <cell r="Q372" t="str">
            <v>CC046</v>
          </cell>
          <cell r="R372" t="str">
            <v>Flat Trucks Logistics</v>
          </cell>
        </row>
        <row r="373">
          <cell r="I373" t="str">
            <v>MVEH-000273</v>
          </cell>
          <cell r="Q373" t="str">
            <v>CC046</v>
          </cell>
          <cell r="R373" t="str">
            <v>Flat Trucks Logistics</v>
          </cell>
        </row>
        <row r="374">
          <cell r="I374" t="str">
            <v>MVEH-000276</v>
          </cell>
          <cell r="Q374" t="str">
            <v>CC046</v>
          </cell>
          <cell r="R374" t="str">
            <v>Flat Trucks Logistics</v>
          </cell>
        </row>
        <row r="375">
          <cell r="I375" t="str">
            <v>MVEH-000283</v>
          </cell>
          <cell r="Q375" t="str">
            <v>CC046</v>
          </cell>
          <cell r="R375" t="str">
            <v>Flat Trucks Logistics</v>
          </cell>
        </row>
        <row r="376">
          <cell r="I376" t="str">
            <v>MVEH-000326</v>
          </cell>
          <cell r="Q376" t="str">
            <v>CC037</v>
          </cell>
          <cell r="R376" t="str">
            <v>General Overhead</v>
          </cell>
        </row>
        <row r="377">
          <cell r="I377" t="str">
            <v>MVEH-000130</v>
          </cell>
          <cell r="Q377" t="str">
            <v>CC046</v>
          </cell>
          <cell r="R377" t="str">
            <v>Flat Trucks Logistics</v>
          </cell>
        </row>
        <row r="378">
          <cell r="I378" t="str">
            <v>MVEH-000131</v>
          </cell>
          <cell r="Q378" t="str">
            <v>CC046</v>
          </cell>
          <cell r="R378" t="str">
            <v>Flat Trucks Logistics</v>
          </cell>
        </row>
        <row r="379">
          <cell r="I379" t="str">
            <v>MVEH-000132</v>
          </cell>
          <cell r="Q379" t="str">
            <v>CC046</v>
          </cell>
          <cell r="R379" t="str">
            <v>Flat Trucks Logistics</v>
          </cell>
        </row>
        <row r="380">
          <cell r="I380" t="str">
            <v>MVEH-000142</v>
          </cell>
          <cell r="Q380" t="str">
            <v>CC046</v>
          </cell>
          <cell r="R380" t="str">
            <v>Flat Trucks Logistics</v>
          </cell>
        </row>
        <row r="381">
          <cell r="I381" t="str">
            <v>MVEH-000143</v>
          </cell>
          <cell r="Q381" t="str">
            <v>CC046</v>
          </cell>
          <cell r="R381" t="str">
            <v>Flat Trucks Logistics</v>
          </cell>
        </row>
        <row r="382">
          <cell r="I382" t="str">
            <v>MVEH-000144</v>
          </cell>
          <cell r="Q382" t="str">
            <v>CC046</v>
          </cell>
          <cell r="R382" t="str">
            <v>Flat Trucks Logistics</v>
          </cell>
        </row>
        <row r="383">
          <cell r="I383" t="str">
            <v>MVEH-000318</v>
          </cell>
          <cell r="Q383" t="str">
            <v>CC046</v>
          </cell>
          <cell r="R383" t="str">
            <v>Flat Trucks Logistics</v>
          </cell>
        </row>
        <row r="384">
          <cell r="I384" t="str">
            <v>MVEH-000320</v>
          </cell>
          <cell r="Q384" t="str">
            <v>CC059</v>
          </cell>
          <cell r="R384" t="str">
            <v>Haulage</v>
          </cell>
        </row>
        <row r="385">
          <cell r="I385" t="str">
            <v>MVEH-000327</v>
          </cell>
          <cell r="Q385" t="str">
            <v>CC059</v>
          </cell>
          <cell r="R385" t="str">
            <v>Haulage</v>
          </cell>
        </row>
        <row r="386">
          <cell r="I386" t="str">
            <v>MVEH-000329</v>
          </cell>
          <cell r="Q386" t="str">
            <v>CC059</v>
          </cell>
          <cell r="R386" t="str">
            <v>Haulage</v>
          </cell>
        </row>
        <row r="387">
          <cell r="I387" t="str">
            <v>MVEH-000331</v>
          </cell>
          <cell r="Q387" t="str">
            <v>CC059</v>
          </cell>
          <cell r="R387" t="str">
            <v>Haulage</v>
          </cell>
        </row>
        <row r="388">
          <cell r="I388" t="str">
            <v>MVEH-000335</v>
          </cell>
          <cell r="Q388" t="str">
            <v>CC059</v>
          </cell>
          <cell r="R388" t="str">
            <v>Haulage</v>
          </cell>
        </row>
        <row r="389">
          <cell r="I389" t="str">
            <v>MVEH-000336</v>
          </cell>
          <cell r="Q389" t="str">
            <v>CC059</v>
          </cell>
          <cell r="R389" t="str">
            <v>Haulage</v>
          </cell>
        </row>
        <row r="390">
          <cell r="I390" t="str">
            <v>MVEH-000340</v>
          </cell>
          <cell r="Q390" t="str">
            <v>CC059</v>
          </cell>
          <cell r="R390" t="str">
            <v>Haulage</v>
          </cell>
        </row>
        <row r="391">
          <cell r="I391" t="str">
            <v>MVEH-000342</v>
          </cell>
          <cell r="Q391" t="str">
            <v>CC059</v>
          </cell>
          <cell r="R391" t="str">
            <v>Haulage</v>
          </cell>
        </row>
        <row r="392">
          <cell r="I392" t="str">
            <v>MVEH-000344</v>
          </cell>
          <cell r="Q392" t="str">
            <v>CC059</v>
          </cell>
          <cell r="R392" t="str">
            <v>Haulage</v>
          </cell>
        </row>
        <row r="393">
          <cell r="I393" t="str">
            <v>MVEH-000352</v>
          </cell>
          <cell r="Q393" t="str">
            <v>CC059</v>
          </cell>
          <cell r="R393" t="str">
            <v>Haulage</v>
          </cell>
        </row>
        <row r="394">
          <cell r="I394" t="str">
            <v>MVEH-000359</v>
          </cell>
          <cell r="Q394" t="str">
            <v>CC059</v>
          </cell>
          <cell r="R394" t="str">
            <v>Haulage</v>
          </cell>
        </row>
        <row r="395">
          <cell r="I395" t="str">
            <v>MVEH-000285</v>
          </cell>
          <cell r="Q395" t="str">
            <v>CC059</v>
          </cell>
          <cell r="R395" t="str">
            <v>Haulage</v>
          </cell>
        </row>
        <row r="396">
          <cell r="I396" t="str">
            <v>MVEH-000306</v>
          </cell>
          <cell r="Q396" t="str">
            <v>CC059</v>
          </cell>
          <cell r="R396" t="str">
            <v>Haulage</v>
          </cell>
        </row>
        <row r="397">
          <cell r="I397" t="str">
            <v>MVEH-000319</v>
          </cell>
          <cell r="Q397" t="str">
            <v>CC059</v>
          </cell>
          <cell r="R397" t="str">
            <v>Haulage</v>
          </cell>
        </row>
        <row r="398">
          <cell r="I398" t="str">
            <v>MVEH-000333</v>
          </cell>
          <cell r="Q398" t="str">
            <v>CC059</v>
          </cell>
          <cell r="R398" t="str">
            <v>Haulage</v>
          </cell>
        </row>
        <row r="399">
          <cell r="I399" t="str">
            <v>MVEH-000334</v>
          </cell>
          <cell r="Q399" t="str">
            <v>CC059</v>
          </cell>
          <cell r="R399" t="str">
            <v>Haulage</v>
          </cell>
        </row>
        <row r="400">
          <cell r="I400" t="str">
            <v>MVEH-000433</v>
          </cell>
          <cell r="Q400" t="str">
            <v>CC059</v>
          </cell>
          <cell r="R400" t="str">
            <v>Haulage</v>
          </cell>
        </row>
        <row r="401">
          <cell r="I401" t="str">
            <v>MVEH-000434</v>
          </cell>
          <cell r="Q401" t="str">
            <v>CC059</v>
          </cell>
          <cell r="R401" t="str">
            <v>Haulage</v>
          </cell>
        </row>
        <row r="402">
          <cell r="I402" t="str">
            <v>MVEH-000435</v>
          </cell>
          <cell r="Q402" t="str">
            <v>CC059</v>
          </cell>
          <cell r="R402" t="str">
            <v>Haulage</v>
          </cell>
        </row>
        <row r="403">
          <cell r="I403" t="str">
            <v>MVEH-000436</v>
          </cell>
          <cell r="Q403" t="str">
            <v>CC059</v>
          </cell>
          <cell r="R403" t="str">
            <v>Haulage</v>
          </cell>
        </row>
        <row r="404">
          <cell r="I404" t="str">
            <v>MVEH-000437</v>
          </cell>
          <cell r="Q404" t="str">
            <v>CC059</v>
          </cell>
          <cell r="R404" t="str">
            <v>Haulage</v>
          </cell>
        </row>
        <row r="405">
          <cell r="I405" t="str">
            <v>MVEH-000438</v>
          </cell>
          <cell r="Q405" t="str">
            <v>CC059</v>
          </cell>
          <cell r="R405" t="str">
            <v>Haulage</v>
          </cell>
        </row>
        <row r="406">
          <cell r="I406" t="str">
            <v>MVEH-000439</v>
          </cell>
          <cell r="Q406" t="str">
            <v>CC059</v>
          </cell>
          <cell r="R406" t="str">
            <v>Haulage</v>
          </cell>
        </row>
        <row r="407">
          <cell r="I407" t="str">
            <v>MVEH-000440</v>
          </cell>
          <cell r="Q407" t="str">
            <v>CC059</v>
          </cell>
          <cell r="R407" t="str">
            <v>Haulage</v>
          </cell>
        </row>
        <row r="408">
          <cell r="I408" t="str">
            <v>MVEH-000441</v>
          </cell>
          <cell r="Q408" t="str">
            <v>CC059</v>
          </cell>
          <cell r="R408" t="str">
            <v>Haulage</v>
          </cell>
        </row>
        <row r="409">
          <cell r="I409" t="str">
            <v>MVEH-000442</v>
          </cell>
          <cell r="Q409" t="str">
            <v>CC059</v>
          </cell>
          <cell r="R409" t="str">
            <v>Haulage</v>
          </cell>
        </row>
        <row r="410">
          <cell r="I410" t="str">
            <v>MVEH-000443</v>
          </cell>
          <cell r="Q410" t="str">
            <v>CC059</v>
          </cell>
          <cell r="R410" t="str">
            <v>Haulage</v>
          </cell>
        </row>
        <row r="411">
          <cell r="I411" t="str">
            <v>MVEH-000444</v>
          </cell>
          <cell r="Q411" t="str">
            <v>CC059</v>
          </cell>
          <cell r="R411" t="str">
            <v>Haulage</v>
          </cell>
        </row>
        <row r="412">
          <cell r="I412" t="str">
            <v>MVEH-000445</v>
          </cell>
          <cell r="Q412" t="str">
            <v>CC059</v>
          </cell>
          <cell r="R412" t="str">
            <v>Haulage</v>
          </cell>
        </row>
        <row r="413">
          <cell r="I413" t="str">
            <v>MVEH-000446</v>
          </cell>
          <cell r="Q413" t="str">
            <v>CC059</v>
          </cell>
          <cell r="R413" t="str">
            <v>Haulage</v>
          </cell>
        </row>
        <row r="414">
          <cell r="I414" t="str">
            <v>MVEH-000447</v>
          </cell>
          <cell r="Q414" t="str">
            <v>CC059</v>
          </cell>
          <cell r="R414" t="str">
            <v>Haulage</v>
          </cell>
        </row>
        <row r="415">
          <cell r="I415" t="str">
            <v>MVEH-000448</v>
          </cell>
          <cell r="Q415" t="str">
            <v>CC059</v>
          </cell>
          <cell r="R415" t="str">
            <v>Haulage</v>
          </cell>
        </row>
        <row r="416">
          <cell r="I416" t="str">
            <v>MVEH-000449</v>
          </cell>
          <cell r="Q416" t="str">
            <v>CC059</v>
          </cell>
          <cell r="R416" t="str">
            <v>Haulage</v>
          </cell>
        </row>
        <row r="417">
          <cell r="I417" t="str">
            <v>MVEH-000450</v>
          </cell>
          <cell r="Q417" t="str">
            <v>CC059</v>
          </cell>
          <cell r="R417" t="str">
            <v>Haulage</v>
          </cell>
        </row>
        <row r="418">
          <cell r="I418" t="str">
            <v>MVEH-000451</v>
          </cell>
          <cell r="Q418" t="str">
            <v>CC059</v>
          </cell>
          <cell r="R418" t="str">
            <v>Haulage</v>
          </cell>
        </row>
        <row r="419">
          <cell r="I419" t="str">
            <v>MVEH-000452</v>
          </cell>
          <cell r="Q419" t="str">
            <v>CC059</v>
          </cell>
          <cell r="R419" t="str">
            <v>Haulage</v>
          </cell>
        </row>
        <row r="420">
          <cell r="I420" t="str">
            <v>MVEH-000102</v>
          </cell>
          <cell r="Q420" t="str">
            <v>CC039</v>
          </cell>
          <cell r="R420" t="str">
            <v>Hiabs Logistics</v>
          </cell>
        </row>
        <row r="421">
          <cell r="I421" t="str">
            <v>MVEH-000097</v>
          </cell>
          <cell r="Q421" t="str">
            <v>CC039</v>
          </cell>
          <cell r="R421" t="str">
            <v>Hiabs Logistics</v>
          </cell>
        </row>
        <row r="422">
          <cell r="I422" t="str">
            <v>MVEH-000101</v>
          </cell>
          <cell r="Q422" t="str">
            <v>CC039</v>
          </cell>
          <cell r="R422" t="str">
            <v>Hiabs Logistics</v>
          </cell>
        </row>
        <row r="423">
          <cell r="I423" t="str">
            <v>MVEH-000104</v>
          </cell>
          <cell r="Q423" t="str">
            <v>CC039</v>
          </cell>
          <cell r="R423" t="str">
            <v>Hiabs Logistics</v>
          </cell>
        </row>
        <row r="424">
          <cell r="I424" t="str">
            <v>MVEH-000105</v>
          </cell>
          <cell r="Q424" t="str">
            <v>CC039</v>
          </cell>
          <cell r="R424" t="str">
            <v>Hiabs Logistics</v>
          </cell>
        </row>
        <row r="425">
          <cell r="I425" t="str">
            <v>MVEH-000297</v>
          </cell>
          <cell r="Q425" t="str">
            <v>CC039</v>
          </cell>
          <cell r="R425" t="str">
            <v>Hiabs Logistics</v>
          </cell>
        </row>
        <row r="426">
          <cell r="I426" t="str">
            <v>MVEH-000298</v>
          </cell>
          <cell r="Q426" t="str">
            <v>CC039</v>
          </cell>
          <cell r="R426" t="str">
            <v>Hiabs Logistics</v>
          </cell>
        </row>
        <row r="427">
          <cell r="I427" t="str">
            <v>MVEH-000145</v>
          </cell>
          <cell r="Q427" t="str">
            <v>CC047</v>
          </cell>
          <cell r="R427" t="str">
            <v>Closed Body Logistics</v>
          </cell>
        </row>
        <row r="428">
          <cell r="I428" t="str">
            <v>MVEH-000202</v>
          </cell>
          <cell r="Q428" t="str">
            <v>CC047</v>
          </cell>
          <cell r="R428" t="str">
            <v>Closed Body Logistics</v>
          </cell>
        </row>
        <row r="429">
          <cell r="I429" t="str">
            <v>MVEH-000289</v>
          </cell>
          <cell r="Q429" t="str">
            <v>CC047</v>
          </cell>
          <cell r="R429" t="str">
            <v>Closed Body Logistics</v>
          </cell>
        </row>
        <row r="430">
          <cell r="I430" t="str">
            <v>MVEH-000304</v>
          </cell>
          <cell r="Q430" t="str">
            <v>CC047</v>
          </cell>
          <cell r="R430" t="str">
            <v>Closed Body Logistics</v>
          </cell>
        </row>
        <row r="431">
          <cell r="I431" t="str">
            <v>MVEH-000363</v>
          </cell>
          <cell r="Q431" t="str">
            <v>CC047</v>
          </cell>
          <cell r="R431" t="str">
            <v>Closed Body Logistics</v>
          </cell>
        </row>
        <row r="432">
          <cell r="I432" t="str">
            <v>MVEH-000287</v>
          </cell>
          <cell r="Q432" t="str">
            <v>CC047</v>
          </cell>
          <cell r="R432" t="str">
            <v>Closed Body Logistics</v>
          </cell>
        </row>
        <row r="433">
          <cell r="I433" t="str">
            <v>MVEH-000103</v>
          </cell>
          <cell r="Q433" t="str">
            <v>CC039</v>
          </cell>
          <cell r="R433" t="str">
            <v>Hiabs Logistics</v>
          </cell>
        </row>
        <row r="434">
          <cell r="I434" t="str">
            <v>MVEH-000288</v>
          </cell>
          <cell r="Q434" t="str">
            <v>CC039</v>
          </cell>
          <cell r="R434" t="str">
            <v>Closed Body Logistics</v>
          </cell>
        </row>
        <row r="435">
          <cell r="I435" t="str">
            <v>MVEH-000146</v>
          </cell>
          <cell r="Q435" t="str">
            <v>CC047</v>
          </cell>
          <cell r="R435" t="str">
            <v>Closed Body Logistics</v>
          </cell>
        </row>
        <row r="436">
          <cell r="I436" t="str">
            <v>MVEH-000134</v>
          </cell>
          <cell r="Q436" t="str">
            <v>CC046</v>
          </cell>
          <cell r="R436" t="str">
            <v>Flat Trucks Logistics</v>
          </cell>
        </row>
        <row r="437">
          <cell r="I437" t="str">
            <v>MVEH-000135</v>
          </cell>
          <cell r="Q437" t="str">
            <v>CC046</v>
          </cell>
          <cell r="R437" t="str">
            <v>Flat Trucks Logistics</v>
          </cell>
        </row>
        <row r="438">
          <cell r="I438" t="str">
            <v>MVEH-000265</v>
          </cell>
          <cell r="Q438" t="str">
            <v>CC046</v>
          </cell>
          <cell r="R438" t="str">
            <v>Flat Trucks Logistics</v>
          </cell>
        </row>
        <row r="439">
          <cell r="I439" t="str">
            <v>MVEH-000268</v>
          </cell>
          <cell r="Q439" t="str">
            <v>CC046</v>
          </cell>
          <cell r="R439" t="str">
            <v>Flat Trucks Logistics</v>
          </cell>
        </row>
        <row r="440">
          <cell r="I440" t="str">
            <v>MVEH-000279</v>
          </cell>
          <cell r="Q440" t="str">
            <v>CC046</v>
          </cell>
          <cell r="R440" t="str">
            <v>Flat Trucks Logistics</v>
          </cell>
        </row>
        <row r="441">
          <cell r="I441" t="str">
            <v>MVEH-000292</v>
          </cell>
          <cell r="Q441" t="str">
            <v>CC046</v>
          </cell>
          <cell r="R441" t="str">
            <v>Flat Trucks Logistics</v>
          </cell>
        </row>
        <row r="442">
          <cell r="I442" t="str">
            <v>MVEH-000293</v>
          </cell>
          <cell r="Q442" t="str">
            <v>CC046</v>
          </cell>
          <cell r="R442" t="str">
            <v>Flat Trucks Logistics</v>
          </cell>
        </row>
        <row r="443">
          <cell r="I443" t="str">
            <v>MVEH-000303</v>
          </cell>
          <cell r="Q443" t="str">
            <v>CC046</v>
          </cell>
          <cell r="R443" t="str">
            <v>Flat Trucks Logistics</v>
          </cell>
        </row>
        <row r="444">
          <cell r="I444" t="str">
            <v>MVEH-000362</v>
          </cell>
          <cell r="Q444" t="str">
            <v>CC046</v>
          </cell>
          <cell r="R444" t="str">
            <v>Flat Trucks Logistics</v>
          </cell>
        </row>
        <row r="445">
          <cell r="I445" t="str">
            <v>MVEH-000133</v>
          </cell>
          <cell r="Q445" t="str">
            <v>CC046</v>
          </cell>
          <cell r="R445" t="str">
            <v>Flat Trucks Logistics</v>
          </cell>
        </row>
        <row r="446">
          <cell r="I446" t="str">
            <v>MVEH-000138</v>
          </cell>
          <cell r="Q446" t="str">
            <v>CC046</v>
          </cell>
          <cell r="R446" t="str">
            <v>Flat Trucks Logistics</v>
          </cell>
        </row>
        <row r="447">
          <cell r="I447" t="str">
            <v>MVEH-000139</v>
          </cell>
          <cell r="Q447" t="str">
            <v>CC046</v>
          </cell>
          <cell r="R447" t="str">
            <v>Flat Trucks Logistics</v>
          </cell>
        </row>
        <row r="448">
          <cell r="I448" t="str">
            <v>MVEH-000140</v>
          </cell>
          <cell r="Q448" t="str">
            <v>CC046</v>
          </cell>
          <cell r="R448" t="str">
            <v>Flat Trucks Logistics</v>
          </cell>
        </row>
        <row r="449">
          <cell r="I449" t="str">
            <v>MVEH-000270</v>
          </cell>
          <cell r="Q449" t="str">
            <v>CC046</v>
          </cell>
          <cell r="R449" t="str">
            <v>Flat Trucks Logistics</v>
          </cell>
        </row>
        <row r="450">
          <cell r="I450" t="str">
            <v>MVEH-000272</v>
          </cell>
          <cell r="Q450" t="str">
            <v>CC046</v>
          </cell>
          <cell r="R450" t="str">
            <v>Flat Trucks Logistics</v>
          </cell>
        </row>
        <row r="451">
          <cell r="I451" t="str">
            <v>MVEH-000277</v>
          </cell>
          <cell r="Q451" t="str">
            <v>CC046</v>
          </cell>
          <cell r="R451" t="str">
            <v>Flat Trucks Logistics</v>
          </cell>
        </row>
        <row r="452">
          <cell r="I452" t="str">
            <v>MVEH-000290</v>
          </cell>
          <cell r="Q452" t="str">
            <v>CC046</v>
          </cell>
          <cell r="R452" t="str">
            <v>Flat Trucks Logistics</v>
          </cell>
        </row>
        <row r="453">
          <cell r="I453" t="str">
            <v>MVEH-000302</v>
          </cell>
          <cell r="Q453" t="str">
            <v>CC046</v>
          </cell>
          <cell r="R453" t="str">
            <v>Flat Trucks Logistics</v>
          </cell>
        </row>
        <row r="454">
          <cell r="I454" t="str">
            <v>MVEH-000328</v>
          </cell>
          <cell r="Q454" t="str">
            <v>CC059</v>
          </cell>
          <cell r="R454" t="str">
            <v>Haulage</v>
          </cell>
        </row>
        <row r="455">
          <cell r="I455" t="str">
            <v>MVEH-000330</v>
          </cell>
          <cell r="Q455" t="str">
            <v>CC059</v>
          </cell>
          <cell r="R455" t="str">
            <v>Haulage</v>
          </cell>
        </row>
        <row r="456">
          <cell r="I456" t="str">
            <v>MVEH-000332</v>
          </cell>
          <cell r="Q456" t="str">
            <v>CC059</v>
          </cell>
          <cell r="R456" t="str">
            <v>Haulage</v>
          </cell>
        </row>
        <row r="457">
          <cell r="I457" t="str">
            <v>MVEH-000341</v>
          </cell>
          <cell r="Q457" t="str">
            <v>CC059</v>
          </cell>
          <cell r="R457" t="str">
            <v>Haulage</v>
          </cell>
        </row>
        <row r="458">
          <cell r="I458" t="str">
            <v>MVEH-000343</v>
          </cell>
          <cell r="Q458" t="str">
            <v>CC059</v>
          </cell>
          <cell r="R458" t="str">
            <v>Haulage</v>
          </cell>
        </row>
        <row r="459">
          <cell r="I459" t="str">
            <v>MVEH-000345</v>
          </cell>
          <cell r="Q459" t="str">
            <v>CC059</v>
          </cell>
          <cell r="R459" t="str">
            <v>Haulage</v>
          </cell>
        </row>
        <row r="460">
          <cell r="I460" t="str">
            <v>MVEH-000354</v>
          </cell>
          <cell r="Q460" t="str">
            <v>CC059</v>
          </cell>
          <cell r="R460" t="str">
            <v>Haulage</v>
          </cell>
        </row>
        <row r="461">
          <cell r="I461" t="str">
            <v>MVEH-000360</v>
          </cell>
          <cell r="Q461" t="str">
            <v>CC059</v>
          </cell>
          <cell r="R461" t="str">
            <v>Haulage</v>
          </cell>
        </row>
        <row r="462">
          <cell r="I462" t="str">
            <v>MVEH-000361</v>
          </cell>
          <cell r="Q462" t="str">
            <v>CC059</v>
          </cell>
          <cell r="R462" t="str">
            <v>Haulage</v>
          </cell>
        </row>
        <row r="463">
          <cell r="I463" t="str">
            <v>MVEH-000385</v>
          </cell>
          <cell r="Q463" t="str">
            <v>CC059</v>
          </cell>
          <cell r="R463" t="str">
            <v>Haulage</v>
          </cell>
        </row>
        <row r="464">
          <cell r="I464" t="str">
            <v>MVEH-000387</v>
          </cell>
          <cell r="Q464" t="str">
            <v>CC059</v>
          </cell>
          <cell r="R464" t="str">
            <v>Haulage</v>
          </cell>
        </row>
        <row r="465">
          <cell r="I465" t="str">
            <v>MVEH-000286</v>
          </cell>
          <cell r="Q465" t="str">
            <v>CC059</v>
          </cell>
          <cell r="R465" t="str">
            <v>Haulage</v>
          </cell>
        </row>
        <row r="466">
          <cell r="I466" t="str">
            <v>MVEH-000291</v>
          </cell>
          <cell r="Q466" t="str">
            <v>CC059</v>
          </cell>
          <cell r="R466" t="str">
            <v>Haulage</v>
          </cell>
        </row>
        <row r="467">
          <cell r="I467" t="str">
            <v>MVEH-000294</v>
          </cell>
          <cell r="Q467" t="str">
            <v>CC059</v>
          </cell>
          <cell r="R467" t="str">
            <v>Haulage</v>
          </cell>
        </row>
        <row r="468">
          <cell r="I468" t="str">
            <v>MVEH-000295</v>
          </cell>
          <cell r="Q468" t="str">
            <v>CC059</v>
          </cell>
          <cell r="R468" t="str">
            <v>Haulage</v>
          </cell>
        </row>
        <row r="469">
          <cell r="I469" t="str">
            <v>MVEH-000337</v>
          </cell>
          <cell r="Q469" t="str">
            <v>CC059</v>
          </cell>
          <cell r="R469" t="str">
            <v>Haulage</v>
          </cell>
        </row>
        <row r="470">
          <cell r="I470" t="str">
            <v>MVEH-000339</v>
          </cell>
          <cell r="Q470" t="str">
            <v>CC059</v>
          </cell>
          <cell r="R470" t="str">
            <v>Haulage</v>
          </cell>
        </row>
        <row r="471">
          <cell r="I471" t="str">
            <v>MVEH-000453</v>
          </cell>
          <cell r="Q471" t="str">
            <v>CC059</v>
          </cell>
          <cell r="R471" t="str">
            <v>Haulage</v>
          </cell>
        </row>
        <row r="472">
          <cell r="I472" t="str">
            <v>MVEH-000454</v>
          </cell>
          <cell r="Q472" t="str">
            <v>CC059</v>
          </cell>
          <cell r="R472" t="str">
            <v>Haulage</v>
          </cell>
        </row>
        <row r="473">
          <cell r="I473" t="str">
            <v>MVEH-000455</v>
          </cell>
          <cell r="Q473" t="str">
            <v>CC059</v>
          </cell>
          <cell r="R473" t="str">
            <v>Haulage</v>
          </cell>
        </row>
        <row r="474">
          <cell r="I474" t="str">
            <v>MVEH-000456</v>
          </cell>
          <cell r="Q474" t="str">
            <v>CC059</v>
          </cell>
          <cell r="R474" t="str">
            <v>Haulage</v>
          </cell>
        </row>
        <row r="475">
          <cell r="I475" t="str">
            <v>MVEH-000457</v>
          </cell>
          <cell r="Q475" t="str">
            <v>CC059</v>
          </cell>
          <cell r="R475" t="str">
            <v>Haulage</v>
          </cell>
        </row>
        <row r="476">
          <cell r="I476" t="str">
            <v>MVEH-000458</v>
          </cell>
          <cell r="Q476" t="str">
            <v>CC059</v>
          </cell>
          <cell r="R476" t="str">
            <v>Haulage</v>
          </cell>
        </row>
        <row r="477">
          <cell r="I477" t="str">
            <v>MVEH-000459</v>
          </cell>
          <cell r="Q477" t="str">
            <v>CC059</v>
          </cell>
          <cell r="R477" t="str">
            <v>Haulage</v>
          </cell>
        </row>
        <row r="478">
          <cell r="I478" t="str">
            <v>MVEH-000460</v>
          </cell>
          <cell r="Q478" t="str">
            <v>CC059</v>
          </cell>
          <cell r="R478" t="str">
            <v>Haulage</v>
          </cell>
        </row>
        <row r="479">
          <cell r="I479" t="str">
            <v>MVEH-000461</v>
          </cell>
          <cell r="Q479" t="str">
            <v>CC059</v>
          </cell>
          <cell r="R479" t="str">
            <v>Haulage</v>
          </cell>
        </row>
        <row r="480">
          <cell r="I480" t="str">
            <v>MVEH-000462</v>
          </cell>
          <cell r="Q480" t="str">
            <v>CC059</v>
          </cell>
          <cell r="R480" t="str">
            <v>Haulage</v>
          </cell>
        </row>
        <row r="481">
          <cell r="I481" t="str">
            <v>MVEH-000463</v>
          </cell>
          <cell r="Q481" t="str">
            <v>CC059</v>
          </cell>
          <cell r="R481" t="str">
            <v>Haulage</v>
          </cell>
        </row>
        <row r="482">
          <cell r="I482" t="str">
            <v>MVEH-000464</v>
          </cell>
          <cell r="Q482" t="str">
            <v>CC059</v>
          </cell>
          <cell r="R482" t="str">
            <v>Haulage</v>
          </cell>
        </row>
        <row r="483">
          <cell r="I483" t="str">
            <v>MVEH-000465</v>
          </cell>
          <cell r="Q483" t="str">
            <v>CC059</v>
          </cell>
          <cell r="R483" t="str">
            <v>Haulage</v>
          </cell>
        </row>
        <row r="484">
          <cell r="I484" t="str">
            <v>MVEH-000466</v>
          </cell>
          <cell r="Q484" t="str">
            <v>CC059</v>
          </cell>
          <cell r="R484" t="str">
            <v>Haulage</v>
          </cell>
        </row>
        <row r="485">
          <cell r="I485" t="str">
            <v>MVEH-000467</v>
          </cell>
          <cell r="Q485" t="str">
            <v>CC059</v>
          </cell>
          <cell r="R485" t="str">
            <v>Haulage</v>
          </cell>
        </row>
        <row r="486">
          <cell r="I486" t="str">
            <v>MVEH-000468</v>
          </cell>
          <cell r="Q486" t="str">
            <v>CC059</v>
          </cell>
          <cell r="R486" t="str">
            <v>Haulage</v>
          </cell>
        </row>
        <row r="487">
          <cell r="I487" t="str">
            <v>MVEH-000469</v>
          </cell>
          <cell r="Q487" t="str">
            <v>CC059</v>
          </cell>
          <cell r="R487" t="str">
            <v>Haulage</v>
          </cell>
        </row>
        <row r="488">
          <cell r="I488" t="str">
            <v>MVEH-000470</v>
          </cell>
          <cell r="Q488" t="str">
            <v>CC059</v>
          </cell>
          <cell r="R488" t="str">
            <v>Haulage</v>
          </cell>
        </row>
        <row r="489">
          <cell r="I489" t="str">
            <v>MVEH-000471</v>
          </cell>
          <cell r="Q489" t="str">
            <v>CC059</v>
          </cell>
          <cell r="R489" t="str">
            <v>Haulage</v>
          </cell>
        </row>
        <row r="490">
          <cell r="I490" t="str">
            <v>MVEH-000472</v>
          </cell>
          <cell r="Q490" t="str">
            <v>CC059</v>
          </cell>
          <cell r="R490" t="str">
            <v>Haulage</v>
          </cell>
        </row>
        <row r="491">
          <cell r="I491" t="str">
            <v>MVEH-000102</v>
          </cell>
          <cell r="Q491" t="str">
            <v>CC039</v>
          </cell>
          <cell r="R491" t="str">
            <v>Hiabs Logistics</v>
          </cell>
        </row>
        <row r="492">
          <cell r="I492" t="str">
            <v>MVEH-000097</v>
          </cell>
          <cell r="Q492" t="str">
            <v>CC039</v>
          </cell>
          <cell r="R492" t="str">
            <v>Hiabs Logistics</v>
          </cell>
        </row>
        <row r="493">
          <cell r="I493" t="str">
            <v>MVEH-000101</v>
          </cell>
          <cell r="Q493" t="str">
            <v>CC039</v>
          </cell>
          <cell r="R493" t="str">
            <v>Hiabs Logistics</v>
          </cell>
        </row>
        <row r="494">
          <cell r="I494" t="str">
            <v>MVEH-000104</v>
          </cell>
          <cell r="Q494" t="str">
            <v>CC039</v>
          </cell>
          <cell r="R494" t="str">
            <v>Hiabs Logistics</v>
          </cell>
        </row>
        <row r="495">
          <cell r="I495" t="str">
            <v>MVEH-000105</v>
          </cell>
          <cell r="Q495" t="str">
            <v>CC039</v>
          </cell>
          <cell r="R495" t="str">
            <v>Hiabs Logistics</v>
          </cell>
        </row>
        <row r="496">
          <cell r="I496" t="str">
            <v>MVEH-000297</v>
          </cell>
          <cell r="Q496" t="str">
            <v>CC039</v>
          </cell>
          <cell r="R496" t="str">
            <v>Hiabs Logistics</v>
          </cell>
        </row>
        <row r="497">
          <cell r="I497" t="str">
            <v>MVEH-000298</v>
          </cell>
          <cell r="Q497" t="str">
            <v>CC039</v>
          </cell>
          <cell r="R497" t="str">
            <v>Hiabs Logistics</v>
          </cell>
        </row>
        <row r="498">
          <cell r="I498" t="str">
            <v>MVEH-000103</v>
          </cell>
          <cell r="Q498" t="str">
            <v>CC039</v>
          </cell>
          <cell r="R498" t="str">
            <v>Hiabs Logistics</v>
          </cell>
        </row>
        <row r="499">
          <cell r="I499" t="str">
            <v>MVEH-000288</v>
          </cell>
          <cell r="Q499" t="str">
            <v>CC047</v>
          </cell>
          <cell r="R499" t="str">
            <v>Closed Body Logistics</v>
          </cell>
        </row>
        <row r="500">
          <cell r="I500" t="str">
            <v>MVEH-000266</v>
          </cell>
          <cell r="Q500" t="str">
            <v>CC046</v>
          </cell>
          <cell r="R500" t="str">
            <v>Flat Trucks Logistics</v>
          </cell>
        </row>
        <row r="501">
          <cell r="I501" t="str">
            <v>MVEH-000267</v>
          </cell>
          <cell r="Q501" t="str">
            <v>CC046</v>
          </cell>
          <cell r="R501" t="str">
            <v>Flat Trucks Logistics</v>
          </cell>
        </row>
        <row r="502">
          <cell r="I502" t="str">
            <v>MVEH-000269</v>
          </cell>
          <cell r="Q502" t="str">
            <v>CC046</v>
          </cell>
          <cell r="R502" t="str">
            <v>Flat Trucks Logistics</v>
          </cell>
        </row>
        <row r="503">
          <cell r="I503" t="str">
            <v>MVEH-000271</v>
          </cell>
          <cell r="Q503" t="str">
            <v>CC046</v>
          </cell>
          <cell r="R503" t="str">
            <v>Flat Trucks Logistics</v>
          </cell>
        </row>
        <row r="504">
          <cell r="I504" t="str">
            <v>MVEH-000273</v>
          </cell>
          <cell r="Q504" t="str">
            <v>CC046</v>
          </cell>
          <cell r="R504" t="str">
            <v>Flat Trucks Logistics</v>
          </cell>
        </row>
        <row r="505">
          <cell r="I505" t="str">
            <v>MVEH-000276</v>
          </cell>
          <cell r="Q505" t="str">
            <v>CC046</v>
          </cell>
          <cell r="R505" t="str">
            <v>Flat Trucks Logistics</v>
          </cell>
        </row>
        <row r="506">
          <cell r="I506" t="str">
            <v>MVEH-000283</v>
          </cell>
          <cell r="Q506" t="str">
            <v>CC046</v>
          </cell>
          <cell r="R506" t="str">
            <v>Flat Trucks Logistics</v>
          </cell>
        </row>
        <row r="507">
          <cell r="I507" t="str">
            <v>MVEH-000326</v>
          </cell>
          <cell r="Q507" t="str">
            <v>CC037</v>
          </cell>
          <cell r="R507" t="str">
            <v>General Overhead</v>
          </cell>
        </row>
        <row r="508">
          <cell r="I508" t="str">
            <v>MVEH-000130</v>
          </cell>
          <cell r="Q508" t="str">
            <v>CC046</v>
          </cell>
          <cell r="R508" t="str">
            <v>Flat Trucks Logistics</v>
          </cell>
        </row>
        <row r="509">
          <cell r="I509" t="str">
            <v>MVEH-000131</v>
          </cell>
          <cell r="Q509" t="str">
            <v>CC046</v>
          </cell>
          <cell r="R509" t="str">
            <v>Flat Trucks Logistics</v>
          </cell>
        </row>
        <row r="510">
          <cell r="I510" t="str">
            <v>MVEH-000132</v>
          </cell>
          <cell r="Q510" t="str">
            <v>CC046</v>
          </cell>
          <cell r="R510" t="str">
            <v>Flat Trucks Logistics</v>
          </cell>
        </row>
        <row r="511">
          <cell r="I511" t="str">
            <v>MVEH-000142</v>
          </cell>
          <cell r="Q511" t="str">
            <v>CC046</v>
          </cell>
          <cell r="R511" t="str">
            <v>Flat Trucks Logistics</v>
          </cell>
        </row>
        <row r="512">
          <cell r="I512" t="str">
            <v>MVEH-000143</v>
          </cell>
          <cell r="Q512" t="str">
            <v>CC046</v>
          </cell>
          <cell r="R512" t="str">
            <v>Flat Trucks Logistics</v>
          </cell>
        </row>
        <row r="513">
          <cell r="I513" t="str">
            <v>MVEH-000144</v>
          </cell>
          <cell r="Q513" t="str">
            <v>CC046</v>
          </cell>
          <cell r="R513" t="str">
            <v>Flat Trucks Logistics</v>
          </cell>
        </row>
        <row r="514">
          <cell r="I514" t="str">
            <v>MVEH-000318</v>
          </cell>
          <cell r="Q514" t="str">
            <v>CC046</v>
          </cell>
          <cell r="R514" t="str">
            <v>Flat Trucks Logistics</v>
          </cell>
        </row>
        <row r="515">
          <cell r="I515" t="str">
            <v>MVEH-000320</v>
          </cell>
          <cell r="Q515" t="str">
            <v>CC059</v>
          </cell>
          <cell r="R515" t="str">
            <v>Haulage</v>
          </cell>
        </row>
        <row r="516">
          <cell r="I516" t="str">
            <v>MVEH-000327</v>
          </cell>
          <cell r="Q516" t="str">
            <v>CC059</v>
          </cell>
          <cell r="R516" t="str">
            <v>Haulage</v>
          </cell>
        </row>
        <row r="517">
          <cell r="I517" t="str">
            <v>MVEH-000329</v>
          </cell>
          <cell r="Q517" t="str">
            <v>CC059</v>
          </cell>
          <cell r="R517" t="str">
            <v>Haulage</v>
          </cell>
        </row>
        <row r="518">
          <cell r="I518" t="str">
            <v>MVEH-000331</v>
          </cell>
          <cell r="Q518" t="str">
            <v>CC059</v>
          </cell>
          <cell r="R518" t="str">
            <v>Haulage</v>
          </cell>
        </row>
        <row r="519">
          <cell r="I519" t="str">
            <v>MVEH-000335</v>
          </cell>
          <cell r="Q519" t="str">
            <v>CC059</v>
          </cell>
          <cell r="R519" t="str">
            <v>Haulage</v>
          </cell>
        </row>
        <row r="520">
          <cell r="I520" t="str">
            <v>MVEH-000336</v>
          </cell>
          <cell r="Q520" t="str">
            <v>CC059</v>
          </cell>
          <cell r="R520" t="str">
            <v>Haulage</v>
          </cell>
        </row>
        <row r="521">
          <cell r="I521" t="str">
            <v>MVEH-000340</v>
          </cell>
          <cell r="Q521" t="str">
            <v>CC059</v>
          </cell>
          <cell r="R521" t="str">
            <v>Haulage</v>
          </cell>
        </row>
        <row r="522">
          <cell r="I522" t="str">
            <v>MVEH-000342</v>
          </cell>
          <cell r="Q522" t="str">
            <v>CC059</v>
          </cell>
          <cell r="R522" t="str">
            <v>Haulage</v>
          </cell>
        </row>
        <row r="523">
          <cell r="I523" t="str">
            <v>MVEH-000344</v>
          </cell>
          <cell r="Q523" t="str">
            <v>CC059</v>
          </cell>
          <cell r="R523" t="str">
            <v>Haulage</v>
          </cell>
        </row>
        <row r="524">
          <cell r="I524" t="str">
            <v>MVEH-000352</v>
          </cell>
          <cell r="Q524" t="str">
            <v>CC059</v>
          </cell>
          <cell r="R524" t="str">
            <v>Haulage</v>
          </cell>
        </row>
        <row r="525">
          <cell r="I525" t="str">
            <v>MVEH-000359</v>
          </cell>
          <cell r="Q525" t="str">
            <v>CC059</v>
          </cell>
          <cell r="R525" t="str">
            <v>Haulage</v>
          </cell>
        </row>
        <row r="526">
          <cell r="I526" t="str">
            <v>MVEH-000285</v>
          </cell>
          <cell r="Q526" t="str">
            <v>CC059</v>
          </cell>
          <cell r="R526" t="str">
            <v>Haulage</v>
          </cell>
        </row>
        <row r="527">
          <cell r="I527" t="str">
            <v>MVEH-000306</v>
          </cell>
          <cell r="Q527" t="str">
            <v>CC059</v>
          </cell>
          <cell r="R527" t="str">
            <v>Haulage</v>
          </cell>
        </row>
        <row r="528">
          <cell r="I528" t="str">
            <v>MVEH-000319</v>
          </cell>
          <cell r="Q528" t="str">
            <v>CC059</v>
          </cell>
          <cell r="R528" t="str">
            <v>Haulage</v>
          </cell>
        </row>
        <row r="529">
          <cell r="I529" t="str">
            <v>MVEH-000333</v>
          </cell>
          <cell r="Q529" t="str">
            <v>CC059</v>
          </cell>
          <cell r="R529" t="str">
            <v>Haulage</v>
          </cell>
        </row>
        <row r="530">
          <cell r="I530" t="str">
            <v>MVEH-000334</v>
          </cell>
          <cell r="Q530" t="str">
            <v>CC059</v>
          </cell>
          <cell r="R530" t="str">
            <v>Haulage</v>
          </cell>
        </row>
        <row r="531">
          <cell r="I531" t="str">
            <v>MVEH-000433</v>
          </cell>
          <cell r="Q531" t="str">
            <v>CC059</v>
          </cell>
          <cell r="R531" t="str">
            <v>Haulage</v>
          </cell>
        </row>
        <row r="532">
          <cell r="I532" t="str">
            <v>MVEH-000434</v>
          </cell>
          <cell r="Q532" t="str">
            <v>CC059</v>
          </cell>
          <cell r="R532" t="str">
            <v>Haulage</v>
          </cell>
        </row>
        <row r="533">
          <cell r="I533" t="str">
            <v>MVEH-000435</v>
          </cell>
          <cell r="Q533" t="str">
            <v>CC059</v>
          </cell>
          <cell r="R533" t="str">
            <v>Haulage</v>
          </cell>
        </row>
        <row r="534">
          <cell r="I534" t="str">
            <v>MVEH-000436</v>
          </cell>
          <cell r="Q534" t="str">
            <v>CC059</v>
          </cell>
          <cell r="R534" t="str">
            <v>Haulage</v>
          </cell>
        </row>
        <row r="535">
          <cell r="I535" t="str">
            <v>MVEH-000437</v>
          </cell>
          <cell r="Q535" t="str">
            <v>CC059</v>
          </cell>
          <cell r="R535" t="str">
            <v>Haulage</v>
          </cell>
        </row>
        <row r="536">
          <cell r="I536" t="str">
            <v>MVEH-000438</v>
          </cell>
          <cell r="Q536" t="str">
            <v>CC059</v>
          </cell>
          <cell r="R536" t="str">
            <v>Haulage</v>
          </cell>
        </row>
        <row r="537">
          <cell r="I537" t="str">
            <v>MVEH-000439</v>
          </cell>
          <cell r="Q537" t="str">
            <v>CC059</v>
          </cell>
          <cell r="R537" t="str">
            <v>Haulage</v>
          </cell>
        </row>
        <row r="538">
          <cell r="I538" t="str">
            <v>MVEH-000440</v>
          </cell>
          <cell r="Q538" t="str">
            <v>CC059</v>
          </cell>
          <cell r="R538" t="str">
            <v>Haulage</v>
          </cell>
        </row>
        <row r="539">
          <cell r="I539" t="str">
            <v>MVEH-000441</v>
          </cell>
          <cell r="Q539" t="str">
            <v>CC059</v>
          </cell>
          <cell r="R539" t="str">
            <v>Haulage</v>
          </cell>
        </row>
        <row r="540">
          <cell r="I540" t="str">
            <v>MVEH-000442</v>
          </cell>
          <cell r="Q540" t="str">
            <v>CC059</v>
          </cell>
          <cell r="R540" t="str">
            <v>Haulage</v>
          </cell>
        </row>
        <row r="541">
          <cell r="I541" t="str">
            <v>MVEH-000443</v>
          </cell>
          <cell r="Q541" t="str">
            <v>CC059</v>
          </cell>
          <cell r="R541" t="str">
            <v>Haulage</v>
          </cell>
        </row>
        <row r="542">
          <cell r="I542" t="str">
            <v>MVEH-000444</v>
          </cell>
          <cell r="Q542" t="str">
            <v>CC059</v>
          </cell>
          <cell r="R542" t="str">
            <v>Haulage</v>
          </cell>
        </row>
        <row r="543">
          <cell r="I543" t="str">
            <v>MVEH-000445</v>
          </cell>
          <cell r="Q543" t="str">
            <v>CC059</v>
          </cell>
          <cell r="R543" t="str">
            <v>Haulage</v>
          </cell>
        </row>
        <row r="544">
          <cell r="I544" t="str">
            <v>MVEH-000446</v>
          </cell>
          <cell r="Q544" t="str">
            <v>CC059</v>
          </cell>
          <cell r="R544" t="str">
            <v>Haulage</v>
          </cell>
        </row>
        <row r="545">
          <cell r="I545" t="str">
            <v>MVEH-000447</v>
          </cell>
          <cell r="Q545" t="str">
            <v>CC059</v>
          </cell>
          <cell r="R545" t="str">
            <v>Haulage</v>
          </cell>
        </row>
        <row r="546">
          <cell r="I546" t="str">
            <v>MVEH-000448</v>
          </cell>
          <cell r="Q546" t="str">
            <v>CC059</v>
          </cell>
          <cell r="R546" t="str">
            <v>Haulage</v>
          </cell>
        </row>
        <row r="547">
          <cell r="I547" t="str">
            <v>MVEH-000449</v>
          </cell>
          <cell r="Q547" t="str">
            <v>CC059</v>
          </cell>
          <cell r="R547" t="str">
            <v>Haulage</v>
          </cell>
        </row>
        <row r="548">
          <cell r="I548" t="str">
            <v>MVEH-000450</v>
          </cell>
          <cell r="Q548" t="str">
            <v>CC059</v>
          </cell>
          <cell r="R548" t="str">
            <v>Haulage</v>
          </cell>
        </row>
        <row r="549">
          <cell r="I549" t="str">
            <v>MVEH-000451</v>
          </cell>
          <cell r="Q549" t="str">
            <v>CC059</v>
          </cell>
          <cell r="R549" t="str">
            <v>Haulage</v>
          </cell>
        </row>
        <row r="550">
          <cell r="I550" t="str">
            <v>MVEH-000452</v>
          </cell>
          <cell r="Q550" t="str">
            <v>CC059</v>
          </cell>
          <cell r="R550" t="str">
            <v>Haulage</v>
          </cell>
        </row>
        <row r="551">
          <cell r="I551" t="str">
            <v>MVEH-000145</v>
          </cell>
          <cell r="Q551" t="str">
            <v>CC047</v>
          </cell>
          <cell r="R551" t="str">
            <v>Closed Body Logistics</v>
          </cell>
        </row>
        <row r="552">
          <cell r="I552" t="str">
            <v>MVEH-000202</v>
          </cell>
          <cell r="Q552" t="str">
            <v>CC047</v>
          </cell>
          <cell r="R552" t="str">
            <v>Closed Body Logistics</v>
          </cell>
        </row>
        <row r="553">
          <cell r="I553" t="str">
            <v>MVEH-000289</v>
          </cell>
          <cell r="Q553" t="str">
            <v>CC047</v>
          </cell>
          <cell r="R553" t="str">
            <v>Closed Body Logistics</v>
          </cell>
        </row>
        <row r="554">
          <cell r="I554" t="str">
            <v>MVEH-000304</v>
          </cell>
          <cell r="Q554" t="str">
            <v>CC047</v>
          </cell>
          <cell r="R554" t="str">
            <v>Closed Body Logistics</v>
          </cell>
        </row>
        <row r="555">
          <cell r="I555" t="str">
            <v>MVEH-000363</v>
          </cell>
          <cell r="Q555" t="str">
            <v>CC047</v>
          </cell>
          <cell r="R555" t="str">
            <v>Closed Body Logistics</v>
          </cell>
        </row>
        <row r="556">
          <cell r="I556" t="str">
            <v>MVEH-000287</v>
          </cell>
          <cell r="Q556" t="str">
            <v>CC047</v>
          </cell>
          <cell r="R556" t="str">
            <v>Closed Body Logistics</v>
          </cell>
        </row>
        <row r="557">
          <cell r="I557" t="str">
            <v>MVEH-000146</v>
          </cell>
          <cell r="Q557" t="str">
            <v>CC047</v>
          </cell>
          <cell r="R557" t="str">
            <v>Closed Body Logistics</v>
          </cell>
        </row>
        <row r="558">
          <cell r="I558" t="str">
            <v>MVEH-000134</v>
          </cell>
          <cell r="Q558" t="str">
            <v>CC046</v>
          </cell>
          <cell r="R558" t="str">
            <v>Flat Trucks Logistics</v>
          </cell>
        </row>
        <row r="559">
          <cell r="I559" t="str">
            <v>MVEH-000135</v>
          </cell>
          <cell r="Q559" t="str">
            <v>CC046</v>
          </cell>
          <cell r="R559" t="str">
            <v>Flat Trucks Logistics</v>
          </cell>
        </row>
        <row r="560">
          <cell r="I560" t="str">
            <v>MVEH-000265</v>
          </cell>
          <cell r="Q560" t="str">
            <v>CC046</v>
          </cell>
          <cell r="R560" t="str">
            <v>Flat Trucks Logistics</v>
          </cell>
        </row>
        <row r="561">
          <cell r="I561" t="str">
            <v>MVEH-000268</v>
          </cell>
          <cell r="Q561" t="str">
            <v>CC046</v>
          </cell>
          <cell r="R561" t="str">
            <v>Flat Trucks Logistics</v>
          </cell>
        </row>
        <row r="562">
          <cell r="I562" t="str">
            <v>MVEH-000279</v>
          </cell>
          <cell r="Q562" t="str">
            <v>CC046</v>
          </cell>
          <cell r="R562" t="str">
            <v>Flat Trucks Logistics</v>
          </cell>
        </row>
        <row r="563">
          <cell r="I563" t="str">
            <v>MVEH-000292</v>
          </cell>
          <cell r="Q563" t="str">
            <v>CC046</v>
          </cell>
          <cell r="R563" t="str">
            <v>Flat Trucks Logistics</v>
          </cell>
        </row>
        <row r="564">
          <cell r="I564" t="str">
            <v>MVEH-000293</v>
          </cell>
          <cell r="Q564" t="str">
            <v>CC046</v>
          </cell>
          <cell r="R564" t="str">
            <v>Flat Trucks Logistics</v>
          </cell>
        </row>
        <row r="565">
          <cell r="I565" t="str">
            <v>MVEH-000303</v>
          </cell>
          <cell r="Q565" t="str">
            <v>CC046</v>
          </cell>
          <cell r="R565" t="str">
            <v>Flat Trucks Logistics</v>
          </cell>
        </row>
        <row r="566">
          <cell r="I566" t="str">
            <v>MVEH-000362</v>
          </cell>
          <cell r="Q566" t="str">
            <v>CC046</v>
          </cell>
          <cell r="R566" t="str">
            <v>Flat Trucks Logistics</v>
          </cell>
        </row>
        <row r="567">
          <cell r="I567" t="str">
            <v>MVEH-000133</v>
          </cell>
          <cell r="Q567" t="str">
            <v>CC046</v>
          </cell>
          <cell r="R567" t="str">
            <v>Flat Trucks Logistics</v>
          </cell>
        </row>
        <row r="568">
          <cell r="I568" t="str">
            <v>MVEH-000138</v>
          </cell>
          <cell r="Q568" t="str">
            <v>CC046</v>
          </cell>
          <cell r="R568" t="str">
            <v>Flat Trucks Logistics</v>
          </cell>
        </row>
        <row r="569">
          <cell r="I569" t="str">
            <v>MVEH-000139</v>
          </cell>
          <cell r="Q569" t="str">
            <v>CC046</v>
          </cell>
          <cell r="R569" t="str">
            <v>Flat Trucks Logistics</v>
          </cell>
        </row>
        <row r="570">
          <cell r="I570" t="str">
            <v>MVEH-000140</v>
          </cell>
          <cell r="Q570" t="str">
            <v>CC046</v>
          </cell>
          <cell r="R570" t="str">
            <v>Flat Trucks Logistics</v>
          </cell>
        </row>
        <row r="571">
          <cell r="I571" t="str">
            <v>MVEH-000270</v>
          </cell>
          <cell r="Q571" t="str">
            <v>CC046</v>
          </cell>
          <cell r="R571" t="str">
            <v>Flat Trucks Logistics</v>
          </cell>
        </row>
        <row r="572">
          <cell r="I572" t="str">
            <v>MVEH-000272</v>
          </cell>
          <cell r="Q572" t="str">
            <v>CC046</v>
          </cell>
          <cell r="R572" t="str">
            <v>Flat Trucks Logistics</v>
          </cell>
        </row>
        <row r="573">
          <cell r="I573" t="str">
            <v>MVEH-000277</v>
          </cell>
          <cell r="Q573" t="str">
            <v>CC046</v>
          </cell>
          <cell r="R573" t="str">
            <v>Flat Trucks Logistics</v>
          </cell>
        </row>
        <row r="574">
          <cell r="I574" t="str">
            <v>MVEH-000290</v>
          </cell>
          <cell r="Q574" t="str">
            <v>CC046</v>
          </cell>
          <cell r="R574" t="str">
            <v>Flat Trucks Logistics</v>
          </cell>
        </row>
        <row r="575">
          <cell r="I575" t="str">
            <v>MVEH-000302</v>
          </cell>
          <cell r="Q575" t="str">
            <v>CC046</v>
          </cell>
          <cell r="R575" t="str">
            <v>Flat Trucks Logistics</v>
          </cell>
        </row>
        <row r="576">
          <cell r="I576" t="str">
            <v>MVEH-000328</v>
          </cell>
          <cell r="Q576" t="str">
            <v>CC059</v>
          </cell>
          <cell r="R576" t="str">
            <v>Haulage</v>
          </cell>
        </row>
        <row r="577">
          <cell r="I577" t="str">
            <v>MVEH-000330</v>
          </cell>
          <cell r="Q577" t="str">
            <v>CC059</v>
          </cell>
          <cell r="R577" t="str">
            <v>Haulage</v>
          </cell>
        </row>
        <row r="578">
          <cell r="I578" t="str">
            <v>MVEH-000332</v>
          </cell>
          <cell r="Q578" t="str">
            <v>CC059</v>
          </cell>
          <cell r="R578" t="str">
            <v>Haulage</v>
          </cell>
        </row>
        <row r="579">
          <cell r="I579" t="str">
            <v>MVEH-000341</v>
          </cell>
          <cell r="Q579" t="str">
            <v>CC059</v>
          </cell>
          <cell r="R579" t="str">
            <v>Haulage</v>
          </cell>
        </row>
        <row r="580">
          <cell r="I580" t="str">
            <v>MVEH-000343</v>
          </cell>
          <cell r="Q580" t="str">
            <v>CC059</v>
          </cell>
          <cell r="R580" t="str">
            <v>Haulage</v>
          </cell>
        </row>
        <row r="581">
          <cell r="I581" t="str">
            <v>MVEH-000345</v>
          </cell>
          <cell r="Q581" t="str">
            <v>CC059</v>
          </cell>
          <cell r="R581" t="str">
            <v>Haulage</v>
          </cell>
        </row>
        <row r="582">
          <cell r="I582" t="str">
            <v>MVEH-000354</v>
          </cell>
          <cell r="Q582" t="str">
            <v>CC059</v>
          </cell>
          <cell r="R582" t="str">
            <v>Haulage</v>
          </cell>
        </row>
        <row r="583">
          <cell r="I583" t="str">
            <v>MVEH-000360</v>
          </cell>
          <cell r="Q583" t="str">
            <v>CC059</v>
          </cell>
          <cell r="R583" t="str">
            <v>Haulage</v>
          </cell>
        </row>
        <row r="584">
          <cell r="I584" t="str">
            <v>MVEH-000361</v>
          </cell>
          <cell r="Q584" t="str">
            <v>CC059</v>
          </cell>
          <cell r="R584" t="str">
            <v>Haulage</v>
          </cell>
        </row>
        <row r="585">
          <cell r="I585" t="str">
            <v>MVEH-000385</v>
          </cell>
          <cell r="Q585" t="str">
            <v>CC059</v>
          </cell>
          <cell r="R585" t="str">
            <v>Haulage</v>
          </cell>
        </row>
        <row r="586">
          <cell r="I586" t="str">
            <v>MVEH-000387</v>
          </cell>
          <cell r="Q586" t="str">
            <v>CC059</v>
          </cell>
          <cell r="R586" t="str">
            <v>Haulage</v>
          </cell>
        </row>
        <row r="587">
          <cell r="I587" t="str">
            <v>MVEH-000286</v>
          </cell>
          <cell r="Q587" t="str">
            <v>CC059</v>
          </cell>
          <cell r="R587" t="str">
            <v>Haulage</v>
          </cell>
        </row>
        <row r="588">
          <cell r="I588" t="str">
            <v>MVEH-000291</v>
          </cell>
          <cell r="Q588" t="str">
            <v>CC059</v>
          </cell>
          <cell r="R588" t="str">
            <v>Haulage</v>
          </cell>
        </row>
        <row r="589">
          <cell r="I589" t="str">
            <v>MVEH-000294</v>
          </cell>
          <cell r="Q589" t="str">
            <v>CC059</v>
          </cell>
          <cell r="R589" t="str">
            <v>Haulage</v>
          </cell>
        </row>
        <row r="590">
          <cell r="I590" t="str">
            <v>MVEH-000295</v>
          </cell>
          <cell r="Q590" t="str">
            <v>CC059</v>
          </cell>
          <cell r="R590" t="str">
            <v>Haulage</v>
          </cell>
        </row>
        <row r="591">
          <cell r="I591" t="str">
            <v>MVEH-000337</v>
          </cell>
          <cell r="Q591" t="str">
            <v>CC059</v>
          </cell>
          <cell r="R591" t="str">
            <v>Haulage</v>
          </cell>
        </row>
        <row r="592">
          <cell r="I592" t="str">
            <v>MVEH-000339</v>
          </cell>
          <cell r="Q592" t="str">
            <v>CC059</v>
          </cell>
          <cell r="R592" t="str">
            <v>Haulage</v>
          </cell>
        </row>
        <row r="593">
          <cell r="I593" t="str">
            <v>MVEH-000453</v>
          </cell>
          <cell r="Q593" t="str">
            <v>CC059</v>
          </cell>
          <cell r="R593" t="str">
            <v>Haulage</v>
          </cell>
        </row>
        <row r="594">
          <cell r="I594" t="str">
            <v>MVEH-000454</v>
          </cell>
          <cell r="Q594" t="str">
            <v>CC059</v>
          </cell>
          <cell r="R594" t="str">
            <v>Haulage</v>
          </cell>
        </row>
        <row r="595">
          <cell r="I595" t="str">
            <v>MVEH-000455</v>
          </cell>
          <cell r="Q595" t="str">
            <v>CC059</v>
          </cell>
          <cell r="R595" t="str">
            <v>Haulage</v>
          </cell>
        </row>
        <row r="596">
          <cell r="I596" t="str">
            <v>MVEH-000456</v>
          </cell>
          <cell r="Q596" t="str">
            <v>CC059</v>
          </cell>
          <cell r="R596" t="str">
            <v>Haulage</v>
          </cell>
        </row>
        <row r="597">
          <cell r="I597" t="str">
            <v>MVEH-000457</v>
          </cell>
          <cell r="Q597" t="str">
            <v>CC059</v>
          </cell>
          <cell r="R597" t="str">
            <v>Haulage</v>
          </cell>
        </row>
        <row r="598">
          <cell r="I598" t="str">
            <v>MVEH-000458</v>
          </cell>
          <cell r="Q598" t="str">
            <v>CC059</v>
          </cell>
          <cell r="R598" t="str">
            <v>Haulage</v>
          </cell>
        </row>
        <row r="599">
          <cell r="I599" t="str">
            <v>MVEH-000459</v>
          </cell>
          <cell r="Q599" t="str">
            <v>CC059</v>
          </cell>
          <cell r="R599" t="str">
            <v>Haulage</v>
          </cell>
        </row>
        <row r="600">
          <cell r="I600" t="str">
            <v>MVEH-000460</v>
          </cell>
          <cell r="Q600" t="str">
            <v>CC059</v>
          </cell>
          <cell r="R600" t="str">
            <v>Haulage</v>
          </cell>
        </row>
        <row r="601">
          <cell r="I601" t="str">
            <v>MVEH-000461</v>
          </cell>
          <cell r="Q601" t="str">
            <v>CC059</v>
          </cell>
          <cell r="R601" t="str">
            <v>Haulage</v>
          </cell>
        </row>
        <row r="602">
          <cell r="I602" t="str">
            <v>MVEH-000462</v>
          </cell>
          <cell r="Q602" t="str">
            <v>CC059</v>
          </cell>
          <cell r="R602" t="str">
            <v>Haulage</v>
          </cell>
        </row>
        <row r="603">
          <cell r="I603" t="str">
            <v>MVEH-000463</v>
          </cell>
          <cell r="Q603" t="str">
            <v>CC059</v>
          </cell>
          <cell r="R603" t="str">
            <v>Haulage</v>
          </cell>
        </row>
        <row r="604">
          <cell r="I604" t="str">
            <v>MVEH-000464</v>
          </cell>
          <cell r="Q604" t="str">
            <v>CC059</v>
          </cell>
          <cell r="R604" t="str">
            <v>Haulage</v>
          </cell>
        </row>
        <row r="605">
          <cell r="I605" t="str">
            <v>MVEH-000465</v>
          </cell>
          <cell r="Q605" t="str">
            <v>CC059</v>
          </cell>
          <cell r="R605" t="str">
            <v>Haulage</v>
          </cell>
        </row>
        <row r="606">
          <cell r="I606" t="str">
            <v>MVEH-000466</v>
          </cell>
          <cell r="Q606" t="str">
            <v>CC059</v>
          </cell>
          <cell r="R606" t="str">
            <v>Haulage</v>
          </cell>
        </row>
        <row r="607">
          <cell r="I607" t="str">
            <v>MVEH-000467</v>
          </cell>
          <cell r="Q607" t="str">
            <v>CC059</v>
          </cell>
          <cell r="R607" t="str">
            <v>Haulage</v>
          </cell>
        </row>
        <row r="608">
          <cell r="I608" t="str">
            <v>MVEH-000468</v>
          </cell>
          <cell r="Q608" t="str">
            <v>CC059</v>
          </cell>
          <cell r="R608" t="str">
            <v>Haulage</v>
          </cell>
        </row>
        <row r="609">
          <cell r="I609" t="str">
            <v>MVEH-000469</v>
          </cell>
          <cell r="Q609" t="str">
            <v>CC059</v>
          </cell>
          <cell r="R609" t="str">
            <v>Haulage</v>
          </cell>
        </row>
        <row r="610">
          <cell r="I610" t="str">
            <v>MVEH-000470</v>
          </cell>
          <cell r="Q610" t="str">
            <v>CC059</v>
          </cell>
          <cell r="R610" t="str">
            <v>Haulage</v>
          </cell>
        </row>
        <row r="611">
          <cell r="I611" t="str">
            <v>MVEH-000471</v>
          </cell>
          <cell r="Q611" t="str">
            <v>CC059</v>
          </cell>
          <cell r="R611" t="str">
            <v>Haulage</v>
          </cell>
        </row>
        <row r="612">
          <cell r="I612" t="str">
            <v>MVEH-000472</v>
          </cell>
          <cell r="Q612" t="str">
            <v>CC059</v>
          </cell>
          <cell r="R612" t="str">
            <v>Haulage</v>
          </cell>
        </row>
        <row r="613">
          <cell r="I613" t="str">
            <v>MVEH-000266</v>
          </cell>
          <cell r="Q613" t="str">
            <v>CC046</v>
          </cell>
          <cell r="R613" t="str">
            <v>Flat Trucks Logistics</v>
          </cell>
        </row>
        <row r="614">
          <cell r="I614" t="str">
            <v>MVEH-000267</v>
          </cell>
          <cell r="Q614" t="str">
            <v>CC046</v>
          </cell>
          <cell r="R614" t="str">
            <v>Flat Trucks Logistics</v>
          </cell>
        </row>
        <row r="615">
          <cell r="I615" t="str">
            <v>MVEH-000269</v>
          </cell>
          <cell r="Q615" t="str">
            <v>CC046</v>
          </cell>
          <cell r="R615" t="str">
            <v>Flat Trucks Logistics</v>
          </cell>
        </row>
        <row r="616">
          <cell r="I616" t="str">
            <v>MVEH-000271</v>
          </cell>
          <cell r="Q616" t="str">
            <v>CC046</v>
          </cell>
          <cell r="R616" t="str">
            <v>Flat Trucks Logistics</v>
          </cell>
        </row>
        <row r="617">
          <cell r="I617" t="str">
            <v>MVEH-000273</v>
          </cell>
          <cell r="Q617" t="str">
            <v>CC046</v>
          </cell>
          <cell r="R617" t="str">
            <v>Flat Trucks Logistics</v>
          </cell>
        </row>
        <row r="618">
          <cell r="I618" t="str">
            <v>MVEH-000276</v>
          </cell>
          <cell r="Q618" t="str">
            <v>CC046</v>
          </cell>
          <cell r="R618" t="str">
            <v>Flat Trucks Logistics</v>
          </cell>
        </row>
        <row r="619">
          <cell r="I619" t="str">
            <v>MVEH-000283</v>
          </cell>
          <cell r="Q619" t="str">
            <v>CC046</v>
          </cell>
          <cell r="R619" t="str">
            <v>Flat Trucks Logistics</v>
          </cell>
        </row>
        <row r="620">
          <cell r="I620" t="str">
            <v>MVEH-000326</v>
          </cell>
          <cell r="Q620" t="str">
            <v>CC037</v>
          </cell>
          <cell r="R620" t="str">
            <v>General Overhead</v>
          </cell>
        </row>
        <row r="621">
          <cell r="I621" t="str">
            <v>MVEH-000130</v>
          </cell>
          <cell r="Q621" t="str">
            <v>CC046</v>
          </cell>
          <cell r="R621" t="str">
            <v>Flat Trucks Logistics</v>
          </cell>
        </row>
        <row r="622">
          <cell r="I622" t="str">
            <v>MVEH-000131</v>
          </cell>
          <cell r="Q622" t="str">
            <v>CC046</v>
          </cell>
          <cell r="R622" t="str">
            <v>Flat Trucks Logistics</v>
          </cell>
        </row>
        <row r="623">
          <cell r="I623" t="str">
            <v>MVEH-000132</v>
          </cell>
          <cell r="Q623" t="str">
            <v>CC046</v>
          </cell>
          <cell r="R623" t="str">
            <v>Flat Trucks Logistics</v>
          </cell>
        </row>
        <row r="624">
          <cell r="I624" t="str">
            <v>MVEH-000142</v>
          </cell>
          <cell r="Q624" t="str">
            <v>CC046</v>
          </cell>
          <cell r="R624" t="str">
            <v>Flat Trucks Logistics</v>
          </cell>
        </row>
        <row r="625">
          <cell r="I625" t="str">
            <v>MVEH-000143</v>
          </cell>
          <cell r="Q625" t="str">
            <v>CC046</v>
          </cell>
          <cell r="R625" t="str">
            <v>Flat Trucks Logistics</v>
          </cell>
        </row>
        <row r="626">
          <cell r="I626" t="str">
            <v>MVEH-000144</v>
          </cell>
          <cell r="Q626" t="str">
            <v>CC046</v>
          </cell>
          <cell r="R626" t="str">
            <v>Flat Trucks Logistics</v>
          </cell>
        </row>
        <row r="627">
          <cell r="I627" t="str">
            <v>MVEH-000318</v>
          </cell>
          <cell r="Q627" t="str">
            <v>CC046</v>
          </cell>
          <cell r="R627" t="str">
            <v>Flat Trucks Logistics</v>
          </cell>
        </row>
        <row r="628">
          <cell r="I628" t="str">
            <v>MVEH-000320</v>
          </cell>
          <cell r="Q628" t="str">
            <v>CC059</v>
          </cell>
          <cell r="R628" t="str">
            <v>Haulage</v>
          </cell>
        </row>
        <row r="629">
          <cell r="I629" t="str">
            <v>MVEH-000327</v>
          </cell>
          <cell r="Q629" t="str">
            <v>CC059</v>
          </cell>
          <cell r="R629" t="str">
            <v>Haulage</v>
          </cell>
        </row>
        <row r="630">
          <cell r="I630" t="str">
            <v>MVEH-000329</v>
          </cell>
          <cell r="Q630" t="str">
            <v>CC059</v>
          </cell>
          <cell r="R630" t="str">
            <v>Haulage</v>
          </cell>
        </row>
        <row r="631">
          <cell r="I631" t="str">
            <v>MVEH-000331</v>
          </cell>
          <cell r="Q631" t="str">
            <v>CC059</v>
          </cell>
          <cell r="R631" t="str">
            <v>Haulage</v>
          </cell>
        </row>
        <row r="632">
          <cell r="I632" t="str">
            <v>MVEH-000335</v>
          </cell>
          <cell r="Q632" t="str">
            <v>CC059</v>
          </cell>
          <cell r="R632" t="str">
            <v>Haulage</v>
          </cell>
        </row>
        <row r="633">
          <cell r="I633" t="str">
            <v>MVEH-000336</v>
          </cell>
          <cell r="Q633" t="str">
            <v>CC059</v>
          </cell>
          <cell r="R633" t="str">
            <v>Haulage</v>
          </cell>
        </row>
        <row r="634">
          <cell r="I634" t="str">
            <v>MVEH-000340</v>
          </cell>
          <cell r="Q634" t="str">
            <v>CC059</v>
          </cell>
          <cell r="R634" t="str">
            <v>Haulage</v>
          </cell>
        </row>
        <row r="635">
          <cell r="I635" t="str">
            <v>MVEH-000342</v>
          </cell>
          <cell r="Q635" t="str">
            <v>CC059</v>
          </cell>
          <cell r="R635" t="str">
            <v>Haulage</v>
          </cell>
        </row>
        <row r="636">
          <cell r="I636" t="str">
            <v>MVEH-000344</v>
          </cell>
          <cell r="Q636" t="str">
            <v>CC059</v>
          </cell>
          <cell r="R636" t="str">
            <v>Haulage</v>
          </cell>
        </row>
        <row r="637">
          <cell r="I637" t="str">
            <v>MVEH-000352</v>
          </cell>
          <cell r="Q637" t="str">
            <v>CC059</v>
          </cell>
          <cell r="R637" t="str">
            <v>Haulage</v>
          </cell>
        </row>
        <row r="638">
          <cell r="I638" t="str">
            <v>MVEH-000359</v>
          </cell>
          <cell r="Q638" t="str">
            <v>CC059</v>
          </cell>
          <cell r="R638" t="str">
            <v>Haulage</v>
          </cell>
        </row>
        <row r="639">
          <cell r="I639" t="str">
            <v>MVEH-000285</v>
          </cell>
          <cell r="Q639" t="str">
            <v>CC059</v>
          </cell>
          <cell r="R639" t="str">
            <v>Haulage</v>
          </cell>
        </row>
        <row r="640">
          <cell r="I640" t="str">
            <v>MVEH-000306</v>
          </cell>
          <cell r="Q640" t="str">
            <v>CC059</v>
          </cell>
          <cell r="R640" t="str">
            <v>Haulage</v>
          </cell>
        </row>
        <row r="641">
          <cell r="I641" t="str">
            <v>MVEH-000319</v>
          </cell>
          <cell r="Q641" t="str">
            <v>CC059</v>
          </cell>
          <cell r="R641" t="str">
            <v>Haulage</v>
          </cell>
        </row>
        <row r="642">
          <cell r="I642" t="str">
            <v>MVEH-000333</v>
          </cell>
          <cell r="Q642" t="str">
            <v>CC059</v>
          </cell>
          <cell r="R642" t="str">
            <v>Haulage</v>
          </cell>
        </row>
        <row r="643">
          <cell r="I643" t="str">
            <v>MVEH-000334</v>
          </cell>
          <cell r="Q643" t="str">
            <v>CC059</v>
          </cell>
          <cell r="R643" t="str">
            <v>Haulage</v>
          </cell>
        </row>
        <row r="644">
          <cell r="I644" t="str">
            <v>MVEH-000433</v>
          </cell>
          <cell r="Q644" t="str">
            <v>CC059</v>
          </cell>
          <cell r="R644" t="str">
            <v>Haulage</v>
          </cell>
        </row>
        <row r="645">
          <cell r="I645" t="str">
            <v>MVEH-000434</v>
          </cell>
          <cell r="Q645" t="str">
            <v>CC059</v>
          </cell>
          <cell r="R645" t="str">
            <v>Haulage</v>
          </cell>
        </row>
        <row r="646">
          <cell r="I646" t="str">
            <v>MVEH-000435</v>
          </cell>
          <cell r="Q646" t="str">
            <v>CC059</v>
          </cell>
          <cell r="R646" t="str">
            <v>Haulage</v>
          </cell>
        </row>
        <row r="647">
          <cell r="I647" t="str">
            <v>MVEH-000436</v>
          </cell>
          <cell r="Q647" t="str">
            <v>CC059</v>
          </cell>
          <cell r="R647" t="str">
            <v>Haulage</v>
          </cell>
        </row>
        <row r="648">
          <cell r="I648" t="str">
            <v>MVEH-000437</v>
          </cell>
          <cell r="Q648" t="str">
            <v>CC059</v>
          </cell>
          <cell r="R648" t="str">
            <v>Haulage</v>
          </cell>
        </row>
        <row r="649">
          <cell r="I649" t="str">
            <v>MVEH-000438</v>
          </cell>
          <cell r="Q649" t="str">
            <v>CC059</v>
          </cell>
          <cell r="R649" t="str">
            <v>Haulage</v>
          </cell>
        </row>
        <row r="650">
          <cell r="I650" t="str">
            <v>MVEH-000439</v>
          </cell>
          <cell r="Q650" t="str">
            <v>CC059</v>
          </cell>
          <cell r="R650" t="str">
            <v>Haulage</v>
          </cell>
        </row>
        <row r="651">
          <cell r="I651" t="str">
            <v>MVEH-000440</v>
          </cell>
          <cell r="Q651" t="str">
            <v>CC059</v>
          </cell>
          <cell r="R651" t="str">
            <v>Haulage</v>
          </cell>
        </row>
        <row r="652">
          <cell r="I652" t="str">
            <v>MVEH-000441</v>
          </cell>
          <cell r="Q652" t="str">
            <v>CC059</v>
          </cell>
          <cell r="R652" t="str">
            <v>Haulage</v>
          </cell>
        </row>
        <row r="653">
          <cell r="I653" t="str">
            <v>MVEH-000442</v>
          </cell>
          <cell r="Q653" t="str">
            <v>CC059</v>
          </cell>
          <cell r="R653" t="str">
            <v>Haulage</v>
          </cell>
        </row>
        <row r="654">
          <cell r="I654" t="str">
            <v>MVEH-000443</v>
          </cell>
          <cell r="Q654" t="str">
            <v>CC059</v>
          </cell>
          <cell r="R654" t="str">
            <v>Haulage</v>
          </cell>
        </row>
        <row r="655">
          <cell r="I655" t="str">
            <v>MVEH-000444</v>
          </cell>
          <cell r="Q655" t="str">
            <v>CC059</v>
          </cell>
          <cell r="R655" t="str">
            <v>Haulage</v>
          </cell>
        </row>
        <row r="656">
          <cell r="I656" t="str">
            <v>MVEH-000445</v>
          </cell>
          <cell r="Q656" t="str">
            <v>CC059</v>
          </cell>
          <cell r="R656" t="str">
            <v>Haulage</v>
          </cell>
        </row>
        <row r="657">
          <cell r="I657" t="str">
            <v>MVEH-000446</v>
          </cell>
          <cell r="Q657" t="str">
            <v>CC059</v>
          </cell>
          <cell r="R657" t="str">
            <v>Haulage</v>
          </cell>
        </row>
        <row r="658">
          <cell r="I658" t="str">
            <v>MVEH-000447</v>
          </cell>
          <cell r="Q658" t="str">
            <v>CC059</v>
          </cell>
          <cell r="R658" t="str">
            <v>Haulage</v>
          </cell>
        </row>
        <row r="659">
          <cell r="I659" t="str">
            <v>MVEH-000448</v>
          </cell>
          <cell r="Q659" t="str">
            <v>CC059</v>
          </cell>
          <cell r="R659" t="str">
            <v>Haulage</v>
          </cell>
        </row>
        <row r="660">
          <cell r="I660" t="str">
            <v>MVEH-000449</v>
          </cell>
          <cell r="Q660" t="str">
            <v>CC059</v>
          </cell>
          <cell r="R660" t="str">
            <v>Haulage</v>
          </cell>
        </row>
        <row r="661">
          <cell r="I661" t="str">
            <v>MVEH-000450</v>
          </cell>
          <cell r="Q661" t="str">
            <v>CC059</v>
          </cell>
          <cell r="R661" t="str">
            <v>Haulage</v>
          </cell>
        </row>
        <row r="662">
          <cell r="I662" t="str">
            <v>MVEH-000451</v>
          </cell>
          <cell r="Q662" t="str">
            <v>CC059</v>
          </cell>
          <cell r="R662" t="str">
            <v>Haulage</v>
          </cell>
        </row>
        <row r="663">
          <cell r="I663" t="str">
            <v>MVEH-000452</v>
          </cell>
          <cell r="Q663" t="str">
            <v>CC059</v>
          </cell>
          <cell r="R663" t="str">
            <v>Haulage</v>
          </cell>
        </row>
        <row r="664">
          <cell r="I664" t="str">
            <v>MVEH-000102</v>
          </cell>
          <cell r="Q664" t="str">
            <v>CC039</v>
          </cell>
          <cell r="R664" t="str">
            <v>Hiabs Logistics</v>
          </cell>
        </row>
        <row r="665">
          <cell r="I665" t="str">
            <v>MVEH-000097</v>
          </cell>
          <cell r="Q665" t="str">
            <v>CC039</v>
          </cell>
          <cell r="R665" t="str">
            <v>Hiabs Logistics</v>
          </cell>
        </row>
        <row r="666">
          <cell r="I666" t="str">
            <v>MVEH-000101</v>
          </cell>
          <cell r="Q666" t="str">
            <v>CC039</v>
          </cell>
          <cell r="R666" t="str">
            <v>Hiabs Logistics</v>
          </cell>
        </row>
        <row r="667">
          <cell r="I667" t="str">
            <v>MVEH-000104</v>
          </cell>
          <cell r="Q667" t="str">
            <v>CC039</v>
          </cell>
          <cell r="R667" t="str">
            <v>Hiabs Logistics</v>
          </cell>
        </row>
        <row r="668">
          <cell r="I668" t="str">
            <v>MVEH-000105</v>
          </cell>
          <cell r="Q668" t="str">
            <v>CC039</v>
          </cell>
          <cell r="R668" t="str">
            <v>Hiabs Logistics</v>
          </cell>
        </row>
        <row r="669">
          <cell r="I669" t="str">
            <v>MVEH-000297</v>
          </cell>
          <cell r="Q669" t="str">
            <v>CC039</v>
          </cell>
          <cell r="R669" t="str">
            <v>Hiabs Logistics</v>
          </cell>
        </row>
        <row r="670">
          <cell r="I670" t="str">
            <v>MVEH-000298</v>
          </cell>
          <cell r="Q670" t="str">
            <v>CC039</v>
          </cell>
          <cell r="R670" t="str">
            <v>Hiabs Logistics</v>
          </cell>
        </row>
        <row r="671">
          <cell r="I671" t="str">
            <v>MVEH-000145</v>
          </cell>
          <cell r="Q671" t="str">
            <v>CC047</v>
          </cell>
          <cell r="R671" t="str">
            <v>Closed Body Logistics</v>
          </cell>
        </row>
        <row r="672">
          <cell r="I672" t="str">
            <v>MVEH-000202</v>
          </cell>
          <cell r="Q672" t="str">
            <v>CC047</v>
          </cell>
          <cell r="R672" t="str">
            <v>Closed Body Logistics</v>
          </cell>
        </row>
        <row r="673">
          <cell r="I673" t="str">
            <v>MVEH-000289</v>
          </cell>
          <cell r="Q673" t="str">
            <v>CC047</v>
          </cell>
          <cell r="R673" t="str">
            <v>Closed Body Logistics</v>
          </cell>
        </row>
        <row r="674">
          <cell r="I674" t="str">
            <v>MVEH-000304</v>
          </cell>
          <cell r="Q674" t="str">
            <v>CC047</v>
          </cell>
          <cell r="R674" t="str">
            <v>Closed Body Logistics</v>
          </cell>
        </row>
        <row r="675">
          <cell r="I675" t="str">
            <v>MVEH-000363</v>
          </cell>
          <cell r="Q675" t="str">
            <v>CC047</v>
          </cell>
          <cell r="R675" t="str">
            <v>Closed Body Logistics</v>
          </cell>
        </row>
        <row r="676">
          <cell r="I676" t="str">
            <v>MVEH-000287</v>
          </cell>
          <cell r="Q676" t="str">
            <v>CC047</v>
          </cell>
          <cell r="R676" t="str">
            <v>Closed Body Logistics</v>
          </cell>
        </row>
        <row r="677">
          <cell r="I677" t="str">
            <v>MVEH-000103</v>
          </cell>
          <cell r="Q677" t="str">
            <v>CC039</v>
          </cell>
          <cell r="R677" t="str">
            <v>Hiabs Logistics</v>
          </cell>
        </row>
        <row r="678">
          <cell r="I678" t="str">
            <v>MVEH-000288</v>
          </cell>
          <cell r="Q678" t="str">
            <v>CC039</v>
          </cell>
          <cell r="R678" t="str">
            <v>Closed Body Logistics</v>
          </cell>
        </row>
        <row r="679">
          <cell r="I679" t="str">
            <v>MVEH-000146</v>
          </cell>
          <cell r="Q679" t="str">
            <v>CC047</v>
          </cell>
          <cell r="R679" t="str">
            <v>Closed Body Logistics</v>
          </cell>
        </row>
        <row r="680">
          <cell r="I680" t="str">
            <v>MVEH-000134</v>
          </cell>
          <cell r="Q680" t="str">
            <v>CC046</v>
          </cell>
          <cell r="R680" t="str">
            <v>Flat Trucks Logistics</v>
          </cell>
        </row>
        <row r="681">
          <cell r="I681" t="str">
            <v>MVEH-000135</v>
          </cell>
          <cell r="Q681" t="str">
            <v>CC046</v>
          </cell>
          <cell r="R681" t="str">
            <v>Flat Trucks Logistics</v>
          </cell>
        </row>
        <row r="682">
          <cell r="I682" t="str">
            <v>MVEH-000265</v>
          </cell>
          <cell r="Q682" t="str">
            <v>CC046</v>
          </cell>
          <cell r="R682" t="str">
            <v>Flat Trucks Logistics</v>
          </cell>
        </row>
        <row r="683">
          <cell r="I683" t="str">
            <v>MVEH-000268</v>
          </cell>
          <cell r="Q683" t="str">
            <v>CC046</v>
          </cell>
          <cell r="R683" t="str">
            <v>Flat Trucks Logistics</v>
          </cell>
        </row>
        <row r="684">
          <cell r="I684" t="str">
            <v>MVEH-000279</v>
          </cell>
          <cell r="Q684" t="str">
            <v>CC046</v>
          </cell>
          <cell r="R684" t="str">
            <v>Flat Trucks Logistics</v>
          </cell>
        </row>
        <row r="685">
          <cell r="I685" t="str">
            <v>MVEH-000292</v>
          </cell>
          <cell r="Q685" t="str">
            <v>CC046</v>
          </cell>
          <cell r="R685" t="str">
            <v>Flat Trucks Logistics</v>
          </cell>
        </row>
        <row r="686">
          <cell r="I686" t="str">
            <v>MVEH-000293</v>
          </cell>
          <cell r="Q686" t="str">
            <v>CC046</v>
          </cell>
          <cell r="R686" t="str">
            <v>Flat Trucks Logistics</v>
          </cell>
        </row>
        <row r="687">
          <cell r="I687" t="str">
            <v>MVEH-000303</v>
          </cell>
          <cell r="Q687" t="str">
            <v>CC046</v>
          </cell>
          <cell r="R687" t="str">
            <v>Flat Trucks Logistics</v>
          </cell>
        </row>
        <row r="688">
          <cell r="I688" t="str">
            <v>MVEH-000362</v>
          </cell>
          <cell r="Q688" t="str">
            <v>CC046</v>
          </cell>
          <cell r="R688" t="str">
            <v>Flat Trucks Logistics</v>
          </cell>
        </row>
        <row r="689">
          <cell r="I689" t="str">
            <v>MVEH-000133</v>
          </cell>
          <cell r="Q689" t="str">
            <v>CC046</v>
          </cell>
          <cell r="R689" t="str">
            <v>Flat Trucks Logistics</v>
          </cell>
        </row>
        <row r="690">
          <cell r="I690" t="str">
            <v>MVEH-000138</v>
          </cell>
          <cell r="Q690" t="str">
            <v>CC046</v>
          </cell>
          <cell r="R690" t="str">
            <v>Flat Trucks Logistics</v>
          </cell>
        </row>
        <row r="691">
          <cell r="I691" t="str">
            <v>MVEH-000139</v>
          </cell>
          <cell r="Q691" t="str">
            <v>CC046</v>
          </cell>
          <cell r="R691" t="str">
            <v>Flat Trucks Logistics</v>
          </cell>
        </row>
        <row r="692">
          <cell r="I692" t="str">
            <v>MVEH-000140</v>
          </cell>
          <cell r="Q692" t="str">
            <v>CC046</v>
          </cell>
          <cell r="R692" t="str">
            <v>Flat Trucks Logistics</v>
          </cell>
        </row>
        <row r="693">
          <cell r="I693" t="str">
            <v>MVEH-000270</v>
          </cell>
          <cell r="Q693" t="str">
            <v>CC046</v>
          </cell>
          <cell r="R693" t="str">
            <v>Flat Trucks Logistics</v>
          </cell>
        </row>
        <row r="694">
          <cell r="I694" t="str">
            <v>MVEH-000272</v>
          </cell>
          <cell r="Q694" t="str">
            <v>CC046</v>
          </cell>
          <cell r="R694" t="str">
            <v>Flat Trucks Logistics</v>
          </cell>
        </row>
        <row r="695">
          <cell r="I695" t="str">
            <v>MVEH-000277</v>
          </cell>
          <cell r="Q695" t="str">
            <v>CC046</v>
          </cell>
          <cell r="R695" t="str">
            <v>Flat Trucks Logistics</v>
          </cell>
        </row>
        <row r="696">
          <cell r="I696" t="str">
            <v>MVEH-000290</v>
          </cell>
          <cell r="Q696" t="str">
            <v>CC046</v>
          </cell>
          <cell r="R696" t="str">
            <v>Flat Trucks Logistics</v>
          </cell>
        </row>
        <row r="697">
          <cell r="I697" t="str">
            <v>MVEH-000302</v>
          </cell>
          <cell r="Q697" t="str">
            <v>CC046</v>
          </cell>
          <cell r="R697" t="str">
            <v>Flat Trucks Logistics</v>
          </cell>
        </row>
        <row r="698">
          <cell r="I698" t="str">
            <v>MVEH-000328</v>
          </cell>
          <cell r="Q698" t="str">
            <v>CC059</v>
          </cell>
          <cell r="R698" t="str">
            <v>Haulage</v>
          </cell>
        </row>
        <row r="699">
          <cell r="I699" t="str">
            <v>MVEH-000330</v>
          </cell>
          <cell r="Q699" t="str">
            <v>CC059</v>
          </cell>
          <cell r="R699" t="str">
            <v>Haulage</v>
          </cell>
        </row>
        <row r="700">
          <cell r="I700" t="str">
            <v>MVEH-000332</v>
          </cell>
          <cell r="Q700" t="str">
            <v>CC059</v>
          </cell>
          <cell r="R700" t="str">
            <v>Haulage</v>
          </cell>
        </row>
        <row r="701">
          <cell r="I701" t="str">
            <v>MVEH-000341</v>
          </cell>
          <cell r="Q701" t="str">
            <v>CC059</v>
          </cell>
          <cell r="R701" t="str">
            <v>Haulage</v>
          </cell>
        </row>
        <row r="702">
          <cell r="I702" t="str">
            <v>MVEH-000343</v>
          </cell>
          <cell r="Q702" t="str">
            <v>CC059</v>
          </cell>
          <cell r="R702" t="str">
            <v>Haulage</v>
          </cell>
        </row>
        <row r="703">
          <cell r="I703" t="str">
            <v>MVEH-000345</v>
          </cell>
          <cell r="Q703" t="str">
            <v>CC059</v>
          </cell>
          <cell r="R703" t="str">
            <v>Haulage</v>
          </cell>
        </row>
        <row r="704">
          <cell r="I704" t="str">
            <v>MVEH-000354</v>
          </cell>
          <cell r="Q704" t="str">
            <v>CC059</v>
          </cell>
          <cell r="R704" t="str">
            <v>Haulage</v>
          </cell>
        </row>
        <row r="705">
          <cell r="I705" t="str">
            <v>MVEH-000360</v>
          </cell>
          <cell r="Q705" t="str">
            <v>CC059</v>
          </cell>
          <cell r="R705" t="str">
            <v>Haulage</v>
          </cell>
        </row>
        <row r="706">
          <cell r="I706" t="str">
            <v>MVEH-000361</v>
          </cell>
          <cell r="Q706" t="str">
            <v>CC059</v>
          </cell>
          <cell r="R706" t="str">
            <v>Haulage</v>
          </cell>
        </row>
        <row r="707">
          <cell r="I707" t="str">
            <v>MVEH-000385</v>
          </cell>
          <cell r="Q707" t="str">
            <v>CC059</v>
          </cell>
          <cell r="R707" t="str">
            <v>Haulage</v>
          </cell>
        </row>
        <row r="708">
          <cell r="I708" t="str">
            <v>MVEH-000387</v>
          </cell>
          <cell r="Q708" t="str">
            <v>CC059</v>
          </cell>
          <cell r="R708" t="str">
            <v>Haulage</v>
          </cell>
        </row>
        <row r="709">
          <cell r="I709" t="str">
            <v>MVEH-000286</v>
          </cell>
          <cell r="Q709" t="str">
            <v>CC059</v>
          </cell>
          <cell r="R709" t="str">
            <v>Haulage</v>
          </cell>
        </row>
        <row r="710">
          <cell r="I710" t="str">
            <v>MVEH-000291</v>
          </cell>
          <cell r="Q710" t="str">
            <v>CC059</v>
          </cell>
          <cell r="R710" t="str">
            <v>Haulage</v>
          </cell>
        </row>
        <row r="711">
          <cell r="I711" t="str">
            <v>MVEH-000294</v>
          </cell>
          <cell r="Q711" t="str">
            <v>CC059</v>
          </cell>
          <cell r="R711" t="str">
            <v>Haulage</v>
          </cell>
        </row>
        <row r="712">
          <cell r="I712" t="str">
            <v>MVEH-000295</v>
          </cell>
          <cell r="Q712" t="str">
            <v>CC059</v>
          </cell>
          <cell r="R712" t="str">
            <v>Haulage</v>
          </cell>
        </row>
        <row r="713">
          <cell r="I713" t="str">
            <v>MVEH-000337</v>
          </cell>
          <cell r="Q713" t="str">
            <v>CC059</v>
          </cell>
          <cell r="R713" t="str">
            <v>Haulage</v>
          </cell>
        </row>
        <row r="714">
          <cell r="I714" t="str">
            <v>MVEH-000339</v>
          </cell>
          <cell r="Q714" t="str">
            <v>CC059</v>
          </cell>
          <cell r="R714" t="str">
            <v>Haulage</v>
          </cell>
        </row>
        <row r="715">
          <cell r="I715" t="str">
            <v>MVEH-000453</v>
          </cell>
          <cell r="Q715" t="str">
            <v>CC059</v>
          </cell>
          <cell r="R715" t="str">
            <v>Haulage</v>
          </cell>
        </row>
        <row r="716">
          <cell r="I716" t="str">
            <v>MVEH-000454</v>
          </cell>
          <cell r="Q716" t="str">
            <v>CC059</v>
          </cell>
          <cell r="R716" t="str">
            <v>Haulage</v>
          </cell>
        </row>
        <row r="717">
          <cell r="I717" t="str">
            <v>MVEH-000455</v>
          </cell>
          <cell r="Q717" t="str">
            <v>CC059</v>
          </cell>
          <cell r="R717" t="str">
            <v>Haulage</v>
          </cell>
        </row>
        <row r="718">
          <cell r="I718" t="str">
            <v>MVEH-000456</v>
          </cell>
          <cell r="Q718" t="str">
            <v>CC059</v>
          </cell>
          <cell r="R718" t="str">
            <v>Haulage</v>
          </cell>
        </row>
        <row r="719">
          <cell r="I719" t="str">
            <v>MVEH-000457</v>
          </cell>
          <cell r="Q719" t="str">
            <v>CC059</v>
          </cell>
          <cell r="R719" t="str">
            <v>Haulage</v>
          </cell>
        </row>
        <row r="720">
          <cell r="I720" t="str">
            <v>MVEH-000458</v>
          </cell>
          <cell r="Q720" t="str">
            <v>CC059</v>
          </cell>
          <cell r="R720" t="str">
            <v>Haulage</v>
          </cell>
        </row>
        <row r="721">
          <cell r="I721" t="str">
            <v>MVEH-000459</v>
          </cell>
          <cell r="Q721" t="str">
            <v>CC059</v>
          </cell>
          <cell r="R721" t="str">
            <v>Haulage</v>
          </cell>
        </row>
        <row r="722">
          <cell r="I722" t="str">
            <v>MVEH-000460</v>
          </cell>
          <cell r="Q722" t="str">
            <v>CC059</v>
          </cell>
          <cell r="R722" t="str">
            <v>Haulage</v>
          </cell>
        </row>
        <row r="723">
          <cell r="I723" t="str">
            <v>MVEH-000461</v>
          </cell>
          <cell r="Q723" t="str">
            <v>CC059</v>
          </cell>
          <cell r="R723" t="str">
            <v>Haulage</v>
          </cell>
        </row>
        <row r="724">
          <cell r="I724" t="str">
            <v>MVEH-000462</v>
          </cell>
          <cell r="Q724" t="str">
            <v>CC059</v>
          </cell>
          <cell r="R724" t="str">
            <v>Haulage</v>
          </cell>
        </row>
        <row r="725">
          <cell r="I725" t="str">
            <v>MVEH-000463</v>
          </cell>
          <cell r="Q725" t="str">
            <v>CC059</v>
          </cell>
          <cell r="R725" t="str">
            <v>Haulage</v>
          </cell>
        </row>
        <row r="726">
          <cell r="I726" t="str">
            <v>MVEH-000464</v>
          </cell>
          <cell r="Q726" t="str">
            <v>CC059</v>
          </cell>
          <cell r="R726" t="str">
            <v>Haulage</v>
          </cell>
        </row>
        <row r="727">
          <cell r="I727" t="str">
            <v>MVEH-000465</v>
          </cell>
          <cell r="Q727" t="str">
            <v>CC059</v>
          </cell>
          <cell r="R727" t="str">
            <v>Haulage</v>
          </cell>
        </row>
        <row r="728">
          <cell r="I728" t="str">
            <v>MVEH-000466</v>
          </cell>
          <cell r="Q728" t="str">
            <v>CC059</v>
          </cell>
          <cell r="R728" t="str">
            <v>Haulage</v>
          </cell>
        </row>
        <row r="729">
          <cell r="I729" t="str">
            <v>MVEH-000467</v>
          </cell>
          <cell r="Q729" t="str">
            <v>CC059</v>
          </cell>
          <cell r="R729" t="str">
            <v>Haulage</v>
          </cell>
        </row>
        <row r="730">
          <cell r="I730" t="str">
            <v>MVEH-000468</v>
          </cell>
          <cell r="Q730" t="str">
            <v>CC059</v>
          </cell>
          <cell r="R730" t="str">
            <v>Haulage</v>
          </cell>
        </row>
        <row r="731">
          <cell r="I731" t="str">
            <v>MVEH-000469</v>
          </cell>
          <cell r="Q731" t="str">
            <v>CC059</v>
          </cell>
          <cell r="R731" t="str">
            <v>Haulage</v>
          </cell>
        </row>
        <row r="732">
          <cell r="I732" t="str">
            <v>MVEH-000470</v>
          </cell>
          <cell r="Q732" t="str">
            <v>CC059</v>
          </cell>
          <cell r="R732" t="str">
            <v>Haulage</v>
          </cell>
        </row>
        <row r="733">
          <cell r="I733" t="str">
            <v>MVEH-000471</v>
          </cell>
          <cell r="Q733" t="str">
            <v>CC059</v>
          </cell>
          <cell r="R733" t="str">
            <v>Haulage</v>
          </cell>
        </row>
        <row r="734">
          <cell r="I734" t="str">
            <v>MVEH-000472</v>
          </cell>
          <cell r="Q734" t="str">
            <v>CC059</v>
          </cell>
          <cell r="R734" t="str">
            <v>Haulage</v>
          </cell>
        </row>
        <row r="735">
          <cell r="I735" t="str">
            <v>MVEH-000266</v>
          </cell>
          <cell r="Q735" t="str">
            <v>CC046</v>
          </cell>
          <cell r="R735" t="str">
            <v>Flat Trucks Logistics</v>
          </cell>
        </row>
        <row r="736">
          <cell r="I736" t="str">
            <v>MVEH-000267</v>
          </cell>
          <cell r="Q736" t="str">
            <v>CC046</v>
          </cell>
          <cell r="R736" t="str">
            <v>Flat Trucks Logistics</v>
          </cell>
        </row>
        <row r="737">
          <cell r="I737" t="str">
            <v>MVEH-000269</v>
          </cell>
          <cell r="Q737" t="str">
            <v>CC046</v>
          </cell>
          <cell r="R737" t="str">
            <v>Flat Trucks Logistics</v>
          </cell>
        </row>
        <row r="738">
          <cell r="I738" t="str">
            <v>MVEH-000271</v>
          </cell>
          <cell r="Q738" t="str">
            <v>CC046</v>
          </cell>
          <cell r="R738" t="str">
            <v>Flat Trucks Logistics</v>
          </cell>
        </row>
        <row r="739">
          <cell r="I739" t="str">
            <v>MVEH-000273</v>
          </cell>
          <cell r="Q739" t="str">
            <v>CC046</v>
          </cell>
          <cell r="R739" t="str">
            <v>Flat Trucks Logistics</v>
          </cell>
        </row>
        <row r="740">
          <cell r="I740" t="str">
            <v>MVEH-000276</v>
          </cell>
          <cell r="Q740" t="str">
            <v>CC046</v>
          </cell>
          <cell r="R740" t="str">
            <v>Flat Trucks Logistics</v>
          </cell>
        </row>
        <row r="741">
          <cell r="I741" t="str">
            <v>MVEH-000283</v>
          </cell>
          <cell r="Q741" t="str">
            <v>CC046</v>
          </cell>
          <cell r="R741" t="str">
            <v>Flat Trucks Logistics</v>
          </cell>
        </row>
        <row r="742">
          <cell r="I742" t="str">
            <v>MVEH-000134</v>
          </cell>
          <cell r="Q742" t="str">
            <v>CC046</v>
          </cell>
          <cell r="R742" t="str">
            <v>Flat Trucks Logistics</v>
          </cell>
        </row>
        <row r="743">
          <cell r="I743" t="str">
            <v>MVEH-000135</v>
          </cell>
          <cell r="Q743" t="str">
            <v>CC046</v>
          </cell>
          <cell r="R743" t="str">
            <v>Flat Trucks Logistics</v>
          </cell>
        </row>
        <row r="744">
          <cell r="I744" t="str">
            <v>MVEH-000265</v>
          </cell>
          <cell r="Q744" t="str">
            <v>CC046</v>
          </cell>
          <cell r="R744" t="str">
            <v>Flat Trucks Logistics</v>
          </cell>
        </row>
        <row r="745">
          <cell r="I745" t="str">
            <v>MVEH-000268</v>
          </cell>
          <cell r="Q745" t="str">
            <v>CC046</v>
          </cell>
          <cell r="R745" t="str">
            <v>Flat Trucks Logistics</v>
          </cell>
        </row>
        <row r="746">
          <cell r="I746" t="str">
            <v>MVEH-000279</v>
          </cell>
          <cell r="Q746" t="str">
            <v>CC046</v>
          </cell>
          <cell r="R746" t="str">
            <v>Flat Trucks Logistics</v>
          </cell>
        </row>
        <row r="747">
          <cell r="I747" t="str">
            <v>MVEH-000292</v>
          </cell>
          <cell r="Q747" t="str">
            <v>CC046</v>
          </cell>
          <cell r="R747" t="str">
            <v>Flat Trucks Logistics</v>
          </cell>
        </row>
        <row r="748">
          <cell r="I748" t="str">
            <v>MVEH-000293</v>
          </cell>
          <cell r="Q748" t="str">
            <v>CC046</v>
          </cell>
          <cell r="R748" t="str">
            <v>Flat Trucks Logistics</v>
          </cell>
        </row>
        <row r="749">
          <cell r="I749" t="str">
            <v>MVEH-000303</v>
          </cell>
          <cell r="Q749" t="str">
            <v>CC046</v>
          </cell>
          <cell r="R749" t="str">
            <v>Flat Trucks Logistics</v>
          </cell>
        </row>
        <row r="750">
          <cell r="I750" t="str">
            <v>MVEH-000362</v>
          </cell>
          <cell r="Q750" t="str">
            <v>CC046</v>
          </cell>
          <cell r="R750" t="str">
            <v>Flat Trucks Logistics</v>
          </cell>
        </row>
        <row r="751">
          <cell r="I751" t="str">
            <v>MVEH-000133</v>
          </cell>
          <cell r="Q751" t="str">
            <v>CC046</v>
          </cell>
          <cell r="R751" t="str">
            <v>Flat Trucks Logistics</v>
          </cell>
        </row>
        <row r="752">
          <cell r="I752" t="str">
            <v>MVEH-000138</v>
          </cell>
          <cell r="Q752" t="str">
            <v>CC046</v>
          </cell>
          <cell r="R752" t="str">
            <v>Flat Trucks Logistics</v>
          </cell>
        </row>
        <row r="753">
          <cell r="I753" t="str">
            <v>MVEH-000139</v>
          </cell>
          <cell r="Q753" t="str">
            <v>CC046</v>
          </cell>
          <cell r="R753" t="str">
            <v>Flat Trucks Logistics</v>
          </cell>
        </row>
        <row r="754">
          <cell r="I754" t="str">
            <v>MVEH-000140</v>
          </cell>
          <cell r="Q754" t="str">
            <v>CC046</v>
          </cell>
          <cell r="R754" t="str">
            <v>Flat Trucks Logistics</v>
          </cell>
        </row>
        <row r="755">
          <cell r="I755" t="str">
            <v>MVEH-000270</v>
          </cell>
          <cell r="Q755" t="str">
            <v>CC046</v>
          </cell>
          <cell r="R755" t="str">
            <v>Flat Trucks Logistics</v>
          </cell>
        </row>
        <row r="756">
          <cell r="I756" t="str">
            <v>MVEH-000272</v>
          </cell>
          <cell r="Q756" t="str">
            <v>CC046</v>
          </cell>
          <cell r="R756" t="str">
            <v>Flat Trucks Logistics</v>
          </cell>
        </row>
        <row r="757">
          <cell r="I757" t="str">
            <v>MVEH-000277</v>
          </cell>
          <cell r="Q757" t="str">
            <v>CC046</v>
          </cell>
          <cell r="R757" t="str">
            <v>Flat Trucks Logistics</v>
          </cell>
        </row>
        <row r="758">
          <cell r="I758" t="str">
            <v>MVEH-000290</v>
          </cell>
          <cell r="Q758" t="str">
            <v>CC046</v>
          </cell>
          <cell r="R758" t="str">
            <v>Flat Trucks Logistics</v>
          </cell>
        </row>
        <row r="759">
          <cell r="I759" t="str">
            <v>MVEH-000302</v>
          </cell>
          <cell r="Q759" t="str">
            <v>CC046</v>
          </cell>
          <cell r="R759" t="str">
            <v>Flat Trucks Logistics</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2)"/>
      <sheetName val="Sheet1"/>
      <sheetName val="Fleet Master"/>
      <sheetName val="Sheet2"/>
      <sheetName val="Available Bodies"/>
      <sheetName val="Addtional "/>
      <sheetName val="Action Needed"/>
      <sheetName val="Trucks Without Body"/>
    </sheetNames>
    <sheetDataSet>
      <sheetData sheetId="0"/>
      <sheetData sheetId="1"/>
      <sheetData sheetId="2">
        <row r="3">
          <cell r="D3" t="str">
            <v>MVEH-000140</v>
          </cell>
          <cell r="F3" t="str">
            <v>35T</v>
          </cell>
        </row>
        <row r="4">
          <cell r="D4" t="str">
            <v>MVEH-000293</v>
          </cell>
          <cell r="F4" t="str">
            <v>30T</v>
          </cell>
        </row>
        <row r="5">
          <cell r="D5" t="str">
            <v>MVEH-000134</v>
          </cell>
          <cell r="F5" t="str">
            <v>30T</v>
          </cell>
        </row>
        <row r="6">
          <cell r="D6" t="str">
            <v>MVEH-000277</v>
          </cell>
          <cell r="F6" t="str">
            <v>35T</v>
          </cell>
        </row>
        <row r="7">
          <cell r="D7" t="str">
            <v>MVEH-000354</v>
          </cell>
          <cell r="F7" t="str">
            <v>45T</v>
          </cell>
        </row>
        <row r="8">
          <cell r="D8" t="str">
            <v>MVEH-000386</v>
          </cell>
          <cell r="F8" t="str">
            <v>45T</v>
          </cell>
        </row>
        <row r="9">
          <cell r="D9" t="str">
            <v>MVEH-000341</v>
          </cell>
          <cell r="F9" t="str">
            <v>45T</v>
          </cell>
        </row>
        <row r="10">
          <cell r="D10" t="str">
            <v>MVEH-000385</v>
          </cell>
          <cell r="F10" t="str">
            <v>45T</v>
          </cell>
        </row>
        <row r="11">
          <cell r="D11" t="str">
            <v>MVEH-000355</v>
          </cell>
          <cell r="F11" t="str">
            <v>45T</v>
          </cell>
        </row>
        <row r="12">
          <cell r="D12" t="str">
            <v>MVEH-000360</v>
          </cell>
          <cell r="F12" t="str">
            <v>45T</v>
          </cell>
        </row>
        <row r="13">
          <cell r="D13" t="str">
            <v>MVEH-000328</v>
          </cell>
          <cell r="F13" t="str">
            <v>45T</v>
          </cell>
        </row>
        <row r="14">
          <cell r="D14" t="str">
            <v>MVEH-000361</v>
          </cell>
          <cell r="F14" t="str">
            <v>45T</v>
          </cell>
        </row>
        <row r="15">
          <cell r="D15" t="str">
            <v>MVEH-000458</v>
          </cell>
          <cell r="F15" t="str">
            <v>45T</v>
          </cell>
        </row>
        <row r="16">
          <cell r="D16" t="str">
            <v>MVEH-000463</v>
          </cell>
          <cell r="F16" t="str">
            <v>45T</v>
          </cell>
        </row>
        <row r="17">
          <cell r="D17" t="str">
            <v>MVEH-000471</v>
          </cell>
          <cell r="F17" t="str">
            <v>45T</v>
          </cell>
        </row>
        <row r="18">
          <cell r="D18" t="str">
            <v>MVEH-000456</v>
          </cell>
          <cell r="F18" t="str">
            <v>45T</v>
          </cell>
        </row>
        <row r="19">
          <cell r="D19" t="str">
            <v>MVEH-000469</v>
          </cell>
          <cell r="F19" t="str">
            <v>45T</v>
          </cell>
        </row>
        <row r="20">
          <cell r="D20" t="str">
            <v>MVEH-000465</v>
          </cell>
          <cell r="F20" t="str">
            <v>45T</v>
          </cell>
        </row>
        <row r="21">
          <cell r="D21" t="str">
            <v>MVEH-000345</v>
          </cell>
          <cell r="F21" t="str">
            <v>45T</v>
          </cell>
        </row>
        <row r="22">
          <cell r="D22" t="str">
            <v>MVEH-000461</v>
          </cell>
          <cell r="F22" t="str">
            <v>45T</v>
          </cell>
        </row>
        <row r="23">
          <cell r="D23" t="str">
            <v>MVEH-000138</v>
          </cell>
          <cell r="F23" t="str">
            <v>30T</v>
          </cell>
        </row>
        <row r="24">
          <cell r="D24" t="str">
            <v>MVEH-000139</v>
          </cell>
          <cell r="F24" t="str">
            <v>30T</v>
          </cell>
        </row>
        <row r="25">
          <cell r="D25" t="str">
            <v>MVEH-000337</v>
          </cell>
          <cell r="F25" t="str">
            <v>30T</v>
          </cell>
        </row>
        <row r="26">
          <cell r="D26" t="str">
            <v>MVEH-000270</v>
          </cell>
          <cell r="F26" t="str">
            <v>30T</v>
          </cell>
        </row>
        <row r="27">
          <cell r="D27" t="str">
            <v>MVEH-000343</v>
          </cell>
          <cell r="F27" t="str">
            <v>30T</v>
          </cell>
        </row>
        <row r="28">
          <cell r="D28" t="str">
            <v>MVEH-000339</v>
          </cell>
          <cell r="F28" t="str">
            <v>30T</v>
          </cell>
        </row>
        <row r="29">
          <cell r="D29" t="str">
            <v>MVEH-000286</v>
          </cell>
          <cell r="F29" t="str">
            <v>30T</v>
          </cell>
        </row>
        <row r="30">
          <cell r="D30" t="str">
            <v>MVEH-000291</v>
          </cell>
          <cell r="F30" t="str">
            <v>30T</v>
          </cell>
        </row>
        <row r="31">
          <cell r="D31"/>
          <cell r="F31" t="str">
            <v>30T</v>
          </cell>
        </row>
        <row r="32">
          <cell r="D32" t="str">
            <v>MVEH-000362</v>
          </cell>
          <cell r="F32" t="str">
            <v>30T</v>
          </cell>
        </row>
        <row r="33">
          <cell r="D33" t="str">
            <v>MVEH-000292</v>
          </cell>
          <cell r="F33" t="str">
            <v>30T</v>
          </cell>
        </row>
        <row r="34">
          <cell r="D34" t="str">
            <v>MVEH-000279</v>
          </cell>
          <cell r="F34" t="str">
            <v>30T</v>
          </cell>
        </row>
        <row r="35">
          <cell r="D35"/>
          <cell r="F35" t="str">
            <v>30T</v>
          </cell>
        </row>
        <row r="36">
          <cell r="D36" t="str">
            <v>MVEH-000290</v>
          </cell>
          <cell r="F36" t="str">
            <v>30T</v>
          </cell>
        </row>
        <row r="37">
          <cell r="D37" t="str">
            <v>MVEH-000464</v>
          </cell>
          <cell r="F37" t="str">
            <v>30T</v>
          </cell>
        </row>
        <row r="38">
          <cell r="D38" t="str">
            <v>MVEH-000387</v>
          </cell>
          <cell r="F38" t="str">
            <v>45T</v>
          </cell>
        </row>
        <row r="39">
          <cell r="D39" t="str">
            <v>MVEH-000303</v>
          </cell>
          <cell r="F39" t="str">
            <v>30T</v>
          </cell>
        </row>
        <row r="40">
          <cell r="D40" t="str">
            <v>MVEH-000332</v>
          </cell>
          <cell r="F40" t="str">
            <v>30T</v>
          </cell>
        </row>
        <row r="41">
          <cell r="D41" t="str">
            <v>MVEH-000455</v>
          </cell>
          <cell r="F41" t="str">
            <v>45T</v>
          </cell>
        </row>
        <row r="42">
          <cell r="D42" t="str">
            <v>MVEH-000457</v>
          </cell>
          <cell r="F42" t="str">
            <v>45T</v>
          </cell>
        </row>
        <row r="43">
          <cell r="D43" t="str">
            <v>MVEH-000460</v>
          </cell>
          <cell r="F43" t="str">
            <v>45T</v>
          </cell>
        </row>
        <row r="44">
          <cell r="D44" t="str">
            <v>MVEH-000453</v>
          </cell>
          <cell r="F44" t="str">
            <v>45T</v>
          </cell>
        </row>
        <row r="45">
          <cell r="D45" t="str">
            <v>MVEH-000466</v>
          </cell>
          <cell r="F45" t="str">
            <v>45T</v>
          </cell>
        </row>
        <row r="46">
          <cell r="D46" t="str">
            <v>MVEH-000454</v>
          </cell>
          <cell r="F46" t="str">
            <v>45T</v>
          </cell>
        </row>
        <row r="47">
          <cell r="D47" t="str">
            <v>MVEH-000472</v>
          </cell>
          <cell r="F47" t="str">
            <v>45T</v>
          </cell>
        </row>
        <row r="48">
          <cell r="D48" t="str">
            <v>MVEH-000330</v>
          </cell>
          <cell r="F48" t="str">
            <v>30T</v>
          </cell>
        </row>
        <row r="49">
          <cell r="D49" t="str">
            <v>MVEH-000135</v>
          </cell>
          <cell r="F49" t="str">
            <v>30T</v>
          </cell>
        </row>
        <row r="50">
          <cell r="D50" t="str">
            <v>MVEH-000133</v>
          </cell>
          <cell r="F50" t="str">
            <v>30T</v>
          </cell>
        </row>
        <row r="51">
          <cell r="D51" t="str">
            <v>N/A</v>
          </cell>
          <cell r="F51"/>
        </row>
        <row r="52">
          <cell r="D52" t="str">
            <v>N/A</v>
          </cell>
          <cell r="F52"/>
        </row>
      </sheetData>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17C8-ED29-4D63-A358-BFA21611CBE0}">
  <dimension ref="A1:H125"/>
  <sheetViews>
    <sheetView topLeftCell="A7" workbookViewId="0">
      <selection activeCell="C17" sqref="C17"/>
    </sheetView>
  </sheetViews>
  <sheetFormatPr defaultRowHeight="14.4" x14ac:dyDescent="0.3"/>
  <cols>
    <col min="1" max="1" width="12.6640625" style="12" bestFit="1" customWidth="1"/>
    <col min="2" max="2" width="14" style="12" customWidth="1"/>
    <col min="3" max="3" width="71.5546875" style="12" bestFit="1" customWidth="1"/>
    <col min="4" max="4" width="8.88671875" style="12"/>
    <col min="5" max="5" width="13.109375" style="12" bestFit="1" customWidth="1"/>
    <col min="6" max="6" width="11.44140625" style="12" bestFit="1" customWidth="1"/>
    <col min="7" max="7" width="18.33203125" style="12" bestFit="1" customWidth="1"/>
    <col min="8" max="8" width="18.6640625" style="12" bestFit="1" customWidth="1"/>
    <col min="9" max="16384" width="8.88671875" style="12"/>
  </cols>
  <sheetData>
    <row r="1" spans="1:8" x14ac:dyDescent="0.3">
      <c r="A1" s="95" t="s">
        <v>1607</v>
      </c>
      <c r="B1" s="96" t="s">
        <v>1608</v>
      </c>
      <c r="C1" s="95" t="s">
        <v>1609</v>
      </c>
      <c r="D1" s="97" t="s">
        <v>1610</v>
      </c>
      <c r="E1" s="97" t="s">
        <v>1611</v>
      </c>
      <c r="F1" s="97" t="s">
        <v>4592</v>
      </c>
      <c r="G1" s="97" t="s">
        <v>4593</v>
      </c>
      <c r="H1" s="97" t="s">
        <v>4594</v>
      </c>
    </row>
    <row r="2" spans="1:8" x14ac:dyDescent="0.3">
      <c r="A2" s="50" t="s">
        <v>1615</v>
      </c>
      <c r="B2" s="79" t="s">
        <v>1616</v>
      </c>
      <c r="C2" s="50" t="s">
        <v>1617</v>
      </c>
      <c r="D2" s="12" t="s">
        <v>1618</v>
      </c>
      <c r="E2" s="12" t="s">
        <v>1619</v>
      </c>
      <c r="F2" s="12" t="s">
        <v>4595</v>
      </c>
      <c r="G2" s="12" t="str">
        <f>_xlfn.XLOOKUP(A2,'[3]Budgets 2027'!I$3:I$759,'[3]Budgets 2027'!Q$3:Q$759)</f>
        <v>CC046</v>
      </c>
      <c r="H2" s="12" t="str">
        <f>_xlfn.XLOOKUP(A2,'[3]Budgets 2027'!I$3:I$759,'[3]Budgets 2027'!R$3:R$759)</f>
        <v>Flat Trucks Logistics</v>
      </c>
    </row>
    <row r="3" spans="1:8" x14ac:dyDescent="0.3">
      <c r="A3" s="54" t="s">
        <v>1624</v>
      </c>
      <c r="B3" s="79" t="s">
        <v>1625</v>
      </c>
      <c r="C3" s="54" t="s">
        <v>1617</v>
      </c>
      <c r="D3" s="12" t="s">
        <v>1618</v>
      </c>
      <c r="E3" s="12" t="s">
        <v>1619</v>
      </c>
      <c r="F3" s="12" t="s">
        <v>4595</v>
      </c>
      <c r="G3" s="12" t="str">
        <f>_xlfn.XLOOKUP(A3,'[3]Budgets 2027'!I$3:I$759,'[3]Budgets 2027'!Q$3:Q$759)</f>
        <v>CC046</v>
      </c>
      <c r="H3" s="12" t="str">
        <f>_xlfn.XLOOKUP(A3,'[3]Budgets 2027'!I$3:I$759,'[3]Budgets 2027'!R$3:R$759)</f>
        <v>Flat Trucks Logistics</v>
      </c>
    </row>
    <row r="4" spans="1:8" x14ac:dyDescent="0.3">
      <c r="A4" s="54" t="s">
        <v>1629</v>
      </c>
      <c r="B4" s="79" t="s">
        <v>1630</v>
      </c>
      <c r="C4" s="54" t="s">
        <v>1631</v>
      </c>
      <c r="D4" s="12" t="s">
        <v>1618</v>
      </c>
      <c r="E4" s="12" t="s">
        <v>1619</v>
      </c>
      <c r="F4" s="12" t="s">
        <v>4595</v>
      </c>
      <c r="G4" s="12" t="str">
        <f>_xlfn.XLOOKUP(A4,'[3]Budgets 2027'!I$3:I$759,'[3]Budgets 2027'!Q$3:Q$759)</f>
        <v>CC046</v>
      </c>
      <c r="H4" s="12" t="str">
        <f>_xlfn.XLOOKUP(A4,'[3]Budgets 2027'!I$3:I$759,'[3]Budgets 2027'!R$3:R$759)</f>
        <v>Flat Trucks Logistics</v>
      </c>
    </row>
    <row r="5" spans="1:8" x14ac:dyDescent="0.3">
      <c r="A5" s="54" t="s">
        <v>1635</v>
      </c>
      <c r="B5" s="79" t="s">
        <v>1636</v>
      </c>
      <c r="C5" s="54" t="s">
        <v>1617</v>
      </c>
      <c r="D5" s="12" t="s">
        <v>1618</v>
      </c>
      <c r="E5" s="12" t="s">
        <v>1619</v>
      </c>
      <c r="F5" s="12" t="s">
        <v>4595</v>
      </c>
      <c r="G5" s="12" t="str">
        <f>_xlfn.XLOOKUP(A5,'[3]Budgets 2027'!I$3:I$759,'[3]Budgets 2027'!Q$3:Q$759)</f>
        <v>CC046</v>
      </c>
      <c r="H5" s="12" t="str">
        <f>_xlfn.XLOOKUP(A5,'[3]Budgets 2027'!I$3:I$759,'[3]Budgets 2027'!R$3:R$759)</f>
        <v>Flat Trucks Logistics</v>
      </c>
    </row>
    <row r="6" spans="1:8" x14ac:dyDescent="0.3">
      <c r="A6" s="54" t="s">
        <v>1640</v>
      </c>
      <c r="B6" s="79" t="s">
        <v>1641</v>
      </c>
      <c r="C6" s="54" t="s">
        <v>1617</v>
      </c>
      <c r="D6" s="12" t="s">
        <v>42</v>
      </c>
      <c r="E6" s="12" t="s">
        <v>1619</v>
      </c>
      <c r="F6" s="12" t="s">
        <v>4595</v>
      </c>
      <c r="G6" s="12" t="str">
        <f>_xlfn.XLOOKUP(A6,'[3]Budgets 2027'!I$3:I$759,'[3]Budgets 2027'!Q$3:Q$759)</f>
        <v>CC046</v>
      </c>
      <c r="H6" s="12" t="str">
        <f>_xlfn.XLOOKUP(A6,'[3]Budgets 2027'!I$3:I$759,'[3]Budgets 2027'!R$3:R$759)</f>
        <v>Flat Trucks Logistics</v>
      </c>
    </row>
    <row r="7" spans="1:8" x14ac:dyDescent="0.3">
      <c r="A7" s="54" t="s">
        <v>1645</v>
      </c>
      <c r="B7" s="79" t="s">
        <v>1646</v>
      </c>
      <c r="C7" s="54" t="s">
        <v>1617</v>
      </c>
      <c r="D7" s="12" t="s">
        <v>1618</v>
      </c>
      <c r="E7" s="12" t="s">
        <v>1619</v>
      </c>
      <c r="F7" s="12" t="s">
        <v>4595</v>
      </c>
      <c r="G7" s="12" t="str">
        <f>_xlfn.XLOOKUP(A7,'[3]Budgets 2027'!I$3:I$759,'[3]Budgets 2027'!Q$3:Q$759)</f>
        <v>CC046</v>
      </c>
      <c r="H7" s="12" t="str">
        <f>_xlfn.XLOOKUP(A7,'[3]Budgets 2027'!I$3:I$759,'[3]Budgets 2027'!R$3:R$759)</f>
        <v>Flat Trucks Logistics</v>
      </c>
    </row>
    <row r="8" spans="1:8" x14ac:dyDescent="0.3">
      <c r="A8" s="50" t="s">
        <v>1649</v>
      </c>
      <c r="B8" s="79" t="s">
        <v>1650</v>
      </c>
      <c r="C8" s="50" t="s">
        <v>1617</v>
      </c>
      <c r="D8" s="12" t="s">
        <v>1618</v>
      </c>
      <c r="E8" s="12" t="s">
        <v>1619</v>
      </c>
      <c r="F8" s="12" t="s">
        <v>4595</v>
      </c>
      <c r="G8" s="12" t="str">
        <f>_xlfn.XLOOKUP(A8,'[3]Budgets 2027'!I$3:I$759,'[3]Budgets 2027'!Q$3:Q$759)</f>
        <v>CC046</v>
      </c>
      <c r="H8" s="12" t="str">
        <f>_xlfn.XLOOKUP(A8,'[3]Budgets 2027'!I$3:I$759,'[3]Budgets 2027'!R$3:R$759)</f>
        <v>Flat Trucks Logistics</v>
      </c>
    </row>
    <row r="9" spans="1:8" x14ac:dyDescent="0.3">
      <c r="A9" s="54" t="s">
        <v>1653</v>
      </c>
      <c r="B9" s="79" t="s">
        <v>1654</v>
      </c>
      <c r="C9" s="54" t="s">
        <v>1655</v>
      </c>
      <c r="D9" s="12" t="s">
        <v>1656</v>
      </c>
      <c r="E9" s="12" t="s">
        <v>1657</v>
      </c>
      <c r="F9" s="12" t="s">
        <v>4595</v>
      </c>
      <c r="G9" s="12" t="str">
        <f>_xlfn.XLOOKUP(A9,'[3]Budgets 2027'!I$3:I$759,'[3]Budgets 2027'!Q$3:Q$759)</f>
        <v>CC037</v>
      </c>
      <c r="H9" s="12" t="str">
        <f>_xlfn.XLOOKUP(A9,'[3]Budgets 2027'!I$3:I$759,'[3]Budgets 2027'!R$3:R$759)</f>
        <v>General Overhead</v>
      </c>
    </row>
    <row r="10" spans="1:8" x14ac:dyDescent="0.3">
      <c r="A10" s="50" t="s">
        <v>1658</v>
      </c>
      <c r="B10" s="79" t="s">
        <v>1659</v>
      </c>
      <c r="C10" s="50" t="s">
        <v>1617</v>
      </c>
      <c r="D10" s="12" t="s">
        <v>1618</v>
      </c>
      <c r="E10" s="12" t="s">
        <v>1619</v>
      </c>
      <c r="F10" s="12" t="s">
        <v>4595</v>
      </c>
      <c r="G10" s="12" t="str">
        <f>_xlfn.XLOOKUP(A10,'[3]Budgets 2027'!I$3:I$759,'[3]Budgets 2027'!Q$3:Q$759)</f>
        <v>CC046</v>
      </c>
      <c r="H10" s="12" t="str">
        <f>_xlfn.XLOOKUP(A10,'[3]Budgets 2027'!I$3:I$759,'[3]Budgets 2027'!R$3:R$759)</f>
        <v>Flat Trucks Logistics</v>
      </c>
    </row>
    <row r="11" spans="1:8" x14ac:dyDescent="0.3">
      <c r="A11" s="54" t="s">
        <v>1663</v>
      </c>
      <c r="B11" s="79" t="s">
        <v>1664</v>
      </c>
      <c r="C11" s="54" t="s">
        <v>1617</v>
      </c>
      <c r="D11" s="12" t="s">
        <v>1618</v>
      </c>
      <c r="E11" s="12" t="s">
        <v>1619</v>
      </c>
      <c r="F11" s="12" t="s">
        <v>4595</v>
      </c>
      <c r="G11" s="12" t="str">
        <f>_xlfn.XLOOKUP(A11,'[3]Budgets 2027'!I$3:I$759,'[3]Budgets 2027'!Q$3:Q$759)</f>
        <v>CC046</v>
      </c>
      <c r="H11" s="12" t="str">
        <f>_xlfn.XLOOKUP(A11,'[3]Budgets 2027'!I$3:I$759,'[3]Budgets 2027'!R$3:R$759)</f>
        <v>Flat Trucks Logistics</v>
      </c>
    </row>
    <row r="12" spans="1:8" x14ac:dyDescent="0.3">
      <c r="A12" s="50" t="s">
        <v>1667</v>
      </c>
      <c r="B12" s="79" t="s">
        <v>1668</v>
      </c>
      <c r="C12" s="50" t="s">
        <v>1617</v>
      </c>
      <c r="D12" s="12" t="s">
        <v>1618</v>
      </c>
      <c r="E12" s="12" t="s">
        <v>1619</v>
      </c>
      <c r="F12" s="12" t="s">
        <v>4595</v>
      </c>
      <c r="G12" s="12" t="str">
        <f>_xlfn.XLOOKUP(A12,'[3]Budgets 2027'!I$3:I$759,'[3]Budgets 2027'!Q$3:Q$759)</f>
        <v>CC046</v>
      </c>
      <c r="H12" s="12" t="str">
        <f>_xlfn.XLOOKUP(A12,'[3]Budgets 2027'!I$3:I$759,'[3]Budgets 2027'!R$3:R$759)</f>
        <v>Flat Trucks Logistics</v>
      </c>
    </row>
    <row r="13" spans="1:8" x14ac:dyDescent="0.3">
      <c r="A13" s="54" t="s">
        <v>1672</v>
      </c>
      <c r="B13" s="79" t="s">
        <v>1673</v>
      </c>
      <c r="C13" s="54" t="s">
        <v>1674</v>
      </c>
      <c r="D13" s="12" t="s">
        <v>1618</v>
      </c>
      <c r="E13" s="12" t="s">
        <v>1619</v>
      </c>
      <c r="F13" s="12" t="s">
        <v>4595</v>
      </c>
      <c r="G13" s="12" t="str">
        <f>_xlfn.XLOOKUP(A13,'[3]Budgets 2027'!I$3:I$759,'[3]Budgets 2027'!Q$3:Q$759)</f>
        <v>CC046</v>
      </c>
      <c r="H13" s="12" t="str">
        <f>_xlfn.XLOOKUP(A13,'[3]Budgets 2027'!I$3:I$759,'[3]Budgets 2027'!R$3:R$759)</f>
        <v>Flat Trucks Logistics</v>
      </c>
    </row>
    <row r="14" spans="1:8" x14ac:dyDescent="0.3">
      <c r="A14" s="50" t="s">
        <v>1675</v>
      </c>
      <c r="B14" s="79" t="s">
        <v>1676</v>
      </c>
      <c r="C14" s="50" t="s">
        <v>1677</v>
      </c>
      <c r="D14" s="12" t="s">
        <v>1618</v>
      </c>
      <c r="E14" s="12" t="s">
        <v>1619</v>
      </c>
      <c r="F14" s="12" t="s">
        <v>4595</v>
      </c>
      <c r="G14" s="12" t="str">
        <f>_xlfn.XLOOKUP(A14,'[3]Budgets 2027'!I$3:I$759,'[3]Budgets 2027'!Q$3:Q$759)</f>
        <v>CC046</v>
      </c>
      <c r="H14" s="12" t="str">
        <f>_xlfn.XLOOKUP(A14,'[3]Budgets 2027'!I$3:I$759,'[3]Budgets 2027'!R$3:R$759)</f>
        <v>Flat Trucks Logistics</v>
      </c>
    </row>
    <row r="15" spans="1:8" x14ac:dyDescent="0.3">
      <c r="A15" s="54" t="s">
        <v>1681</v>
      </c>
      <c r="B15" s="79" t="s">
        <v>1682</v>
      </c>
      <c r="C15" s="54" t="s">
        <v>1617</v>
      </c>
      <c r="D15" s="12" t="s">
        <v>1618</v>
      </c>
      <c r="E15" s="12" t="s">
        <v>1619</v>
      </c>
      <c r="F15" s="12" t="s">
        <v>4595</v>
      </c>
      <c r="G15" s="12" t="str">
        <f>_xlfn.XLOOKUP(A15,'[3]Budgets 2027'!I$3:I$759,'[3]Budgets 2027'!Q$3:Q$759)</f>
        <v>CC046</v>
      </c>
      <c r="H15" s="12" t="str">
        <f>_xlfn.XLOOKUP(A15,'[3]Budgets 2027'!I$3:I$759,'[3]Budgets 2027'!R$3:R$759)</f>
        <v>Flat Trucks Logistics</v>
      </c>
    </row>
    <row r="16" spans="1:8" x14ac:dyDescent="0.3">
      <c r="A16" s="54" t="s">
        <v>1686</v>
      </c>
      <c r="B16" s="79" t="s">
        <v>1687</v>
      </c>
      <c r="C16" s="54" t="s">
        <v>1688</v>
      </c>
      <c r="D16" s="12" t="s">
        <v>42</v>
      </c>
      <c r="E16" s="12" t="s">
        <v>1619</v>
      </c>
      <c r="F16" s="12" t="s">
        <v>4595</v>
      </c>
      <c r="G16" s="12" t="str">
        <f>_xlfn.XLOOKUP(A16,'[3]Budgets 2027'!I$3:I$759,'[3]Budgets 2027'!Q$3:Q$759)</f>
        <v>CC046</v>
      </c>
      <c r="H16" s="12" t="str">
        <f>_xlfn.XLOOKUP(A16,'[3]Budgets 2027'!I$3:I$759,'[3]Budgets 2027'!R$3:R$759)</f>
        <v>Flat Trucks Logistics</v>
      </c>
    </row>
    <row r="17" spans="1:8" x14ac:dyDescent="0.3">
      <c r="A17" s="54" t="s">
        <v>1692</v>
      </c>
      <c r="B17" s="79" t="s">
        <v>1693</v>
      </c>
      <c r="C17" s="54" t="s">
        <v>1694</v>
      </c>
      <c r="D17" s="12" t="s">
        <v>42</v>
      </c>
      <c r="E17" s="12" t="s">
        <v>1695</v>
      </c>
      <c r="F17" s="12" t="s">
        <v>4595</v>
      </c>
      <c r="G17" s="12" t="str">
        <f>_xlfn.XLOOKUP(A17,'[3]Budgets 2027'!I$3:I$759,'[3]Budgets 2027'!Q$3:Q$759)</f>
        <v>CC059</v>
      </c>
      <c r="H17" s="12" t="str">
        <f>_xlfn.XLOOKUP(A17,'[3]Budgets 2027'!I$3:I$759,'[3]Budgets 2027'!R$3:R$759)</f>
        <v>Haulage</v>
      </c>
    </row>
    <row r="18" spans="1:8" x14ac:dyDescent="0.3">
      <c r="A18" s="50" t="s">
        <v>1699</v>
      </c>
      <c r="B18" s="79" t="s">
        <v>1700</v>
      </c>
      <c r="C18" s="50" t="s">
        <v>1701</v>
      </c>
      <c r="D18" s="12" t="s">
        <v>23</v>
      </c>
      <c r="E18" s="12" t="s">
        <v>1702</v>
      </c>
      <c r="F18" s="12" t="s">
        <v>4595</v>
      </c>
      <c r="G18" s="12" t="str">
        <f>_xlfn.XLOOKUP(A18,'[3]Budgets 2027'!I$3:I$759,'[3]Budgets 2027'!Q$3:Q$759)</f>
        <v>CC059</v>
      </c>
      <c r="H18" s="12" t="str">
        <f>_xlfn.XLOOKUP(A18,'[3]Budgets 2027'!I$3:I$759,'[3]Budgets 2027'!R$3:R$759)</f>
        <v>Haulage</v>
      </c>
    </row>
    <row r="19" spans="1:8" x14ac:dyDescent="0.3">
      <c r="A19" s="50" t="s">
        <v>1706</v>
      </c>
      <c r="B19" s="79" t="s">
        <v>1707</v>
      </c>
      <c r="C19" s="50" t="s">
        <v>1701</v>
      </c>
      <c r="D19" s="12" t="s">
        <v>23</v>
      </c>
      <c r="E19" s="12" t="s">
        <v>1702</v>
      </c>
      <c r="F19" s="12" t="s">
        <v>4595</v>
      </c>
      <c r="G19" s="12" t="str">
        <f>_xlfn.XLOOKUP(A19,'[3]Budgets 2027'!I$3:I$759,'[3]Budgets 2027'!Q$3:Q$759)</f>
        <v>CC059</v>
      </c>
      <c r="H19" s="12" t="str">
        <f>_xlfn.XLOOKUP(A19,'[3]Budgets 2027'!I$3:I$759,'[3]Budgets 2027'!R$3:R$759)</f>
        <v>Haulage</v>
      </c>
    </row>
    <row r="20" spans="1:8" x14ac:dyDescent="0.3">
      <c r="A20" s="50" t="s">
        <v>1711</v>
      </c>
      <c r="B20" s="79" t="s">
        <v>1712</v>
      </c>
      <c r="C20" s="50" t="s">
        <v>1701</v>
      </c>
      <c r="D20" s="12" t="s">
        <v>23</v>
      </c>
      <c r="E20" s="12" t="s">
        <v>1702</v>
      </c>
      <c r="F20" s="12" t="s">
        <v>4595</v>
      </c>
      <c r="G20" s="12" t="str">
        <f>_xlfn.XLOOKUP(A20,'[3]Budgets 2027'!I$3:I$759,'[3]Budgets 2027'!Q$3:Q$759)</f>
        <v>CC059</v>
      </c>
      <c r="H20" s="12" t="str">
        <f>_xlfn.XLOOKUP(A20,'[3]Budgets 2027'!I$3:I$759,'[3]Budgets 2027'!R$3:R$759)</f>
        <v>Haulage</v>
      </c>
    </row>
    <row r="21" spans="1:8" x14ac:dyDescent="0.3">
      <c r="A21" s="50" t="s">
        <v>1713</v>
      </c>
      <c r="B21" s="79" t="s">
        <v>1714</v>
      </c>
      <c r="C21" s="50" t="s">
        <v>1715</v>
      </c>
      <c r="D21" s="12" t="s">
        <v>23</v>
      </c>
      <c r="E21" s="12" t="s">
        <v>1702</v>
      </c>
      <c r="F21" s="12" t="s">
        <v>4595</v>
      </c>
      <c r="G21" s="12" t="str">
        <f>_xlfn.XLOOKUP(A21,'[3]Budgets 2027'!I$3:I$759,'[3]Budgets 2027'!Q$3:Q$759)</f>
        <v>CC059</v>
      </c>
      <c r="H21" s="12" t="str">
        <f>_xlfn.XLOOKUP(A21,'[3]Budgets 2027'!I$3:I$759,'[3]Budgets 2027'!R$3:R$759)</f>
        <v>Haulage</v>
      </c>
    </row>
    <row r="22" spans="1:8" x14ac:dyDescent="0.3">
      <c r="A22" s="54" t="s">
        <v>1719</v>
      </c>
      <c r="B22" s="79" t="s">
        <v>1720</v>
      </c>
      <c r="C22" s="54" t="s">
        <v>1701</v>
      </c>
      <c r="D22" s="12" t="s">
        <v>23</v>
      </c>
      <c r="E22" s="12" t="s">
        <v>1702</v>
      </c>
      <c r="F22" s="12" t="s">
        <v>4595</v>
      </c>
      <c r="G22" s="12" t="str">
        <f>_xlfn.XLOOKUP(A22,'[3]Budgets 2027'!I$3:I$759,'[3]Budgets 2027'!Q$3:Q$759)</f>
        <v>CC059</v>
      </c>
      <c r="H22" s="12" t="str">
        <f>_xlfn.XLOOKUP(A22,'[3]Budgets 2027'!I$3:I$759,'[3]Budgets 2027'!R$3:R$759)</f>
        <v>Haulage</v>
      </c>
    </row>
    <row r="23" spans="1:8" x14ac:dyDescent="0.3">
      <c r="A23" s="54" t="s">
        <v>1724</v>
      </c>
      <c r="B23" s="79" t="s">
        <v>1725</v>
      </c>
      <c r="C23" s="54" t="s">
        <v>1715</v>
      </c>
      <c r="D23" s="12" t="s">
        <v>23</v>
      </c>
      <c r="E23" s="12" t="s">
        <v>1726</v>
      </c>
      <c r="F23" s="12" t="s">
        <v>4595</v>
      </c>
      <c r="G23" s="12" t="str">
        <f>_xlfn.XLOOKUP(A23,'[3]Budgets 2027'!I$3:I$759,'[3]Budgets 2027'!Q$3:Q$759)</f>
        <v>CC059</v>
      </c>
      <c r="H23" s="12" t="str">
        <f>_xlfn.XLOOKUP(A23,'[3]Budgets 2027'!I$3:I$759,'[3]Budgets 2027'!R$3:R$759)</f>
        <v>Haulage</v>
      </c>
    </row>
    <row r="24" spans="1:8" x14ac:dyDescent="0.3">
      <c r="A24" s="54" t="s">
        <v>1730</v>
      </c>
      <c r="B24" s="79" t="s">
        <v>1731</v>
      </c>
      <c r="C24" s="54" t="s">
        <v>1715</v>
      </c>
      <c r="D24" s="12" t="s">
        <v>23</v>
      </c>
      <c r="E24" s="12" t="s">
        <v>1702</v>
      </c>
      <c r="F24" s="12" t="s">
        <v>4595</v>
      </c>
      <c r="G24" s="12" t="str">
        <f>_xlfn.XLOOKUP(A24,'[3]Budgets 2027'!I$3:I$759,'[3]Budgets 2027'!Q$3:Q$759)</f>
        <v>CC059</v>
      </c>
      <c r="H24" s="12" t="str">
        <f>_xlfn.XLOOKUP(A24,'[3]Budgets 2027'!I$3:I$759,'[3]Budgets 2027'!R$3:R$759)</f>
        <v>Haulage</v>
      </c>
    </row>
    <row r="25" spans="1:8" x14ac:dyDescent="0.3">
      <c r="A25" s="54" t="s">
        <v>1735</v>
      </c>
      <c r="B25" s="79" t="s">
        <v>1736</v>
      </c>
      <c r="C25" s="54" t="s">
        <v>1715</v>
      </c>
      <c r="D25" s="12" t="s">
        <v>23</v>
      </c>
      <c r="E25" s="12" t="s">
        <v>1702</v>
      </c>
      <c r="F25" s="12" t="s">
        <v>4595</v>
      </c>
      <c r="G25" s="12" t="str">
        <f>_xlfn.XLOOKUP(A25,'[3]Budgets 2027'!I$3:I$759,'[3]Budgets 2027'!Q$3:Q$759)</f>
        <v>CC059</v>
      </c>
      <c r="H25" s="12" t="str">
        <f>_xlfn.XLOOKUP(A25,'[3]Budgets 2027'!I$3:I$759,'[3]Budgets 2027'!R$3:R$759)</f>
        <v>Haulage</v>
      </c>
    </row>
    <row r="26" spans="1:8" x14ac:dyDescent="0.3">
      <c r="A26" s="54" t="s">
        <v>1740</v>
      </c>
      <c r="B26" s="79" t="s">
        <v>1741</v>
      </c>
      <c r="C26" s="54" t="s">
        <v>1715</v>
      </c>
      <c r="D26" s="12" t="s">
        <v>23</v>
      </c>
      <c r="E26" s="12" t="s">
        <v>1702</v>
      </c>
      <c r="F26" s="12" t="s">
        <v>4595</v>
      </c>
      <c r="G26" s="12" t="str">
        <f>_xlfn.XLOOKUP(A26,'[3]Budgets 2027'!I$3:I$759,'[3]Budgets 2027'!Q$3:Q$759)</f>
        <v>CC059</v>
      </c>
      <c r="H26" s="12" t="str">
        <f>_xlfn.XLOOKUP(A26,'[3]Budgets 2027'!I$3:I$759,'[3]Budgets 2027'!R$3:R$759)</f>
        <v>Haulage</v>
      </c>
    </row>
    <row r="27" spans="1:8" x14ac:dyDescent="0.3">
      <c r="A27" s="50" t="s">
        <v>1745</v>
      </c>
      <c r="B27" s="79" t="s">
        <v>1746</v>
      </c>
      <c r="C27" s="50" t="s">
        <v>1715</v>
      </c>
      <c r="D27" s="12" t="s">
        <v>23</v>
      </c>
      <c r="E27" s="12" t="s">
        <v>1702</v>
      </c>
      <c r="F27" s="12" t="s">
        <v>4595</v>
      </c>
      <c r="G27" s="12" t="str">
        <f>_xlfn.XLOOKUP(A27,'[3]Budgets 2027'!I$3:I$759,'[3]Budgets 2027'!Q$3:Q$759)</f>
        <v>CC059</v>
      </c>
      <c r="H27" s="12" t="str">
        <f>_xlfn.XLOOKUP(A27,'[3]Budgets 2027'!I$3:I$759,'[3]Budgets 2027'!R$3:R$759)</f>
        <v>Haulage</v>
      </c>
    </row>
    <row r="28" spans="1:8" x14ac:dyDescent="0.3">
      <c r="A28" s="54" t="s">
        <v>1750</v>
      </c>
      <c r="B28" s="79" t="s">
        <v>1751</v>
      </c>
      <c r="C28" s="54" t="s">
        <v>1617</v>
      </c>
      <c r="D28" s="12" t="s">
        <v>1618</v>
      </c>
      <c r="E28" s="12" t="s">
        <v>1619</v>
      </c>
      <c r="F28" s="12" t="s">
        <v>4595</v>
      </c>
      <c r="G28" s="12" t="str">
        <f>_xlfn.XLOOKUP(A28,'[3]Budgets 2027'!I$3:I$759,'[3]Budgets 2027'!Q$3:Q$759)</f>
        <v>CC059</v>
      </c>
      <c r="H28" s="12" t="str">
        <f>_xlfn.XLOOKUP(A28,'[3]Budgets 2027'!I$3:I$759,'[3]Budgets 2027'!R$3:R$759)</f>
        <v>Haulage</v>
      </c>
    </row>
    <row r="29" spans="1:8" x14ac:dyDescent="0.3">
      <c r="A29" s="54" t="s">
        <v>1755</v>
      </c>
      <c r="B29" s="79" t="s">
        <v>1756</v>
      </c>
      <c r="C29" s="54" t="s">
        <v>1757</v>
      </c>
      <c r="D29" s="12" t="s">
        <v>23</v>
      </c>
      <c r="E29" s="12" t="s">
        <v>1695</v>
      </c>
      <c r="F29" s="12" t="s">
        <v>4595</v>
      </c>
      <c r="G29" s="12" t="str">
        <f>_xlfn.XLOOKUP(A29,'[3]Budgets 2027'!I$3:I$759,'[3]Budgets 2027'!Q$3:Q$759)</f>
        <v>CC059</v>
      </c>
      <c r="H29" s="12" t="str">
        <f>_xlfn.XLOOKUP(A29,'[3]Budgets 2027'!I$3:I$759,'[3]Budgets 2027'!R$3:R$759)</f>
        <v>Haulage</v>
      </c>
    </row>
    <row r="30" spans="1:8" x14ac:dyDescent="0.3">
      <c r="A30" s="50" t="s">
        <v>1761</v>
      </c>
      <c r="B30" s="79" t="s">
        <v>1762</v>
      </c>
      <c r="C30" s="50" t="s">
        <v>1694</v>
      </c>
      <c r="D30" s="12" t="s">
        <v>42</v>
      </c>
      <c r="E30" s="12" t="s">
        <v>1695</v>
      </c>
      <c r="F30" s="12" t="s">
        <v>4595</v>
      </c>
      <c r="G30" s="12" t="str">
        <f>_xlfn.XLOOKUP(A30,'[3]Budgets 2027'!I$3:I$759,'[3]Budgets 2027'!Q$3:Q$759)</f>
        <v>CC059</v>
      </c>
      <c r="H30" s="12" t="str">
        <f>_xlfn.XLOOKUP(A30,'[3]Budgets 2027'!I$3:I$759,'[3]Budgets 2027'!R$3:R$759)</f>
        <v>Haulage</v>
      </c>
    </row>
    <row r="31" spans="1:8" x14ac:dyDescent="0.3">
      <c r="A31" s="50" t="s">
        <v>1766</v>
      </c>
      <c r="B31" s="79" t="s">
        <v>1767</v>
      </c>
      <c r="C31" s="50" t="s">
        <v>1757</v>
      </c>
      <c r="D31" s="12" t="s">
        <v>23</v>
      </c>
      <c r="E31" s="12" t="s">
        <v>1695</v>
      </c>
      <c r="F31" s="12" t="s">
        <v>4595</v>
      </c>
      <c r="G31" s="12" t="str">
        <f>_xlfn.XLOOKUP(A31,'[3]Budgets 2027'!I$3:I$759,'[3]Budgets 2027'!Q$3:Q$759)</f>
        <v>CC059</v>
      </c>
      <c r="H31" s="12" t="str">
        <f>_xlfn.XLOOKUP(A31,'[3]Budgets 2027'!I$3:I$759,'[3]Budgets 2027'!R$3:R$759)</f>
        <v>Haulage</v>
      </c>
    </row>
    <row r="32" spans="1:8" x14ac:dyDescent="0.3">
      <c r="A32" s="54" t="s">
        <v>1771</v>
      </c>
      <c r="B32" s="79" t="s">
        <v>1772</v>
      </c>
      <c r="C32" s="54" t="s">
        <v>1757</v>
      </c>
      <c r="D32" s="12" t="s">
        <v>23</v>
      </c>
      <c r="E32" s="12" t="s">
        <v>1619</v>
      </c>
      <c r="F32" s="12" t="s">
        <v>4595</v>
      </c>
      <c r="G32" s="12" t="str">
        <f>_xlfn.XLOOKUP(A32,'[3]Budgets 2027'!I$3:I$759,'[3]Budgets 2027'!Q$3:Q$759)</f>
        <v>CC059</v>
      </c>
      <c r="H32" s="12" t="str">
        <f>_xlfn.XLOOKUP(A32,'[3]Budgets 2027'!I$3:I$759,'[3]Budgets 2027'!R$3:R$759)</f>
        <v>Haulage</v>
      </c>
    </row>
    <row r="33" spans="1:8" x14ac:dyDescent="0.3">
      <c r="A33" s="98" t="s">
        <v>1776</v>
      </c>
      <c r="B33" s="79" t="s">
        <v>1777</v>
      </c>
      <c r="C33" s="98" t="s">
        <v>1778</v>
      </c>
      <c r="D33" s="12" t="s">
        <v>23</v>
      </c>
      <c r="E33" s="12" t="s">
        <v>1702</v>
      </c>
      <c r="F33" s="12" t="s">
        <v>4595</v>
      </c>
      <c r="G33" s="12" t="str">
        <f>_xlfn.XLOOKUP(A33,'[3]Budgets 2027'!I$3:I$759,'[3]Budgets 2027'!Q$3:Q$759)</f>
        <v>CC059</v>
      </c>
      <c r="H33" s="12" t="str">
        <f>_xlfn.XLOOKUP(A33,'[3]Budgets 2027'!I$3:I$759,'[3]Budgets 2027'!R$3:R$759)</f>
        <v>Haulage</v>
      </c>
    </row>
    <row r="34" spans="1:8" x14ac:dyDescent="0.3">
      <c r="A34" s="98" t="s">
        <v>1782</v>
      </c>
      <c r="B34" s="79" t="s">
        <v>1783</v>
      </c>
      <c r="C34" s="98" t="s">
        <v>1778</v>
      </c>
      <c r="D34" s="12" t="s">
        <v>23</v>
      </c>
      <c r="E34" s="12" t="s">
        <v>1702</v>
      </c>
      <c r="F34" s="12" t="s">
        <v>4595</v>
      </c>
      <c r="G34" s="12" t="str">
        <f>_xlfn.XLOOKUP(A34,'[3]Budgets 2027'!I$3:I$759,'[3]Budgets 2027'!Q$3:Q$759)</f>
        <v>CC059</v>
      </c>
      <c r="H34" s="12" t="str">
        <f>_xlfn.XLOOKUP(A34,'[3]Budgets 2027'!I$3:I$759,'[3]Budgets 2027'!R$3:R$759)</f>
        <v>Haulage</v>
      </c>
    </row>
    <row r="35" spans="1:8" x14ac:dyDescent="0.3">
      <c r="A35" s="98" t="s">
        <v>1787</v>
      </c>
      <c r="B35" s="79" t="s">
        <v>1788</v>
      </c>
      <c r="C35" s="98" t="s">
        <v>1778</v>
      </c>
      <c r="D35" s="12" t="s">
        <v>23</v>
      </c>
      <c r="E35" s="12" t="s">
        <v>1702</v>
      </c>
      <c r="F35" s="12" t="s">
        <v>4595</v>
      </c>
      <c r="G35" s="12" t="str">
        <f>_xlfn.XLOOKUP(A35,'[3]Budgets 2027'!I$3:I$759,'[3]Budgets 2027'!Q$3:Q$759)</f>
        <v>CC059</v>
      </c>
      <c r="H35" s="12" t="str">
        <f>_xlfn.XLOOKUP(A35,'[3]Budgets 2027'!I$3:I$759,'[3]Budgets 2027'!R$3:R$759)</f>
        <v>Haulage</v>
      </c>
    </row>
    <row r="36" spans="1:8" x14ac:dyDescent="0.3">
      <c r="A36" s="98" t="s">
        <v>1792</v>
      </c>
      <c r="B36" s="79" t="s">
        <v>1793</v>
      </c>
      <c r="C36" s="98" t="s">
        <v>1778</v>
      </c>
      <c r="D36" s="12" t="s">
        <v>23</v>
      </c>
      <c r="E36" s="12" t="s">
        <v>1702</v>
      </c>
      <c r="F36" s="12" t="s">
        <v>4595</v>
      </c>
      <c r="G36" s="12" t="str">
        <f>_xlfn.XLOOKUP(A36,'[3]Budgets 2027'!I$3:I$759,'[3]Budgets 2027'!Q$3:Q$759)</f>
        <v>CC059</v>
      </c>
      <c r="H36" s="12" t="str">
        <f>_xlfn.XLOOKUP(A36,'[3]Budgets 2027'!I$3:I$759,'[3]Budgets 2027'!R$3:R$759)</f>
        <v>Haulage</v>
      </c>
    </row>
    <row r="37" spans="1:8" x14ac:dyDescent="0.3">
      <c r="A37" s="98" t="s">
        <v>1797</v>
      </c>
      <c r="B37" s="79" t="s">
        <v>1798</v>
      </c>
      <c r="C37" s="98" t="s">
        <v>1778</v>
      </c>
      <c r="D37" s="12" t="s">
        <v>23</v>
      </c>
      <c r="E37" s="12" t="s">
        <v>1702</v>
      </c>
      <c r="F37" s="12" t="s">
        <v>4595</v>
      </c>
      <c r="G37" s="12" t="str">
        <f>_xlfn.XLOOKUP(A37,'[3]Budgets 2027'!I$3:I$759,'[3]Budgets 2027'!Q$3:Q$759)</f>
        <v>CC059</v>
      </c>
      <c r="H37" s="12" t="str">
        <f>_xlfn.XLOOKUP(A37,'[3]Budgets 2027'!I$3:I$759,'[3]Budgets 2027'!R$3:R$759)</f>
        <v>Haulage</v>
      </c>
    </row>
    <row r="38" spans="1:8" x14ac:dyDescent="0.3">
      <c r="A38" s="98" t="s">
        <v>1802</v>
      </c>
      <c r="B38" s="79" t="s">
        <v>1803</v>
      </c>
      <c r="C38" s="98" t="s">
        <v>1778</v>
      </c>
      <c r="D38" s="12" t="s">
        <v>23</v>
      </c>
      <c r="E38" s="12" t="s">
        <v>1702</v>
      </c>
      <c r="F38" s="12" t="s">
        <v>4595</v>
      </c>
      <c r="G38" s="12" t="str">
        <f>_xlfn.XLOOKUP(A38,'[3]Budgets 2027'!I$3:I$759,'[3]Budgets 2027'!Q$3:Q$759)</f>
        <v>CC059</v>
      </c>
      <c r="H38" s="12" t="str">
        <f>_xlfn.XLOOKUP(A38,'[3]Budgets 2027'!I$3:I$759,'[3]Budgets 2027'!R$3:R$759)</f>
        <v>Haulage</v>
      </c>
    </row>
    <row r="39" spans="1:8" x14ac:dyDescent="0.3">
      <c r="A39" s="98" t="s">
        <v>1807</v>
      </c>
      <c r="B39" s="79" t="s">
        <v>1808</v>
      </c>
      <c r="C39" s="98" t="s">
        <v>1778</v>
      </c>
      <c r="D39" s="12" t="s">
        <v>23</v>
      </c>
      <c r="E39" s="12" t="s">
        <v>1702</v>
      </c>
      <c r="F39" s="12" t="s">
        <v>4595</v>
      </c>
      <c r="G39" s="12" t="str">
        <f>_xlfn.XLOOKUP(A39,'[3]Budgets 2027'!I$3:I$759,'[3]Budgets 2027'!Q$3:Q$759)</f>
        <v>CC059</v>
      </c>
      <c r="H39" s="12" t="str">
        <f>_xlfn.XLOOKUP(A39,'[3]Budgets 2027'!I$3:I$759,'[3]Budgets 2027'!R$3:R$759)</f>
        <v>Haulage</v>
      </c>
    </row>
    <row r="40" spans="1:8" x14ac:dyDescent="0.3">
      <c r="A40" s="98" t="s">
        <v>1812</v>
      </c>
      <c r="B40" s="79" t="s">
        <v>1813</v>
      </c>
      <c r="C40" s="98" t="s">
        <v>1778</v>
      </c>
      <c r="D40" s="12" t="s">
        <v>23</v>
      </c>
      <c r="E40" s="12" t="s">
        <v>1702</v>
      </c>
      <c r="F40" s="12" t="s">
        <v>4595</v>
      </c>
      <c r="G40" s="12" t="str">
        <f>_xlfn.XLOOKUP(A40,'[3]Budgets 2027'!I$3:I$759,'[3]Budgets 2027'!Q$3:Q$759)</f>
        <v>CC059</v>
      </c>
      <c r="H40" s="12" t="str">
        <f>_xlfn.XLOOKUP(A40,'[3]Budgets 2027'!I$3:I$759,'[3]Budgets 2027'!R$3:R$759)</f>
        <v>Haulage</v>
      </c>
    </row>
    <row r="41" spans="1:8" x14ac:dyDescent="0.3">
      <c r="A41" s="98" t="s">
        <v>1817</v>
      </c>
      <c r="B41" s="79" t="s">
        <v>1818</v>
      </c>
      <c r="C41" s="98" t="s">
        <v>1778</v>
      </c>
      <c r="D41" s="12" t="s">
        <v>23</v>
      </c>
      <c r="E41" s="12" t="s">
        <v>1702</v>
      </c>
      <c r="F41" s="12" t="s">
        <v>4595</v>
      </c>
      <c r="G41" s="12" t="str">
        <f>_xlfn.XLOOKUP(A41,'[3]Budgets 2027'!I$3:I$759,'[3]Budgets 2027'!Q$3:Q$759)</f>
        <v>CC059</v>
      </c>
      <c r="H41" s="12" t="str">
        <f>_xlfn.XLOOKUP(A41,'[3]Budgets 2027'!I$3:I$759,'[3]Budgets 2027'!R$3:R$759)</f>
        <v>Haulage</v>
      </c>
    </row>
    <row r="42" spans="1:8" x14ac:dyDescent="0.3">
      <c r="A42" s="98" t="s">
        <v>1820</v>
      </c>
      <c r="B42" s="79" t="s">
        <v>1821</v>
      </c>
      <c r="C42" s="98" t="s">
        <v>1778</v>
      </c>
      <c r="D42" s="12" t="s">
        <v>23</v>
      </c>
      <c r="E42" s="12" t="s">
        <v>1702</v>
      </c>
      <c r="F42" s="12" t="s">
        <v>4595</v>
      </c>
      <c r="G42" s="12" t="str">
        <f>_xlfn.XLOOKUP(A42,'[3]Budgets 2027'!I$3:I$759,'[3]Budgets 2027'!Q$3:Q$759)</f>
        <v>CC059</v>
      </c>
      <c r="H42" s="12" t="str">
        <f>_xlfn.XLOOKUP(A42,'[3]Budgets 2027'!I$3:I$759,'[3]Budgets 2027'!R$3:R$759)</f>
        <v>Haulage</v>
      </c>
    </row>
    <row r="43" spans="1:8" x14ac:dyDescent="0.3">
      <c r="A43" s="98" t="s">
        <v>1825</v>
      </c>
      <c r="B43" s="79" t="s">
        <v>1826</v>
      </c>
      <c r="C43" s="98" t="s">
        <v>1827</v>
      </c>
      <c r="D43" s="12" t="s">
        <v>23</v>
      </c>
      <c r="E43" s="12" t="s">
        <v>1828</v>
      </c>
      <c r="F43" s="12" t="s">
        <v>4595</v>
      </c>
      <c r="G43" s="12" t="str">
        <f>_xlfn.XLOOKUP(A43,'[3]Budgets 2027'!I$3:I$759,'[3]Budgets 2027'!Q$3:Q$759)</f>
        <v>CC059</v>
      </c>
      <c r="H43" s="12" t="str">
        <f>_xlfn.XLOOKUP(A43,'[3]Budgets 2027'!I$3:I$759,'[3]Budgets 2027'!R$3:R$759)</f>
        <v>Haulage</v>
      </c>
    </row>
    <row r="44" spans="1:8" x14ac:dyDescent="0.3">
      <c r="A44" s="98" t="s">
        <v>1832</v>
      </c>
      <c r="B44" s="79" t="s">
        <v>1833</v>
      </c>
      <c r="C44" s="98" t="s">
        <v>1827</v>
      </c>
      <c r="D44" s="12" t="s">
        <v>23</v>
      </c>
      <c r="E44" s="12" t="s">
        <v>1702</v>
      </c>
      <c r="F44" s="12" t="s">
        <v>4595</v>
      </c>
      <c r="G44" s="12" t="str">
        <f>_xlfn.XLOOKUP(A44,'[3]Budgets 2027'!I$3:I$759,'[3]Budgets 2027'!Q$3:Q$759)</f>
        <v>CC059</v>
      </c>
      <c r="H44" s="12" t="str">
        <f>_xlfn.XLOOKUP(A44,'[3]Budgets 2027'!I$3:I$759,'[3]Budgets 2027'!R$3:R$759)</f>
        <v>Haulage</v>
      </c>
    </row>
    <row r="45" spans="1:8" x14ac:dyDescent="0.3">
      <c r="A45" s="98" t="s">
        <v>1837</v>
      </c>
      <c r="B45" s="79" t="s">
        <v>1838</v>
      </c>
      <c r="C45" s="98" t="s">
        <v>1827</v>
      </c>
      <c r="D45" s="12" t="s">
        <v>23</v>
      </c>
      <c r="E45" s="12" t="s">
        <v>1702</v>
      </c>
      <c r="F45" s="12" t="s">
        <v>4595</v>
      </c>
      <c r="G45" s="12" t="str">
        <f>_xlfn.XLOOKUP(A45,'[3]Budgets 2027'!I$3:I$759,'[3]Budgets 2027'!Q$3:Q$759)</f>
        <v>CC059</v>
      </c>
      <c r="H45" s="12" t="str">
        <f>_xlfn.XLOOKUP(A45,'[3]Budgets 2027'!I$3:I$759,'[3]Budgets 2027'!R$3:R$759)</f>
        <v>Haulage</v>
      </c>
    </row>
    <row r="46" spans="1:8" x14ac:dyDescent="0.3">
      <c r="A46" s="98" t="s">
        <v>1842</v>
      </c>
      <c r="B46" s="79" t="s">
        <v>1843</v>
      </c>
      <c r="C46" s="98" t="s">
        <v>1827</v>
      </c>
      <c r="D46" s="12" t="s">
        <v>23</v>
      </c>
      <c r="E46" s="12" t="s">
        <v>1702</v>
      </c>
      <c r="F46" s="12" t="s">
        <v>4595</v>
      </c>
      <c r="G46" s="12" t="str">
        <f>_xlfn.XLOOKUP(A46,'[3]Budgets 2027'!I$3:I$759,'[3]Budgets 2027'!Q$3:Q$759)</f>
        <v>CC059</v>
      </c>
      <c r="H46" s="12" t="str">
        <f>_xlfn.XLOOKUP(A46,'[3]Budgets 2027'!I$3:I$759,'[3]Budgets 2027'!R$3:R$759)</f>
        <v>Haulage</v>
      </c>
    </row>
    <row r="47" spans="1:8" x14ac:dyDescent="0.3">
      <c r="A47" s="98" t="s">
        <v>1847</v>
      </c>
      <c r="B47" s="79" t="s">
        <v>1848</v>
      </c>
      <c r="C47" s="98" t="s">
        <v>1827</v>
      </c>
      <c r="D47" s="12" t="s">
        <v>23</v>
      </c>
      <c r="E47" s="12" t="s">
        <v>1702</v>
      </c>
      <c r="F47" s="12" t="s">
        <v>4595</v>
      </c>
      <c r="G47" s="12" t="str">
        <f>_xlfn.XLOOKUP(A47,'[3]Budgets 2027'!I$3:I$759,'[3]Budgets 2027'!Q$3:Q$759)</f>
        <v>CC059</v>
      </c>
      <c r="H47" s="12" t="str">
        <f>_xlfn.XLOOKUP(A47,'[3]Budgets 2027'!I$3:I$759,'[3]Budgets 2027'!R$3:R$759)</f>
        <v>Haulage</v>
      </c>
    </row>
    <row r="48" spans="1:8" x14ac:dyDescent="0.3">
      <c r="A48" s="98" t="s">
        <v>1852</v>
      </c>
      <c r="B48" s="79" t="s">
        <v>1853</v>
      </c>
      <c r="C48" s="98" t="s">
        <v>1827</v>
      </c>
      <c r="D48" s="12" t="s">
        <v>23</v>
      </c>
      <c r="E48" s="12" t="s">
        <v>1702</v>
      </c>
      <c r="F48" s="12" t="s">
        <v>4595</v>
      </c>
      <c r="G48" s="12" t="str">
        <f>_xlfn.XLOOKUP(A48,'[3]Budgets 2027'!I$3:I$759,'[3]Budgets 2027'!Q$3:Q$759)</f>
        <v>CC059</v>
      </c>
      <c r="H48" s="12" t="str">
        <f>_xlfn.XLOOKUP(A48,'[3]Budgets 2027'!I$3:I$759,'[3]Budgets 2027'!R$3:R$759)</f>
        <v>Haulage</v>
      </c>
    </row>
    <row r="49" spans="1:8" x14ac:dyDescent="0.3">
      <c r="A49" s="98" t="s">
        <v>1857</v>
      </c>
      <c r="B49" s="79" t="s">
        <v>1858</v>
      </c>
      <c r="C49" s="98" t="s">
        <v>1827</v>
      </c>
      <c r="D49" s="12" t="s">
        <v>23</v>
      </c>
      <c r="E49" s="12" t="s">
        <v>1702</v>
      </c>
      <c r="F49" s="12" t="s">
        <v>4595</v>
      </c>
      <c r="G49" s="12" t="str">
        <f>_xlfn.XLOOKUP(A49,'[3]Budgets 2027'!I$3:I$759,'[3]Budgets 2027'!Q$3:Q$759)</f>
        <v>CC059</v>
      </c>
      <c r="H49" s="12" t="str">
        <f>_xlfn.XLOOKUP(A49,'[3]Budgets 2027'!I$3:I$759,'[3]Budgets 2027'!R$3:R$759)</f>
        <v>Haulage</v>
      </c>
    </row>
    <row r="50" spans="1:8" x14ac:dyDescent="0.3">
      <c r="A50" s="98" t="s">
        <v>1862</v>
      </c>
      <c r="B50" s="79" t="s">
        <v>1863</v>
      </c>
      <c r="C50" s="98" t="s">
        <v>1827</v>
      </c>
      <c r="D50" s="12" t="s">
        <v>23</v>
      </c>
      <c r="E50" s="12" t="s">
        <v>1702</v>
      </c>
      <c r="F50" s="12" t="s">
        <v>4595</v>
      </c>
      <c r="G50" s="12" t="str">
        <f>_xlfn.XLOOKUP(A50,'[3]Budgets 2027'!I$3:I$759,'[3]Budgets 2027'!Q$3:Q$759)</f>
        <v>CC059</v>
      </c>
      <c r="H50" s="12" t="str">
        <f>_xlfn.XLOOKUP(A50,'[3]Budgets 2027'!I$3:I$759,'[3]Budgets 2027'!R$3:R$759)</f>
        <v>Haulage</v>
      </c>
    </row>
    <row r="51" spans="1:8" x14ac:dyDescent="0.3">
      <c r="A51" s="98" t="s">
        <v>1867</v>
      </c>
      <c r="B51" s="79" t="s">
        <v>1868</v>
      </c>
      <c r="C51" s="98" t="s">
        <v>1827</v>
      </c>
      <c r="D51" s="12" t="s">
        <v>23</v>
      </c>
      <c r="E51" s="12" t="s">
        <v>1702</v>
      </c>
      <c r="F51" s="12" t="s">
        <v>4595</v>
      </c>
      <c r="G51" s="12" t="str">
        <f>_xlfn.XLOOKUP(A51,'[3]Budgets 2027'!I$3:I$759,'[3]Budgets 2027'!Q$3:Q$759)</f>
        <v>CC059</v>
      </c>
      <c r="H51" s="12" t="str">
        <f>_xlfn.XLOOKUP(A51,'[3]Budgets 2027'!I$3:I$759,'[3]Budgets 2027'!R$3:R$759)</f>
        <v>Haulage</v>
      </c>
    </row>
    <row r="52" spans="1:8" x14ac:dyDescent="0.3">
      <c r="A52" s="98" t="s">
        <v>1872</v>
      </c>
      <c r="B52" s="79" t="s">
        <v>1873</v>
      </c>
      <c r="C52" s="98" t="s">
        <v>1827</v>
      </c>
      <c r="D52" s="12" t="s">
        <v>23</v>
      </c>
      <c r="E52" s="12" t="s">
        <v>1702</v>
      </c>
      <c r="F52" s="12" t="s">
        <v>4595</v>
      </c>
      <c r="G52" s="12" t="str">
        <f>_xlfn.XLOOKUP(A52,'[3]Budgets 2027'!I$3:I$759,'[3]Budgets 2027'!Q$3:Q$759)</f>
        <v>CC059</v>
      </c>
      <c r="H52" s="12" t="str">
        <f>_xlfn.XLOOKUP(A52,'[3]Budgets 2027'!I$3:I$759,'[3]Budgets 2027'!R$3:R$759)</f>
        <v>Haulage</v>
      </c>
    </row>
    <row r="53" spans="1:8" x14ac:dyDescent="0.3">
      <c r="A53" s="54" t="s">
        <v>1877</v>
      </c>
      <c r="B53" s="79" t="s">
        <v>1878</v>
      </c>
      <c r="C53" s="54" t="s">
        <v>1879</v>
      </c>
      <c r="D53" s="12" t="s">
        <v>591</v>
      </c>
      <c r="E53" s="12" t="s">
        <v>1880</v>
      </c>
      <c r="F53" s="12" t="s">
        <v>1543</v>
      </c>
      <c r="G53" s="12" t="str">
        <f>_xlfn.XLOOKUP(A53,'[3]Budgets 2027'!I$3:I$759,'[3]Budgets 2027'!Q$3:Q$759)</f>
        <v>CC039</v>
      </c>
      <c r="H53" s="12" t="str">
        <f>_xlfn.XLOOKUP(A53,'[3]Budgets 2027'!I$3:I$759,'[3]Budgets 2027'!R$3:R$759)</f>
        <v>Hiabs Logistics</v>
      </c>
    </row>
    <row r="54" spans="1:8" x14ac:dyDescent="0.3">
      <c r="A54" s="54" t="s">
        <v>1884</v>
      </c>
      <c r="B54" s="79" t="s">
        <v>1885</v>
      </c>
      <c r="C54" s="54" t="s">
        <v>1886</v>
      </c>
      <c r="D54" s="12" t="s">
        <v>1887</v>
      </c>
      <c r="E54" s="12" t="s">
        <v>1880</v>
      </c>
      <c r="F54" s="12" t="s">
        <v>1543</v>
      </c>
      <c r="G54" s="12" t="str">
        <f>_xlfn.XLOOKUP(A54,'[3]Budgets 2027'!I$3:I$759,'[3]Budgets 2027'!Q$3:Q$759)</f>
        <v>CC039</v>
      </c>
      <c r="H54" s="12" t="str">
        <f>_xlfn.XLOOKUP(A54,'[3]Budgets 2027'!I$3:I$759,'[3]Budgets 2027'!R$3:R$759)</f>
        <v>Hiabs Logistics</v>
      </c>
    </row>
    <row r="55" spans="1:8" x14ac:dyDescent="0.3">
      <c r="A55" s="50" t="s">
        <v>1891</v>
      </c>
      <c r="B55" s="79" t="s">
        <v>1892</v>
      </c>
      <c r="C55" s="50" t="s">
        <v>1879</v>
      </c>
      <c r="D55" s="12" t="s">
        <v>591</v>
      </c>
      <c r="E55" s="12" t="s">
        <v>1880</v>
      </c>
      <c r="F55" s="12" t="s">
        <v>1543</v>
      </c>
      <c r="G55" s="12" t="str">
        <f>_xlfn.XLOOKUP(A55,'[3]Budgets 2027'!I$3:I$759,'[3]Budgets 2027'!Q$3:Q$759)</f>
        <v>CC039</v>
      </c>
      <c r="H55" s="12" t="str">
        <f>_xlfn.XLOOKUP(A55,'[3]Budgets 2027'!I$3:I$759,'[3]Budgets 2027'!R$3:R$759)</f>
        <v>Hiabs Logistics</v>
      </c>
    </row>
    <row r="56" spans="1:8" x14ac:dyDescent="0.3">
      <c r="A56" s="54" t="s">
        <v>1896</v>
      </c>
      <c r="B56" s="79" t="s">
        <v>1897</v>
      </c>
      <c r="C56" s="54" t="s">
        <v>1879</v>
      </c>
      <c r="D56" s="12" t="s">
        <v>591</v>
      </c>
      <c r="E56" s="12" t="s">
        <v>1880</v>
      </c>
      <c r="F56" s="12" t="s">
        <v>1543</v>
      </c>
      <c r="G56" s="12" t="str">
        <f>_xlfn.XLOOKUP(A56,'[3]Budgets 2027'!I$3:I$759,'[3]Budgets 2027'!Q$3:Q$759)</f>
        <v>CC039</v>
      </c>
      <c r="H56" s="12" t="str">
        <f>_xlfn.XLOOKUP(A56,'[3]Budgets 2027'!I$3:I$759,'[3]Budgets 2027'!R$3:R$759)</f>
        <v>Hiabs Logistics</v>
      </c>
    </row>
    <row r="57" spans="1:8" x14ac:dyDescent="0.3">
      <c r="A57" s="50" t="s">
        <v>1901</v>
      </c>
      <c r="B57" s="79" t="s">
        <v>1902</v>
      </c>
      <c r="C57" s="50" t="s">
        <v>1879</v>
      </c>
      <c r="D57" s="12" t="s">
        <v>591</v>
      </c>
      <c r="E57" s="12" t="s">
        <v>1880</v>
      </c>
      <c r="F57" s="12" t="s">
        <v>1543</v>
      </c>
      <c r="G57" s="12" t="str">
        <f>_xlfn.XLOOKUP(A57,'[3]Budgets 2027'!I$3:I$759,'[3]Budgets 2027'!Q$3:Q$759)</f>
        <v>CC039</v>
      </c>
      <c r="H57" s="12" t="str">
        <f>_xlfn.XLOOKUP(A57,'[3]Budgets 2027'!I$3:I$759,'[3]Budgets 2027'!R$3:R$759)</f>
        <v>Hiabs Logistics</v>
      </c>
    </row>
    <row r="58" spans="1:8" x14ac:dyDescent="0.3">
      <c r="A58" s="50" t="s">
        <v>1906</v>
      </c>
      <c r="B58" s="79" t="s">
        <v>1907</v>
      </c>
      <c r="C58" s="50" t="s">
        <v>1908</v>
      </c>
      <c r="D58" s="12" t="s">
        <v>587</v>
      </c>
      <c r="E58" s="12" t="s">
        <v>1880</v>
      </c>
      <c r="F58" s="12" t="s">
        <v>1543</v>
      </c>
      <c r="G58" s="12" t="str">
        <f>_xlfn.XLOOKUP(A58,'[3]Budgets 2027'!I$3:I$759,'[3]Budgets 2027'!Q$3:Q$759)</f>
        <v>CC039</v>
      </c>
      <c r="H58" s="12" t="str">
        <f>_xlfn.XLOOKUP(A58,'[3]Budgets 2027'!I$3:I$759,'[3]Budgets 2027'!R$3:R$759)</f>
        <v>Hiabs Logistics</v>
      </c>
    </row>
    <row r="59" spans="1:8" x14ac:dyDescent="0.3">
      <c r="A59" s="54" t="s">
        <v>1912</v>
      </c>
      <c r="B59" s="79" t="s">
        <v>1913</v>
      </c>
      <c r="C59" s="54" t="s">
        <v>1908</v>
      </c>
      <c r="D59" s="12" t="s">
        <v>587</v>
      </c>
      <c r="E59" s="12" t="s">
        <v>1880</v>
      </c>
      <c r="F59" s="12" t="s">
        <v>1543</v>
      </c>
      <c r="G59" s="12" t="str">
        <f>_xlfn.XLOOKUP(A59,'[3]Budgets 2027'!I$3:I$759,'[3]Budgets 2027'!Q$3:Q$759)</f>
        <v>CC039</v>
      </c>
      <c r="H59" s="12" t="str">
        <f>_xlfn.XLOOKUP(A59,'[3]Budgets 2027'!I$3:I$759,'[3]Budgets 2027'!R$3:R$759)</f>
        <v>Hiabs Logistics</v>
      </c>
    </row>
    <row r="60" spans="1:8" x14ac:dyDescent="0.3">
      <c r="A60" s="50" t="s">
        <v>1917</v>
      </c>
      <c r="B60" s="79" t="s">
        <v>1918</v>
      </c>
      <c r="C60" s="50" t="s">
        <v>1919</v>
      </c>
      <c r="D60" s="12" t="s">
        <v>587</v>
      </c>
      <c r="E60" s="12" t="s">
        <v>1409</v>
      </c>
      <c r="F60" s="12" t="s">
        <v>4596</v>
      </c>
      <c r="G60" s="12" t="str">
        <f>_xlfn.XLOOKUP(A60,'[3]Budgets 2027'!I$3:I$759,'[3]Budgets 2027'!Q$3:Q$759)</f>
        <v>CC047</v>
      </c>
      <c r="H60" s="12" t="str">
        <f>_xlfn.XLOOKUP(A60,'[3]Budgets 2027'!I$3:I$759,'[3]Budgets 2027'!R$3:R$759)</f>
        <v>Closed Body Logistics</v>
      </c>
    </row>
    <row r="61" spans="1:8" x14ac:dyDescent="0.3">
      <c r="A61" s="50" t="s">
        <v>1923</v>
      </c>
      <c r="B61" s="79" t="s">
        <v>1924</v>
      </c>
      <c r="C61" s="50" t="s">
        <v>1925</v>
      </c>
      <c r="D61" s="12" t="s">
        <v>1926</v>
      </c>
      <c r="E61" s="12" t="s">
        <v>1927</v>
      </c>
      <c r="F61" s="12" t="s">
        <v>4597</v>
      </c>
      <c r="G61" s="12" t="str">
        <f>_xlfn.XLOOKUP(A61,'[3]Budgets 2027'!I$3:I$759,'[3]Budgets 2027'!Q$3:Q$759)</f>
        <v>CC047</v>
      </c>
      <c r="H61" s="12" t="str">
        <f>_xlfn.XLOOKUP(A61,'[3]Budgets 2027'!I$3:I$759,'[3]Budgets 2027'!R$3:R$759)</f>
        <v>Closed Body Logistics</v>
      </c>
    </row>
    <row r="62" spans="1:8" x14ac:dyDescent="0.3">
      <c r="A62" s="54" t="s">
        <v>1928</v>
      </c>
      <c r="B62" s="79" t="s">
        <v>1929</v>
      </c>
      <c r="C62" s="54" t="s">
        <v>1930</v>
      </c>
      <c r="D62" s="12" t="s">
        <v>42</v>
      </c>
      <c r="E62" s="12" t="s">
        <v>1656</v>
      </c>
      <c r="F62" s="12" t="s">
        <v>4596</v>
      </c>
      <c r="G62" s="12" t="str">
        <f>_xlfn.XLOOKUP(A62,'[3]Budgets 2027'!I$3:I$759,'[3]Budgets 2027'!Q$3:Q$759)</f>
        <v>CC047</v>
      </c>
      <c r="H62" s="12" t="str">
        <f>_xlfn.XLOOKUP(A62,'[3]Budgets 2027'!I$3:I$759,'[3]Budgets 2027'!R$3:R$759)</f>
        <v>Closed Body Logistics</v>
      </c>
    </row>
    <row r="63" spans="1:8" x14ac:dyDescent="0.3">
      <c r="A63" s="54" t="s">
        <v>1934</v>
      </c>
      <c r="B63" s="79" t="s">
        <v>1935</v>
      </c>
      <c r="C63" s="54" t="s">
        <v>1936</v>
      </c>
      <c r="D63" s="12" t="s">
        <v>1937</v>
      </c>
      <c r="E63" s="12" t="s">
        <v>1938</v>
      </c>
      <c r="F63" s="12" t="s">
        <v>4596</v>
      </c>
      <c r="G63" s="12" t="str">
        <f>_xlfn.XLOOKUP(A63,'[3]Budgets 2027'!I$3:I$759,'[3]Budgets 2027'!Q$3:Q$759)</f>
        <v>CC047</v>
      </c>
      <c r="H63" s="12" t="str">
        <f>_xlfn.XLOOKUP(A63,'[3]Budgets 2027'!I$3:I$759,'[3]Budgets 2027'!R$3:R$759)</f>
        <v>Closed Body Logistics</v>
      </c>
    </row>
    <row r="64" spans="1:8" x14ac:dyDescent="0.3">
      <c r="A64" s="50" t="s">
        <v>1942</v>
      </c>
      <c r="B64" s="79" t="s">
        <v>1943</v>
      </c>
      <c r="C64" s="50" t="s">
        <v>1944</v>
      </c>
      <c r="D64" s="12" t="s">
        <v>512</v>
      </c>
      <c r="E64" s="12" t="s">
        <v>1656</v>
      </c>
      <c r="F64" s="12" t="s">
        <v>4596</v>
      </c>
      <c r="G64" s="12" t="str">
        <f>_xlfn.XLOOKUP(A64,'[3]Budgets 2027'!I$3:I$759,'[3]Budgets 2027'!Q$3:Q$759)</f>
        <v>CC047</v>
      </c>
      <c r="H64" s="12" t="str">
        <f>_xlfn.XLOOKUP(A64,'[3]Budgets 2027'!I$3:I$759,'[3]Budgets 2027'!R$3:R$759)</f>
        <v>Closed Body Logistics</v>
      </c>
    </row>
    <row r="65" spans="1:8" x14ac:dyDescent="0.3">
      <c r="A65" s="54" t="s">
        <v>1948</v>
      </c>
      <c r="B65" s="79" t="s">
        <v>1949</v>
      </c>
      <c r="C65" s="54" t="s">
        <v>1950</v>
      </c>
      <c r="D65" s="12" t="s">
        <v>512</v>
      </c>
      <c r="E65" s="12" t="s">
        <v>1656</v>
      </c>
      <c r="F65" s="12" t="s">
        <v>4596</v>
      </c>
      <c r="G65" s="12" t="str">
        <f>_xlfn.XLOOKUP(A65,'[3]Budgets 2027'!I$3:I$759,'[3]Budgets 2027'!Q$3:Q$759)</f>
        <v>CC047</v>
      </c>
      <c r="H65" s="12" t="str">
        <f>_xlfn.XLOOKUP(A65,'[3]Budgets 2027'!I$3:I$759,'[3]Budgets 2027'!R$3:R$759)</f>
        <v>Closed Body Logistics</v>
      </c>
    </row>
    <row r="66" spans="1:8" x14ac:dyDescent="0.3">
      <c r="A66" s="50" t="s">
        <v>1954</v>
      </c>
      <c r="B66" s="79" t="s">
        <v>1955</v>
      </c>
      <c r="C66" s="50" t="s">
        <v>1879</v>
      </c>
      <c r="D66" s="12" t="s">
        <v>591</v>
      </c>
      <c r="E66" s="12" t="s">
        <v>1880</v>
      </c>
      <c r="F66" s="12" t="s">
        <v>1543</v>
      </c>
      <c r="G66" s="12" t="str">
        <f>_xlfn.XLOOKUP(A66,'[3]Budgets 2027'!I$3:I$759,'[3]Budgets 2027'!Q$3:Q$759)</f>
        <v>CC039</v>
      </c>
      <c r="H66" s="12" t="str">
        <f>_xlfn.XLOOKUP(A66,'[3]Budgets 2027'!I$3:I$759,'[3]Budgets 2027'!R$3:R$759)</f>
        <v>Hiabs Logistics</v>
      </c>
    </row>
    <row r="67" spans="1:8" x14ac:dyDescent="0.3">
      <c r="A67" s="50" t="s">
        <v>1959</v>
      </c>
      <c r="B67" s="79" t="s">
        <v>1960</v>
      </c>
      <c r="C67" s="50" t="s">
        <v>1930</v>
      </c>
      <c r="D67" s="12" t="s">
        <v>512</v>
      </c>
      <c r="E67" s="12" t="s">
        <v>1656</v>
      </c>
      <c r="F67" s="12" t="s">
        <v>4596</v>
      </c>
      <c r="G67" s="12" t="str">
        <f>_xlfn.XLOOKUP(A67,'[3]Budgets 2027'!I$3:I$759,'[3]Budgets 2027'!Q$3:Q$759)</f>
        <v>CC039</v>
      </c>
      <c r="H67" s="12" t="str">
        <f>_xlfn.XLOOKUP(A67,'[3]Budgets 2027'!I$3:I$759,'[3]Budgets 2027'!R$3:R$759)</f>
        <v>Closed Body Logistics</v>
      </c>
    </row>
    <row r="68" spans="1:8" x14ac:dyDescent="0.3">
      <c r="A68" s="54" t="s">
        <v>1964</v>
      </c>
      <c r="B68" s="79" t="s">
        <v>1965</v>
      </c>
      <c r="C68" s="54" t="s">
        <v>1966</v>
      </c>
      <c r="D68" s="12" t="s">
        <v>587</v>
      </c>
      <c r="E68" s="12" t="s">
        <v>1409</v>
      </c>
      <c r="F68" s="12" t="s">
        <v>4596</v>
      </c>
      <c r="G68" s="12" t="str">
        <f>_xlfn.XLOOKUP(A68,'[3]Budgets 2027'!I$3:I$759,'[3]Budgets 2027'!Q$3:Q$759)</f>
        <v>CC047</v>
      </c>
      <c r="H68" s="12" t="str">
        <f>_xlfn.XLOOKUP(A68,'[3]Budgets 2027'!I$3:I$759,'[3]Budgets 2027'!R$3:R$759)</f>
        <v>Closed Body Logistics</v>
      </c>
    </row>
    <row r="69" spans="1:8" x14ac:dyDescent="0.3">
      <c r="A69" s="50" t="s">
        <v>4598</v>
      </c>
      <c r="B69" s="79">
        <v>0</v>
      </c>
      <c r="C69" s="50" t="s">
        <v>4599</v>
      </c>
      <c r="D69" s="12" t="str">
        <f>_xlfn.XLOOKUP(A69,'[4]Fleet Master'!D$3:D$52,'[4]Fleet Master'!F$3:F$52)</f>
        <v>30T</v>
      </c>
      <c r="E69" s="12" t="s">
        <v>1702</v>
      </c>
      <c r="F69" s="12" t="s">
        <v>4600</v>
      </c>
      <c r="G69" s="12" t="str">
        <f>_xlfn.XLOOKUP(A69,'[3]Budgets 2027'!I$3:I$759,'[3]Budgets 2027'!Q$3:Q$759)</f>
        <v>CC046</v>
      </c>
      <c r="H69" s="12" t="str">
        <f>_xlfn.XLOOKUP(A69,'[3]Budgets 2027'!I$3:I$759,'[3]Budgets 2027'!R$3:R$759)</f>
        <v>Flat Trucks Logistics</v>
      </c>
    </row>
    <row r="70" spans="1:8" x14ac:dyDescent="0.3">
      <c r="A70" s="54" t="s">
        <v>4601</v>
      </c>
      <c r="B70" s="79">
        <v>0</v>
      </c>
      <c r="C70" s="54" t="s">
        <v>4602</v>
      </c>
      <c r="D70" s="12" t="str">
        <f>_xlfn.XLOOKUP(A70,'[4]Fleet Master'!D$3:D$52,'[4]Fleet Master'!F$3:F$52)</f>
        <v>30T</v>
      </c>
      <c r="E70" s="12" t="s">
        <v>1695</v>
      </c>
      <c r="F70" s="12" t="s">
        <v>4600</v>
      </c>
      <c r="G70" s="12" t="str">
        <f>_xlfn.XLOOKUP(A70,'[3]Budgets 2027'!I$3:I$759,'[3]Budgets 2027'!Q$3:Q$759)</f>
        <v>CC046</v>
      </c>
      <c r="H70" s="12" t="str">
        <f>_xlfn.XLOOKUP(A70,'[3]Budgets 2027'!I$3:I$759,'[3]Budgets 2027'!R$3:R$759)</f>
        <v>Flat Trucks Logistics</v>
      </c>
    </row>
    <row r="71" spans="1:8" x14ac:dyDescent="0.3">
      <c r="A71" s="54" t="s">
        <v>4603</v>
      </c>
      <c r="B71" s="79">
        <v>0</v>
      </c>
      <c r="C71" s="54" t="s">
        <v>4604</v>
      </c>
      <c r="D71" s="12" t="s">
        <v>42</v>
      </c>
      <c r="E71" s="12" t="s">
        <v>1619</v>
      </c>
      <c r="F71" s="12" t="s">
        <v>4605</v>
      </c>
      <c r="G71" s="12" t="str">
        <f>_xlfn.XLOOKUP(A71,'[3]Budgets 2027'!I$3:I$759,'[3]Budgets 2027'!Q$3:Q$759)</f>
        <v>CC046</v>
      </c>
      <c r="H71" s="12" t="str">
        <f>_xlfn.XLOOKUP(A71,'[3]Budgets 2027'!I$3:I$759,'[3]Budgets 2027'!R$3:R$759)</f>
        <v>Flat Trucks Logistics</v>
      </c>
    </row>
    <row r="72" spans="1:8" x14ac:dyDescent="0.3">
      <c r="A72" s="50" t="s">
        <v>4606</v>
      </c>
      <c r="B72" s="79">
        <v>0</v>
      </c>
      <c r="C72" s="50" t="s">
        <v>4599</v>
      </c>
      <c r="D72" s="12" t="s">
        <v>42</v>
      </c>
      <c r="E72" s="12" t="s">
        <v>1619</v>
      </c>
      <c r="F72" s="12" t="s">
        <v>4605</v>
      </c>
      <c r="G72" s="12" t="str">
        <f>_xlfn.XLOOKUP(A72,'[3]Budgets 2027'!I$3:I$759,'[3]Budgets 2027'!Q$3:Q$759)</f>
        <v>CC046</v>
      </c>
      <c r="H72" s="12" t="str">
        <f>_xlfn.XLOOKUP(A72,'[3]Budgets 2027'!I$3:I$759,'[3]Budgets 2027'!R$3:R$759)</f>
        <v>Flat Trucks Logistics</v>
      </c>
    </row>
    <row r="73" spans="1:8" x14ac:dyDescent="0.3">
      <c r="A73" s="50" t="s">
        <v>4607</v>
      </c>
      <c r="B73" s="79">
        <v>0</v>
      </c>
      <c r="C73" s="50" t="s">
        <v>4599</v>
      </c>
      <c r="D73" s="12" t="str">
        <f>_xlfn.XLOOKUP(A73,'[4]Fleet Master'!D$3:D$52,'[4]Fleet Master'!F$3:F$52)</f>
        <v>30T</v>
      </c>
      <c r="E73" s="12" t="s">
        <v>1619</v>
      </c>
      <c r="F73" s="12" t="s">
        <v>4605</v>
      </c>
      <c r="G73" s="12" t="str">
        <f>_xlfn.XLOOKUP(A73,'[3]Budgets 2027'!I$3:I$759,'[3]Budgets 2027'!Q$3:Q$759)</f>
        <v>CC046</v>
      </c>
      <c r="H73" s="12" t="str">
        <f>_xlfn.XLOOKUP(A73,'[3]Budgets 2027'!I$3:I$759,'[3]Budgets 2027'!R$3:R$759)</f>
        <v>Flat Trucks Logistics</v>
      </c>
    </row>
    <row r="74" spans="1:8" x14ac:dyDescent="0.3">
      <c r="A74" s="50" t="s">
        <v>4608</v>
      </c>
      <c r="B74" s="79">
        <v>0</v>
      </c>
      <c r="C74" s="50" t="s">
        <v>4609</v>
      </c>
      <c r="D74" s="12" t="str">
        <f>_xlfn.XLOOKUP(A74,'[4]Fleet Master'!D$3:D$52,'[4]Fleet Master'!F$3:F$52)</f>
        <v>30T</v>
      </c>
      <c r="E74" s="12" t="s">
        <v>1619</v>
      </c>
      <c r="F74" s="12" t="s">
        <v>4605</v>
      </c>
      <c r="G74" s="12" t="str">
        <f>_xlfn.XLOOKUP(A74,'[3]Budgets 2027'!I$3:I$759,'[3]Budgets 2027'!Q$3:Q$759)</f>
        <v>CC046</v>
      </c>
      <c r="H74" s="12" t="str">
        <f>_xlfn.XLOOKUP(A74,'[3]Budgets 2027'!I$3:I$759,'[3]Budgets 2027'!R$3:R$759)</f>
        <v>Flat Trucks Logistics</v>
      </c>
    </row>
    <row r="75" spans="1:8" x14ac:dyDescent="0.3">
      <c r="A75" s="54" t="s">
        <v>4610</v>
      </c>
      <c r="B75" s="79">
        <v>0</v>
      </c>
      <c r="C75" s="54" t="s">
        <v>4609</v>
      </c>
      <c r="D75" s="12" t="str">
        <f>_xlfn.XLOOKUP(A75,'[4]Fleet Master'!D$3:D$52,'[4]Fleet Master'!F$3:F$52)</f>
        <v>30T</v>
      </c>
      <c r="E75" s="12" t="s">
        <v>1695</v>
      </c>
      <c r="F75" s="12" t="s">
        <v>4600</v>
      </c>
      <c r="G75" s="12" t="str">
        <f>_xlfn.XLOOKUP(A75,'[3]Budgets 2027'!I$3:I$759,'[3]Budgets 2027'!Q$3:Q$759)</f>
        <v>CC046</v>
      </c>
      <c r="H75" s="12" t="str">
        <f>_xlfn.XLOOKUP(A75,'[3]Budgets 2027'!I$3:I$759,'[3]Budgets 2027'!R$3:R$759)</f>
        <v>Flat Trucks Logistics</v>
      </c>
    </row>
    <row r="76" spans="1:8" x14ac:dyDescent="0.3">
      <c r="A76" s="50" t="s">
        <v>4611</v>
      </c>
      <c r="B76" s="79">
        <v>0</v>
      </c>
      <c r="C76" s="50" t="s">
        <v>4599</v>
      </c>
      <c r="D76" s="12" t="str">
        <f>_xlfn.XLOOKUP(A76,'[4]Fleet Master'!D$3:D$52,'[4]Fleet Master'!F$3:F$52)</f>
        <v>30T</v>
      </c>
      <c r="E76" s="12" t="s">
        <v>1702</v>
      </c>
      <c r="F76" s="12" t="s">
        <v>4600</v>
      </c>
      <c r="G76" s="12" t="str">
        <f>_xlfn.XLOOKUP(A76,'[3]Budgets 2027'!I$3:I$759,'[3]Budgets 2027'!Q$3:Q$759)</f>
        <v>CC046</v>
      </c>
      <c r="H76" s="12" t="str">
        <f>_xlfn.XLOOKUP(A76,'[3]Budgets 2027'!I$3:I$759,'[3]Budgets 2027'!R$3:R$759)</f>
        <v>Flat Trucks Logistics</v>
      </c>
    </row>
    <row r="77" spans="1:8" x14ac:dyDescent="0.3">
      <c r="A77" s="54" t="s">
        <v>4612</v>
      </c>
      <c r="B77" s="79">
        <v>0</v>
      </c>
      <c r="C77" s="54" t="s">
        <v>4599</v>
      </c>
      <c r="D77" s="12" t="str">
        <f>_xlfn.XLOOKUP(A77,'[4]Fleet Master'!D$3:D$52,'[4]Fleet Master'!F$3:F$52)</f>
        <v>30T</v>
      </c>
      <c r="E77" s="12" t="s">
        <v>1619</v>
      </c>
      <c r="F77" s="12" t="s">
        <v>4605</v>
      </c>
      <c r="G77" s="12" t="str">
        <f>_xlfn.XLOOKUP(A77,'[3]Budgets 2027'!I$3:I$759,'[3]Budgets 2027'!Q$3:Q$759)</f>
        <v>CC046</v>
      </c>
      <c r="H77" s="12" t="str">
        <f>_xlfn.XLOOKUP(A77,'[3]Budgets 2027'!I$3:I$759,'[3]Budgets 2027'!R$3:R$759)</f>
        <v>Flat Trucks Logistics</v>
      </c>
    </row>
    <row r="78" spans="1:8" x14ac:dyDescent="0.3">
      <c r="A78" s="54" t="s">
        <v>4613</v>
      </c>
      <c r="B78" s="79">
        <v>0</v>
      </c>
      <c r="C78" s="54" t="s">
        <v>4599</v>
      </c>
      <c r="D78" s="12" t="str">
        <f>_xlfn.XLOOKUP(A78,'[4]Fleet Master'!D$3:D$52,'[4]Fleet Master'!F$3:F$52)</f>
        <v>30T</v>
      </c>
      <c r="E78" s="12" t="s">
        <v>1695</v>
      </c>
      <c r="F78" s="12" t="s">
        <v>4600</v>
      </c>
      <c r="G78" s="12" t="str">
        <f>_xlfn.XLOOKUP(A78,'[3]Budgets 2027'!I$3:I$759,'[3]Budgets 2027'!Q$3:Q$759)</f>
        <v>CC046</v>
      </c>
      <c r="H78" s="12" t="str">
        <f>_xlfn.XLOOKUP(A78,'[3]Budgets 2027'!I$3:I$759,'[3]Budgets 2027'!R$3:R$759)</f>
        <v>Flat Trucks Logistics</v>
      </c>
    </row>
    <row r="79" spans="1:8" x14ac:dyDescent="0.3">
      <c r="A79" s="50" t="s">
        <v>4614</v>
      </c>
      <c r="B79" s="79">
        <v>0</v>
      </c>
      <c r="C79" s="50" t="s">
        <v>4599</v>
      </c>
      <c r="D79" s="12" t="str">
        <f>_xlfn.XLOOKUP(A79,'[4]Fleet Master'!D$3:D$52,'[4]Fleet Master'!F$3:F$52)</f>
        <v>30T</v>
      </c>
      <c r="E79" s="12" t="s">
        <v>1619</v>
      </c>
      <c r="F79" s="12" t="s">
        <v>4605</v>
      </c>
      <c r="G79" s="12" t="str">
        <f>_xlfn.XLOOKUP(A79,'[3]Budgets 2027'!I$3:I$759,'[3]Budgets 2027'!Q$3:Q$759)</f>
        <v>CC046</v>
      </c>
      <c r="H79" s="12" t="str">
        <f>_xlfn.XLOOKUP(A79,'[3]Budgets 2027'!I$3:I$759,'[3]Budgets 2027'!R$3:R$759)</f>
        <v>Flat Trucks Logistics</v>
      </c>
    </row>
    <row r="80" spans="1:8" x14ac:dyDescent="0.3">
      <c r="A80" s="54" t="s">
        <v>4615</v>
      </c>
      <c r="B80" s="79">
        <v>0</v>
      </c>
      <c r="C80" s="54" t="s">
        <v>4602</v>
      </c>
      <c r="D80" s="12" t="str">
        <f>_xlfn.XLOOKUP(A80,'[4]Fleet Master'!D$3:D$52,'[4]Fleet Master'!F$3:F$52)</f>
        <v>30T</v>
      </c>
      <c r="E80" s="12" t="s">
        <v>1619</v>
      </c>
      <c r="F80" s="12" t="s">
        <v>4605</v>
      </c>
      <c r="G80" s="12" t="str">
        <f>_xlfn.XLOOKUP(A80,'[3]Budgets 2027'!I$3:I$759,'[3]Budgets 2027'!Q$3:Q$759)</f>
        <v>CC046</v>
      </c>
      <c r="H80" s="12" t="str">
        <f>_xlfn.XLOOKUP(A80,'[3]Budgets 2027'!I$3:I$759,'[3]Budgets 2027'!R$3:R$759)</f>
        <v>Flat Trucks Logistics</v>
      </c>
    </row>
    <row r="81" spans="1:8" x14ac:dyDescent="0.3">
      <c r="A81" s="50" t="s">
        <v>4616</v>
      </c>
      <c r="B81" s="79">
        <v>0</v>
      </c>
      <c r="C81" s="50" t="s">
        <v>4599</v>
      </c>
      <c r="D81" s="12" t="str">
        <f>_xlfn.XLOOKUP(A81,'[4]Fleet Master'!D$3:D$52,'[4]Fleet Master'!F$3:F$52)</f>
        <v>35T</v>
      </c>
      <c r="E81" s="12" t="s">
        <v>1695</v>
      </c>
      <c r="F81" s="12" t="s">
        <v>4600</v>
      </c>
      <c r="G81" s="12" t="str">
        <f>_xlfn.XLOOKUP(A81,'[3]Budgets 2027'!I$3:I$759,'[3]Budgets 2027'!Q$3:Q$759)</f>
        <v>CC046</v>
      </c>
      <c r="H81" s="12" t="str">
        <f>_xlfn.XLOOKUP(A81,'[3]Budgets 2027'!I$3:I$759,'[3]Budgets 2027'!R$3:R$759)</f>
        <v>Flat Trucks Logistics</v>
      </c>
    </row>
    <row r="82" spans="1:8" x14ac:dyDescent="0.3">
      <c r="A82" s="50" t="s">
        <v>4617</v>
      </c>
      <c r="B82" s="79">
        <v>0</v>
      </c>
      <c r="C82" s="50" t="s">
        <v>4599</v>
      </c>
      <c r="D82" s="12" t="str">
        <f>_xlfn.XLOOKUP(A82,'[4]Fleet Master'!D$3:D$52,'[4]Fleet Master'!F$3:F$52)</f>
        <v>30T</v>
      </c>
      <c r="E82" s="12" t="s">
        <v>1619</v>
      </c>
      <c r="F82" s="12" t="s">
        <v>4605</v>
      </c>
      <c r="G82" s="12" t="str">
        <f>_xlfn.XLOOKUP(A82,'[3]Budgets 2027'!I$3:I$759,'[3]Budgets 2027'!Q$3:Q$759)</f>
        <v>CC046</v>
      </c>
      <c r="H82" s="12" t="str">
        <f>_xlfn.XLOOKUP(A82,'[3]Budgets 2027'!I$3:I$759,'[3]Budgets 2027'!R$3:R$759)</f>
        <v>Flat Trucks Logistics</v>
      </c>
    </row>
    <row r="83" spans="1:8" x14ac:dyDescent="0.3">
      <c r="A83" s="50" t="s">
        <v>4618</v>
      </c>
      <c r="B83" s="79">
        <v>0</v>
      </c>
      <c r="C83" s="50" t="s">
        <v>4599</v>
      </c>
      <c r="D83" s="12" t="s">
        <v>42</v>
      </c>
      <c r="E83" s="12" t="s">
        <v>1619</v>
      </c>
      <c r="F83" s="12" t="s">
        <v>4605</v>
      </c>
      <c r="G83" s="12" t="str">
        <f>_xlfn.XLOOKUP(A83,'[3]Budgets 2027'!I$3:I$759,'[3]Budgets 2027'!Q$3:Q$759)</f>
        <v>CC046</v>
      </c>
      <c r="H83" s="12" t="str">
        <f>_xlfn.XLOOKUP(A83,'[3]Budgets 2027'!I$3:I$759,'[3]Budgets 2027'!R$3:R$759)</f>
        <v>Flat Trucks Logistics</v>
      </c>
    </row>
    <row r="84" spans="1:8" x14ac:dyDescent="0.3">
      <c r="A84" s="50" t="s">
        <v>4619</v>
      </c>
      <c r="B84" s="79">
        <v>0</v>
      </c>
      <c r="C84" s="50" t="s">
        <v>4599</v>
      </c>
      <c r="D84" s="12" t="str">
        <f>_xlfn.XLOOKUP(A84,'[4]Fleet Master'!D$3:D$52,'[4]Fleet Master'!F$3:F$52)</f>
        <v>35T</v>
      </c>
      <c r="E84" s="12" t="s">
        <v>1702</v>
      </c>
      <c r="F84" s="12" t="s">
        <v>4600</v>
      </c>
      <c r="G84" s="12" t="str">
        <f>_xlfn.XLOOKUP(A84,'[3]Budgets 2027'!I$3:I$759,'[3]Budgets 2027'!Q$3:Q$759)</f>
        <v>CC046</v>
      </c>
      <c r="H84" s="12" t="str">
        <f>_xlfn.XLOOKUP(A84,'[3]Budgets 2027'!I$3:I$759,'[3]Budgets 2027'!R$3:R$759)</f>
        <v>Flat Trucks Logistics</v>
      </c>
    </row>
    <row r="85" spans="1:8" x14ac:dyDescent="0.3">
      <c r="A85" s="50" t="s">
        <v>4620</v>
      </c>
      <c r="B85" s="79">
        <v>0</v>
      </c>
      <c r="C85" s="50" t="s">
        <v>4621</v>
      </c>
      <c r="D85" s="12" t="str">
        <f>_xlfn.XLOOKUP(A85,'[4]Fleet Master'!D$3:D$52,'[4]Fleet Master'!F$3:F$52)</f>
        <v>30T</v>
      </c>
      <c r="E85" s="12" t="s">
        <v>1619</v>
      </c>
      <c r="F85" s="12" t="s">
        <v>4605</v>
      </c>
      <c r="G85" s="12" t="str">
        <f>_xlfn.XLOOKUP(A85,'[3]Budgets 2027'!I$3:I$759,'[3]Budgets 2027'!Q$3:Q$759)</f>
        <v>CC046</v>
      </c>
      <c r="H85" s="12" t="str">
        <f>_xlfn.XLOOKUP(A85,'[3]Budgets 2027'!I$3:I$759,'[3]Budgets 2027'!R$3:R$759)</f>
        <v>Flat Trucks Logistics</v>
      </c>
    </row>
    <row r="86" spans="1:8" x14ac:dyDescent="0.3">
      <c r="A86" s="54" t="s">
        <v>4622</v>
      </c>
      <c r="B86" s="79">
        <v>0</v>
      </c>
      <c r="C86" s="54" t="s">
        <v>4599</v>
      </c>
      <c r="D86" s="12" t="s">
        <v>42</v>
      </c>
      <c r="E86" s="12" t="s">
        <v>1619</v>
      </c>
      <c r="F86" s="12" t="s">
        <v>4605</v>
      </c>
      <c r="G86" s="12" t="str">
        <f>_xlfn.XLOOKUP(A86,'[3]Budgets 2027'!I$3:I$759,'[3]Budgets 2027'!Q$3:Q$759)</f>
        <v>CC046</v>
      </c>
      <c r="H86" s="12" t="str">
        <f>_xlfn.XLOOKUP(A86,'[3]Budgets 2027'!I$3:I$759,'[3]Budgets 2027'!R$3:R$759)</f>
        <v>Flat Trucks Logistics</v>
      </c>
    </row>
    <row r="87" spans="1:8" x14ac:dyDescent="0.3">
      <c r="A87" s="54" t="s">
        <v>4623</v>
      </c>
      <c r="B87" s="79">
        <v>0</v>
      </c>
      <c r="C87" s="54" t="s">
        <v>4624</v>
      </c>
      <c r="D87" s="12" t="str">
        <f>_xlfn.XLOOKUP(A87,'[4]Fleet Master'!D$3:D$52,'[4]Fleet Master'!F$3:F$52)</f>
        <v>45T</v>
      </c>
      <c r="E87" s="12" t="s">
        <v>1702</v>
      </c>
      <c r="F87" s="12" t="s">
        <v>4600</v>
      </c>
      <c r="G87" s="12" t="str">
        <f>_xlfn.XLOOKUP(A87,'[3]Budgets 2027'!I$3:I$759,'[3]Budgets 2027'!Q$3:Q$759)</f>
        <v>CC059</v>
      </c>
      <c r="H87" s="12" t="str">
        <f>_xlfn.XLOOKUP(A87,'[3]Budgets 2027'!I$3:I$759,'[3]Budgets 2027'!R$3:R$759)</f>
        <v>Haulage</v>
      </c>
    </row>
    <row r="88" spans="1:8" x14ac:dyDescent="0.3">
      <c r="A88" s="54" t="s">
        <v>4625</v>
      </c>
      <c r="B88" s="79">
        <v>0</v>
      </c>
      <c r="C88" s="54" t="s">
        <v>4624</v>
      </c>
      <c r="D88" s="12" t="str">
        <f>_xlfn.XLOOKUP(A88,'[4]Fleet Master'!D$3:D$52,'[4]Fleet Master'!F$3:F$52)</f>
        <v>30T</v>
      </c>
      <c r="E88" s="12" t="s">
        <v>1726</v>
      </c>
      <c r="F88" s="12" t="s">
        <v>4626</v>
      </c>
      <c r="G88" s="12" t="str">
        <f>_xlfn.XLOOKUP(A88,'[3]Budgets 2027'!I$3:I$759,'[3]Budgets 2027'!Q$3:Q$759)</f>
        <v>CC059</v>
      </c>
      <c r="H88" s="12" t="str">
        <f>_xlfn.XLOOKUP(A88,'[3]Budgets 2027'!I$3:I$759,'[3]Budgets 2027'!R$3:R$759)</f>
        <v>Haulage</v>
      </c>
    </row>
    <row r="89" spans="1:8" x14ac:dyDescent="0.3">
      <c r="A89" s="54" t="s">
        <v>4627</v>
      </c>
      <c r="B89" s="79">
        <v>0</v>
      </c>
      <c r="C89" s="54" t="s">
        <v>4624</v>
      </c>
      <c r="D89" s="12" t="str">
        <f>_xlfn.XLOOKUP(A89,'[4]Fleet Master'!D$3:D$52,'[4]Fleet Master'!F$3:F$52)</f>
        <v>30T</v>
      </c>
      <c r="E89" s="12" t="s">
        <v>1702</v>
      </c>
      <c r="F89" s="12" t="s">
        <v>4600</v>
      </c>
      <c r="G89" s="12" t="str">
        <f>_xlfn.XLOOKUP(A89,'[3]Budgets 2027'!I$3:I$759,'[3]Budgets 2027'!Q$3:Q$759)</f>
        <v>CC059</v>
      </c>
      <c r="H89" s="12" t="str">
        <f>_xlfn.XLOOKUP(A89,'[3]Budgets 2027'!I$3:I$759,'[3]Budgets 2027'!R$3:R$759)</f>
        <v>Haulage</v>
      </c>
    </row>
    <row r="90" spans="1:8" x14ac:dyDescent="0.3">
      <c r="A90" s="50" t="s">
        <v>4628</v>
      </c>
      <c r="B90" s="79">
        <v>0</v>
      </c>
      <c r="C90" s="50" t="s">
        <v>4629</v>
      </c>
      <c r="D90" s="12" t="str">
        <f>_xlfn.XLOOKUP(A90,'[4]Fleet Master'!D$3:D$52,'[4]Fleet Master'!F$3:F$52)</f>
        <v>45T</v>
      </c>
      <c r="E90" s="12" t="s">
        <v>1702</v>
      </c>
      <c r="F90" s="12" t="s">
        <v>4600</v>
      </c>
      <c r="G90" s="12" t="str">
        <f>_xlfn.XLOOKUP(A90,'[3]Budgets 2027'!I$3:I$759,'[3]Budgets 2027'!Q$3:Q$759)</f>
        <v>CC059</v>
      </c>
      <c r="H90" s="12" t="str">
        <f>_xlfn.XLOOKUP(A90,'[3]Budgets 2027'!I$3:I$759,'[3]Budgets 2027'!R$3:R$759)</f>
        <v>Haulage</v>
      </c>
    </row>
    <row r="91" spans="1:8" x14ac:dyDescent="0.3">
      <c r="A91" s="50" t="s">
        <v>4630</v>
      </c>
      <c r="B91" s="79">
        <v>0</v>
      </c>
      <c r="C91" s="50" t="s">
        <v>4629</v>
      </c>
      <c r="D91" s="12" t="str">
        <f>_xlfn.XLOOKUP(A91,'[4]Fleet Master'!D$3:D$52,'[4]Fleet Master'!F$3:F$52)</f>
        <v>30T</v>
      </c>
      <c r="E91" s="12" t="s">
        <v>1619</v>
      </c>
      <c r="F91" s="12" t="s">
        <v>4605</v>
      </c>
      <c r="G91" s="12" t="str">
        <f>_xlfn.XLOOKUP(A91,'[3]Budgets 2027'!I$3:I$759,'[3]Budgets 2027'!Q$3:Q$759)</f>
        <v>CC059</v>
      </c>
      <c r="H91" s="12" t="str">
        <f>_xlfn.XLOOKUP(A91,'[3]Budgets 2027'!I$3:I$759,'[3]Budgets 2027'!R$3:R$759)</f>
        <v>Haulage</v>
      </c>
    </row>
    <row r="92" spans="1:8" x14ac:dyDescent="0.3">
      <c r="A92" s="50" t="s">
        <v>4631</v>
      </c>
      <c r="B92" s="79">
        <v>0</v>
      </c>
      <c r="C92" s="50" t="s">
        <v>4629</v>
      </c>
      <c r="D92" s="12" t="str">
        <f>_xlfn.XLOOKUP(A92,'[4]Fleet Master'!D$3:D$52,'[4]Fleet Master'!F$3:F$52)</f>
        <v>45T</v>
      </c>
      <c r="E92" s="12" t="s">
        <v>1702</v>
      </c>
      <c r="F92" s="12" t="s">
        <v>4600</v>
      </c>
      <c r="G92" s="12" t="str">
        <f>_xlfn.XLOOKUP(A92,'[3]Budgets 2027'!I$3:I$759,'[3]Budgets 2027'!Q$3:Q$759)</f>
        <v>CC059</v>
      </c>
      <c r="H92" s="12" t="str">
        <f>_xlfn.XLOOKUP(A92,'[3]Budgets 2027'!I$3:I$759,'[3]Budgets 2027'!R$3:R$759)</f>
        <v>Haulage</v>
      </c>
    </row>
    <row r="93" spans="1:8" x14ac:dyDescent="0.3">
      <c r="A93" s="54" t="s">
        <v>4632</v>
      </c>
      <c r="B93" s="79">
        <v>0</v>
      </c>
      <c r="C93" s="54" t="s">
        <v>4633</v>
      </c>
      <c r="D93" s="12" t="str">
        <f>_xlfn.XLOOKUP(A93,'[4]Fleet Master'!D$3:D$52,'[4]Fleet Master'!F$3:F$52)</f>
        <v>45T</v>
      </c>
      <c r="E93" s="12" t="s">
        <v>1702</v>
      </c>
      <c r="F93" s="12" t="s">
        <v>4600</v>
      </c>
      <c r="G93" s="12" t="str">
        <f>_xlfn.XLOOKUP(A93,'[3]Budgets 2027'!I$3:I$759,'[3]Budgets 2027'!Q$3:Q$759)</f>
        <v>CC059</v>
      </c>
      <c r="H93" s="12" t="str">
        <f>_xlfn.XLOOKUP(A93,'[3]Budgets 2027'!I$3:I$759,'[3]Budgets 2027'!R$3:R$759)</f>
        <v>Haulage</v>
      </c>
    </row>
    <row r="94" spans="1:8" x14ac:dyDescent="0.3">
      <c r="A94" s="50" t="s">
        <v>4634</v>
      </c>
      <c r="B94" s="79">
        <v>0</v>
      </c>
      <c r="C94" s="50" t="s">
        <v>4633</v>
      </c>
      <c r="D94" s="12" t="str">
        <f>_xlfn.XLOOKUP(A94,'[4]Fleet Master'!D$3:D$52,'[4]Fleet Master'!F$3:F$52)</f>
        <v>45T</v>
      </c>
      <c r="E94" s="12" t="s">
        <v>1702</v>
      </c>
      <c r="F94" s="12" t="s">
        <v>4600</v>
      </c>
      <c r="G94" s="12" t="s">
        <v>2031</v>
      </c>
      <c r="H94" s="12" t="s">
        <v>4635</v>
      </c>
    </row>
    <row r="95" spans="1:8" x14ac:dyDescent="0.3">
      <c r="A95" s="54" t="s">
        <v>4636</v>
      </c>
      <c r="B95" s="79">
        <v>0</v>
      </c>
      <c r="C95" s="54" t="s">
        <v>4633</v>
      </c>
      <c r="D95" s="12" t="str">
        <f>_xlfn.XLOOKUP(A95,'[4]Fleet Master'!D$3:D$52,'[4]Fleet Master'!F$3:F$52)</f>
        <v>45T</v>
      </c>
      <c r="E95" s="12" t="s">
        <v>1702</v>
      </c>
      <c r="F95" s="12" t="s">
        <v>4600</v>
      </c>
      <c r="G95" s="12" t="str">
        <f>_xlfn.XLOOKUP(A95,'[3]Budgets 2027'!I$3:I$759,'[3]Budgets 2027'!Q$3:Q$759)</f>
        <v>CC059</v>
      </c>
      <c r="H95" s="12" t="str">
        <f>_xlfn.XLOOKUP(A95,'[3]Budgets 2027'!I$3:I$759,'[3]Budgets 2027'!R$3:R$759)</f>
        <v>Haulage</v>
      </c>
    </row>
    <row r="96" spans="1:8" x14ac:dyDescent="0.3">
      <c r="A96" s="50" t="s">
        <v>4637</v>
      </c>
      <c r="B96" s="79">
        <v>0</v>
      </c>
      <c r="C96" s="50" t="s">
        <v>4633</v>
      </c>
      <c r="D96" s="12" t="str">
        <f>_xlfn.XLOOKUP(A96,'[4]Fleet Master'!D$3:D$52,'[4]Fleet Master'!F$3:F$52)</f>
        <v>45T</v>
      </c>
      <c r="E96" s="12" t="s">
        <v>1702</v>
      </c>
      <c r="F96" s="12" t="s">
        <v>4600</v>
      </c>
      <c r="G96" s="12" t="str">
        <f>_xlfn.XLOOKUP(A96,'[3]Budgets 2027'!I$3:I$759,'[3]Budgets 2027'!Q$3:Q$759)</f>
        <v>CC059</v>
      </c>
      <c r="H96" s="12" t="str">
        <f>_xlfn.XLOOKUP(A96,'[3]Budgets 2027'!I$3:I$759,'[3]Budgets 2027'!R$3:R$759)</f>
        <v>Haulage</v>
      </c>
    </row>
    <row r="97" spans="1:8" x14ac:dyDescent="0.3">
      <c r="A97" s="54" t="s">
        <v>4638</v>
      </c>
      <c r="B97" s="79">
        <v>0</v>
      </c>
      <c r="C97" s="54" t="s">
        <v>4639</v>
      </c>
      <c r="D97" s="12" t="str">
        <f>_xlfn.XLOOKUP(A97,'[4]Fleet Master'!D$3:D$52,'[4]Fleet Master'!F$3:F$52)</f>
        <v>45T</v>
      </c>
      <c r="E97" s="12" t="s">
        <v>1702</v>
      </c>
      <c r="F97" s="12" t="s">
        <v>4600</v>
      </c>
      <c r="G97" s="12" t="str">
        <f>_xlfn.XLOOKUP(A97,'[3]Budgets 2027'!I$3:I$759,'[3]Budgets 2027'!Q$3:Q$759)</f>
        <v>CC059</v>
      </c>
      <c r="H97" s="12" t="str">
        <f>_xlfn.XLOOKUP(A97,'[3]Budgets 2027'!I$3:I$759,'[3]Budgets 2027'!R$3:R$759)</f>
        <v>Haulage</v>
      </c>
    </row>
    <row r="98" spans="1:8" x14ac:dyDescent="0.3">
      <c r="A98" s="50" t="s">
        <v>4640</v>
      </c>
      <c r="B98" s="79">
        <v>0</v>
      </c>
      <c r="C98" s="50" t="s">
        <v>4639</v>
      </c>
      <c r="D98" s="12" t="str">
        <f>_xlfn.XLOOKUP(A98,'[4]Fleet Master'!D$3:D$52,'[4]Fleet Master'!F$3:F$52)</f>
        <v>45T</v>
      </c>
      <c r="E98" s="12" t="s">
        <v>1702</v>
      </c>
      <c r="F98" s="12" t="s">
        <v>4600</v>
      </c>
      <c r="G98" s="12" t="s">
        <v>2031</v>
      </c>
      <c r="H98" s="12" t="s">
        <v>4635</v>
      </c>
    </row>
    <row r="99" spans="1:8" x14ac:dyDescent="0.3">
      <c r="A99" s="54" t="s">
        <v>4641</v>
      </c>
      <c r="B99" s="79">
        <v>0</v>
      </c>
      <c r="C99" s="54" t="s">
        <v>4639</v>
      </c>
      <c r="D99" s="12" t="str">
        <f>_xlfn.XLOOKUP(A99,'[4]Fleet Master'!D$3:D$52,'[4]Fleet Master'!F$3:F$52)</f>
        <v>45T</v>
      </c>
      <c r="E99" s="12" t="s">
        <v>1702</v>
      </c>
      <c r="F99" s="12" t="s">
        <v>4600</v>
      </c>
      <c r="G99" s="12" t="str">
        <f>_xlfn.XLOOKUP(A99,'[3]Budgets 2027'!I$3:I$759,'[3]Budgets 2027'!Q$3:Q$759)</f>
        <v>CC059</v>
      </c>
      <c r="H99" s="12" t="str">
        <f>_xlfn.XLOOKUP(A99,'[3]Budgets 2027'!I$3:I$759,'[3]Budgets 2027'!R$3:R$759)</f>
        <v>Haulage</v>
      </c>
    </row>
    <row r="100" spans="1:8" x14ac:dyDescent="0.3">
      <c r="A100" s="50" t="s">
        <v>4642</v>
      </c>
      <c r="B100" s="79">
        <v>0</v>
      </c>
      <c r="C100" s="50" t="s">
        <v>4599</v>
      </c>
      <c r="D100" s="12" t="str">
        <f>_xlfn.XLOOKUP(A100,'[4]Fleet Master'!D$3:D$52,'[4]Fleet Master'!F$3:F$52)</f>
        <v>30T</v>
      </c>
      <c r="E100" s="12" t="s">
        <v>1619</v>
      </c>
      <c r="F100" s="12" t="s">
        <v>4605</v>
      </c>
      <c r="G100" s="12" t="str">
        <f>_xlfn.XLOOKUP(A100,'[3]Budgets 2027'!I$3:I$759,'[3]Budgets 2027'!Q$3:Q$759)</f>
        <v>CC059</v>
      </c>
      <c r="H100" s="12" t="str">
        <f>_xlfn.XLOOKUP(A100,'[3]Budgets 2027'!I$3:I$759,'[3]Budgets 2027'!R$3:R$759)</f>
        <v>Haulage</v>
      </c>
    </row>
    <row r="101" spans="1:8" x14ac:dyDescent="0.3">
      <c r="A101" s="54" t="s">
        <v>4643</v>
      </c>
      <c r="B101" s="79">
        <v>0</v>
      </c>
      <c r="C101" s="54" t="s">
        <v>4644</v>
      </c>
      <c r="D101" s="12" t="str">
        <f>_xlfn.XLOOKUP(A101,'[4]Fleet Master'!D$3:D$52,'[4]Fleet Master'!F$3:F$52)</f>
        <v>30T</v>
      </c>
      <c r="E101" s="12" t="s">
        <v>1619</v>
      </c>
      <c r="F101" s="12" t="s">
        <v>4605</v>
      </c>
      <c r="G101" s="12" t="str">
        <f>_xlfn.XLOOKUP(A101,'[3]Budgets 2027'!I$3:I$759,'[3]Budgets 2027'!Q$3:Q$759)</f>
        <v>CC059</v>
      </c>
      <c r="H101" s="12" t="str">
        <f>_xlfn.XLOOKUP(A101,'[3]Budgets 2027'!I$3:I$759,'[3]Budgets 2027'!R$3:R$759)</f>
        <v>Haulage</v>
      </c>
    </row>
    <row r="102" spans="1:8" x14ac:dyDescent="0.3">
      <c r="A102" s="50" t="s">
        <v>4645</v>
      </c>
      <c r="B102" s="79">
        <v>0</v>
      </c>
      <c r="C102" s="50" t="s">
        <v>4609</v>
      </c>
      <c r="D102" s="12" t="s">
        <v>42</v>
      </c>
      <c r="E102" s="12" t="s">
        <v>1619</v>
      </c>
      <c r="F102" s="12" t="s">
        <v>4605</v>
      </c>
      <c r="G102" s="12" t="str">
        <f>_xlfn.XLOOKUP(A102,'[3]Budgets 2027'!I$3:I$759,'[3]Budgets 2027'!Q$3:Q$759)</f>
        <v>CC059</v>
      </c>
      <c r="H102" s="12" t="str">
        <f>_xlfn.XLOOKUP(A102,'[3]Budgets 2027'!I$3:I$759,'[3]Budgets 2027'!R$3:R$759)</f>
        <v>Haulage</v>
      </c>
    </row>
    <row r="103" spans="1:8" x14ac:dyDescent="0.3">
      <c r="A103" s="54" t="s">
        <v>4646</v>
      </c>
      <c r="B103" s="79">
        <v>0</v>
      </c>
      <c r="C103" s="54" t="s">
        <v>4647</v>
      </c>
      <c r="D103" s="12" t="s">
        <v>507</v>
      </c>
      <c r="E103" s="12" t="s">
        <v>4648</v>
      </c>
      <c r="F103" s="12" t="s">
        <v>4600</v>
      </c>
      <c r="G103" s="12" t="str">
        <f>_xlfn.XLOOKUP(A103,'[3]Budgets 2027'!I$3:I$759,'[3]Budgets 2027'!Q$3:Q$759)</f>
        <v>CC059</v>
      </c>
      <c r="H103" s="12" t="str">
        <f>_xlfn.XLOOKUP(A103,'[3]Budgets 2027'!I$3:I$759,'[3]Budgets 2027'!R$3:R$759)</f>
        <v>Haulage</v>
      </c>
    </row>
    <row r="104" spans="1:8" x14ac:dyDescent="0.3">
      <c r="A104" s="50" t="s">
        <v>4649</v>
      </c>
      <c r="B104" s="79">
        <v>0</v>
      </c>
      <c r="C104" s="50" t="s">
        <v>4629</v>
      </c>
      <c r="D104" s="12" t="str">
        <f>_xlfn.XLOOKUP(A104,'[4]Fleet Master'!D$3:D$52,'[4]Fleet Master'!F$3:F$52)</f>
        <v>30T</v>
      </c>
      <c r="E104" s="12" t="s">
        <v>1619</v>
      </c>
      <c r="F104" s="12" t="s">
        <v>4605</v>
      </c>
      <c r="G104" s="12" t="str">
        <f>_xlfn.XLOOKUP(A104,'[3]Budgets 2027'!I$3:I$759,'[3]Budgets 2027'!Q$3:Q$759)</f>
        <v>CC059</v>
      </c>
      <c r="H104" s="12" t="str">
        <f>_xlfn.XLOOKUP(A104,'[3]Budgets 2027'!I$3:I$759,'[3]Budgets 2027'!R$3:R$759)</f>
        <v>Haulage</v>
      </c>
    </row>
    <row r="105" spans="1:8" x14ac:dyDescent="0.3">
      <c r="A105" s="50" t="s">
        <v>4650</v>
      </c>
      <c r="B105" s="79">
        <v>0</v>
      </c>
      <c r="C105" s="50" t="s">
        <v>4629</v>
      </c>
      <c r="D105" s="12" t="str">
        <f>_xlfn.XLOOKUP(A105,'[4]Fleet Master'!D$3:D$52,'[4]Fleet Master'!F$3:F$52)</f>
        <v>30T</v>
      </c>
      <c r="E105" s="12" t="s">
        <v>1619</v>
      </c>
      <c r="F105" s="12" t="s">
        <v>4605</v>
      </c>
      <c r="G105" s="12" t="str">
        <f>_xlfn.XLOOKUP(A105,'[3]Budgets 2027'!I$3:I$759,'[3]Budgets 2027'!Q$3:Q$759)</f>
        <v>CC059</v>
      </c>
      <c r="H105" s="12" t="str">
        <f>_xlfn.XLOOKUP(A105,'[3]Budgets 2027'!I$3:I$759,'[3]Budgets 2027'!R$3:R$759)</f>
        <v>Haulage</v>
      </c>
    </row>
    <row r="106" spans="1:8" x14ac:dyDescent="0.3">
      <c r="A106" s="98" t="s">
        <v>4651</v>
      </c>
      <c r="B106" s="79">
        <v>0</v>
      </c>
      <c r="C106" s="98" t="s">
        <v>4652</v>
      </c>
      <c r="D106" s="12" t="str">
        <f>_xlfn.XLOOKUP(A106,'[4]Fleet Master'!D$3:D$52,'[4]Fleet Master'!F$3:F$52)</f>
        <v>45T</v>
      </c>
      <c r="E106" s="12" t="s">
        <v>1702</v>
      </c>
      <c r="F106" s="12" t="s">
        <v>4600</v>
      </c>
      <c r="G106" s="12" t="str">
        <f>_xlfn.XLOOKUP(A106,'[3]Budgets 2027'!I$3:I$759,'[3]Budgets 2027'!Q$3:Q$759)</f>
        <v>CC059</v>
      </c>
      <c r="H106" s="12" t="str">
        <f>_xlfn.XLOOKUP(A106,'[3]Budgets 2027'!I$3:I$759,'[3]Budgets 2027'!R$3:R$759)</f>
        <v>Haulage</v>
      </c>
    </row>
    <row r="107" spans="1:8" x14ac:dyDescent="0.3">
      <c r="A107" s="98" t="s">
        <v>4653</v>
      </c>
      <c r="B107" s="79">
        <v>0</v>
      </c>
      <c r="C107" s="98" t="s">
        <v>4652</v>
      </c>
      <c r="D107" s="12" t="str">
        <f>_xlfn.XLOOKUP(A107,'[4]Fleet Master'!D$3:D$52,'[4]Fleet Master'!F$3:F$52)</f>
        <v>45T</v>
      </c>
      <c r="E107" s="12" t="s">
        <v>1702</v>
      </c>
      <c r="F107" s="12" t="s">
        <v>4600</v>
      </c>
      <c r="G107" s="12" t="str">
        <f>_xlfn.XLOOKUP(A107,'[3]Budgets 2027'!I$3:I$759,'[3]Budgets 2027'!Q$3:Q$759)</f>
        <v>CC059</v>
      </c>
      <c r="H107" s="12" t="str">
        <f>_xlfn.XLOOKUP(A107,'[3]Budgets 2027'!I$3:I$759,'[3]Budgets 2027'!R$3:R$759)</f>
        <v>Haulage</v>
      </c>
    </row>
    <row r="108" spans="1:8" x14ac:dyDescent="0.3">
      <c r="A108" s="98" t="s">
        <v>4654</v>
      </c>
      <c r="B108" s="79">
        <v>0</v>
      </c>
      <c r="C108" s="98" t="s">
        <v>4652</v>
      </c>
      <c r="D108" s="12" t="str">
        <f>_xlfn.XLOOKUP(A108,'[4]Fleet Master'!D$3:D$52,'[4]Fleet Master'!F$3:F$52)</f>
        <v>45T</v>
      </c>
      <c r="E108" s="12" t="s">
        <v>1702</v>
      </c>
      <c r="F108" s="12" t="s">
        <v>4600</v>
      </c>
      <c r="G108" s="12" t="str">
        <f>_xlfn.XLOOKUP(A108,'[3]Budgets 2027'!I$3:I$759,'[3]Budgets 2027'!Q$3:Q$759)</f>
        <v>CC059</v>
      </c>
      <c r="H108" s="12" t="str">
        <f>_xlfn.XLOOKUP(A108,'[3]Budgets 2027'!I$3:I$759,'[3]Budgets 2027'!R$3:R$759)</f>
        <v>Haulage</v>
      </c>
    </row>
    <row r="109" spans="1:8" x14ac:dyDescent="0.3">
      <c r="A109" s="98" t="s">
        <v>4655</v>
      </c>
      <c r="B109" s="79">
        <v>0</v>
      </c>
      <c r="C109" s="98" t="s">
        <v>4652</v>
      </c>
      <c r="D109" s="12" t="str">
        <f>_xlfn.XLOOKUP(A109,'[4]Fleet Master'!D$3:D$52,'[4]Fleet Master'!F$3:F$52)</f>
        <v>45T</v>
      </c>
      <c r="E109" s="12" t="s">
        <v>1702</v>
      </c>
      <c r="F109" s="12" t="s">
        <v>4600</v>
      </c>
      <c r="G109" s="12" t="str">
        <f>_xlfn.XLOOKUP(A109,'[3]Budgets 2027'!I$3:I$759,'[3]Budgets 2027'!Q$3:Q$759)</f>
        <v>CC059</v>
      </c>
      <c r="H109" s="12" t="str">
        <f>_xlfn.XLOOKUP(A109,'[3]Budgets 2027'!I$3:I$759,'[3]Budgets 2027'!R$3:R$759)</f>
        <v>Haulage</v>
      </c>
    </row>
    <row r="110" spans="1:8" x14ac:dyDescent="0.3">
      <c r="A110" s="98" t="s">
        <v>4656</v>
      </c>
      <c r="B110" s="79">
        <v>0</v>
      </c>
      <c r="C110" s="98" t="s">
        <v>4652</v>
      </c>
      <c r="D110" s="12" t="str">
        <f>_xlfn.XLOOKUP(A110,'[4]Fleet Master'!D$3:D$52,'[4]Fleet Master'!F$3:F$52)</f>
        <v>45T</v>
      </c>
      <c r="E110" s="12" t="s">
        <v>1702</v>
      </c>
      <c r="F110" s="12" t="s">
        <v>4600</v>
      </c>
      <c r="G110" s="12" t="str">
        <f>_xlfn.XLOOKUP(A110,'[3]Budgets 2027'!I$3:I$759,'[3]Budgets 2027'!Q$3:Q$759)</f>
        <v>CC059</v>
      </c>
      <c r="H110" s="12" t="str">
        <f>_xlfn.XLOOKUP(A110,'[3]Budgets 2027'!I$3:I$759,'[3]Budgets 2027'!R$3:R$759)</f>
        <v>Haulage</v>
      </c>
    </row>
    <row r="111" spans="1:8" x14ac:dyDescent="0.3">
      <c r="A111" s="98" t="s">
        <v>4657</v>
      </c>
      <c r="B111" s="79">
        <v>0</v>
      </c>
      <c r="C111" s="98" t="s">
        <v>4652</v>
      </c>
      <c r="D111" s="12" t="str">
        <f>_xlfn.XLOOKUP(A111,'[4]Fleet Master'!D$3:D$52,'[4]Fleet Master'!F$3:F$52)</f>
        <v>45T</v>
      </c>
      <c r="E111" s="12" t="s">
        <v>1702</v>
      </c>
      <c r="F111" s="12" t="s">
        <v>4600</v>
      </c>
      <c r="G111" s="12" t="str">
        <f>_xlfn.XLOOKUP(A111,'[3]Budgets 2027'!I$3:I$759,'[3]Budgets 2027'!Q$3:Q$759)</f>
        <v>CC059</v>
      </c>
      <c r="H111" s="12" t="str">
        <f>_xlfn.XLOOKUP(A111,'[3]Budgets 2027'!I$3:I$759,'[3]Budgets 2027'!R$3:R$759)</f>
        <v>Haulage</v>
      </c>
    </row>
    <row r="112" spans="1:8" x14ac:dyDescent="0.3">
      <c r="A112" s="98" t="s">
        <v>4658</v>
      </c>
      <c r="B112" s="79">
        <v>0</v>
      </c>
      <c r="C112" s="98" t="s">
        <v>4652</v>
      </c>
      <c r="D112" s="12" t="s">
        <v>23</v>
      </c>
      <c r="E112" s="12" t="s">
        <v>1702</v>
      </c>
      <c r="F112" s="12" t="s">
        <v>4600</v>
      </c>
      <c r="G112" s="12" t="str">
        <f>_xlfn.XLOOKUP(A112,'[3]Budgets 2027'!I$3:I$759,'[3]Budgets 2027'!Q$3:Q$759)</f>
        <v>CC059</v>
      </c>
      <c r="H112" s="12" t="str">
        <f>_xlfn.XLOOKUP(A112,'[3]Budgets 2027'!I$3:I$759,'[3]Budgets 2027'!R$3:R$759)</f>
        <v>Haulage</v>
      </c>
    </row>
    <row r="113" spans="1:8" x14ac:dyDescent="0.3">
      <c r="A113" s="98" t="s">
        <v>4659</v>
      </c>
      <c r="B113" s="79">
        <v>0</v>
      </c>
      <c r="C113" s="98" t="s">
        <v>4652</v>
      </c>
      <c r="D113" s="12" t="str">
        <f>_xlfn.XLOOKUP(A113,'[4]Fleet Master'!D$3:D$52,'[4]Fleet Master'!F$3:F$52)</f>
        <v>45T</v>
      </c>
      <c r="E113" s="12" t="s">
        <v>1702</v>
      </c>
      <c r="F113" s="12" t="s">
        <v>4600</v>
      </c>
      <c r="G113" s="12" t="str">
        <f>_xlfn.XLOOKUP(A113,'[3]Budgets 2027'!I$3:I$759,'[3]Budgets 2027'!Q$3:Q$759)</f>
        <v>CC059</v>
      </c>
      <c r="H113" s="12" t="str">
        <f>_xlfn.XLOOKUP(A113,'[3]Budgets 2027'!I$3:I$759,'[3]Budgets 2027'!R$3:R$759)</f>
        <v>Haulage</v>
      </c>
    </row>
    <row r="114" spans="1:8" x14ac:dyDescent="0.3">
      <c r="A114" s="98" t="s">
        <v>4660</v>
      </c>
      <c r="B114" s="79">
        <v>0</v>
      </c>
      <c r="C114" s="98" t="s">
        <v>4652</v>
      </c>
      <c r="D114" s="12" t="str">
        <f>_xlfn.XLOOKUP(A114,'[4]Fleet Master'!D$3:D$52,'[4]Fleet Master'!F$3:F$52)</f>
        <v>45T</v>
      </c>
      <c r="E114" s="12" t="s">
        <v>1702</v>
      </c>
      <c r="F114" s="12" t="s">
        <v>4600</v>
      </c>
      <c r="G114" s="12" t="str">
        <f>_xlfn.XLOOKUP(A114,'[3]Budgets 2027'!I$3:I$759,'[3]Budgets 2027'!Q$3:Q$759)</f>
        <v>CC059</v>
      </c>
      <c r="H114" s="12" t="str">
        <f>_xlfn.XLOOKUP(A114,'[3]Budgets 2027'!I$3:I$759,'[3]Budgets 2027'!R$3:R$759)</f>
        <v>Haulage</v>
      </c>
    </row>
    <row r="115" spans="1:8" x14ac:dyDescent="0.3">
      <c r="A115" s="98" t="s">
        <v>4661</v>
      </c>
      <c r="B115" s="79">
        <v>0</v>
      </c>
      <c r="C115" s="98" t="s">
        <v>4652</v>
      </c>
      <c r="D115" s="12" t="s">
        <v>23</v>
      </c>
      <c r="E115" s="12" t="s">
        <v>1702</v>
      </c>
      <c r="F115" s="12" t="s">
        <v>4600</v>
      </c>
      <c r="G115" s="12" t="str">
        <f>_xlfn.XLOOKUP(A115,'[3]Budgets 2027'!I$3:I$759,'[3]Budgets 2027'!Q$3:Q$759)</f>
        <v>CC059</v>
      </c>
      <c r="H115" s="12" t="str">
        <f>_xlfn.XLOOKUP(A115,'[3]Budgets 2027'!I$3:I$759,'[3]Budgets 2027'!R$3:R$759)</f>
        <v>Haulage</v>
      </c>
    </row>
    <row r="116" spans="1:8" x14ac:dyDescent="0.3">
      <c r="A116" s="98" t="s">
        <v>4662</v>
      </c>
      <c r="B116" s="79">
        <v>0</v>
      </c>
      <c r="C116" s="98" t="s">
        <v>4652</v>
      </c>
      <c r="D116" s="12" t="str">
        <f>_xlfn.XLOOKUP(A116,'[4]Fleet Master'!D$3:D$52,'[4]Fleet Master'!F$3:F$52)</f>
        <v>45T</v>
      </c>
      <c r="E116" s="12" t="s">
        <v>1702</v>
      </c>
      <c r="F116" s="12" t="s">
        <v>4600</v>
      </c>
      <c r="G116" s="12" t="str">
        <f>_xlfn.XLOOKUP(A116,'[3]Budgets 2027'!I$3:I$759,'[3]Budgets 2027'!Q$3:Q$759)</f>
        <v>CC059</v>
      </c>
      <c r="H116" s="12" t="str">
        <f>_xlfn.XLOOKUP(A116,'[3]Budgets 2027'!I$3:I$759,'[3]Budgets 2027'!R$3:R$759)</f>
        <v>Haulage</v>
      </c>
    </row>
    <row r="117" spans="1:8" x14ac:dyDescent="0.3">
      <c r="A117" s="98" t="s">
        <v>4663</v>
      </c>
      <c r="B117" s="79">
        <v>0</v>
      </c>
      <c r="C117" s="98" t="s">
        <v>4652</v>
      </c>
      <c r="D117" s="12" t="s">
        <v>23</v>
      </c>
      <c r="E117" s="12" t="s">
        <v>1702</v>
      </c>
      <c r="F117" s="12" t="s">
        <v>4600</v>
      </c>
      <c r="G117" s="12" t="str">
        <f>_xlfn.XLOOKUP(A117,'[3]Budgets 2027'!I$3:I$759,'[3]Budgets 2027'!Q$3:Q$759)</f>
        <v>CC059</v>
      </c>
      <c r="H117" s="12" t="str">
        <f>_xlfn.XLOOKUP(A117,'[3]Budgets 2027'!I$3:I$759,'[3]Budgets 2027'!R$3:R$759)</f>
        <v>Haulage</v>
      </c>
    </row>
    <row r="118" spans="1:8" x14ac:dyDescent="0.3">
      <c r="A118" s="98" t="s">
        <v>4664</v>
      </c>
      <c r="B118" s="79">
        <v>0</v>
      </c>
      <c r="C118" s="98" t="s">
        <v>4652</v>
      </c>
      <c r="D118" s="12" t="str">
        <f>_xlfn.XLOOKUP(A118,'[4]Fleet Master'!D$3:D$52,'[4]Fleet Master'!F$3:F$52)</f>
        <v>45T</v>
      </c>
      <c r="E118" s="12" t="s">
        <v>1702</v>
      </c>
      <c r="F118" s="12" t="s">
        <v>4600</v>
      </c>
      <c r="G118" s="12" t="str">
        <f>_xlfn.XLOOKUP(A118,'[3]Budgets 2027'!I$3:I$759,'[3]Budgets 2027'!Q$3:Q$759)</f>
        <v>CC059</v>
      </c>
      <c r="H118" s="12" t="str">
        <f>_xlfn.XLOOKUP(A118,'[3]Budgets 2027'!I$3:I$759,'[3]Budgets 2027'!R$3:R$759)</f>
        <v>Haulage</v>
      </c>
    </row>
    <row r="119" spans="1:8" x14ac:dyDescent="0.3">
      <c r="A119" s="98" t="s">
        <v>4665</v>
      </c>
      <c r="B119" s="79">
        <v>0</v>
      </c>
      <c r="C119" s="98" t="s">
        <v>4652</v>
      </c>
      <c r="D119" s="12" t="str">
        <f>_xlfn.XLOOKUP(A119,'[4]Fleet Master'!D$3:D$52,'[4]Fleet Master'!F$3:F$52)</f>
        <v>45T</v>
      </c>
      <c r="E119" s="12" t="s">
        <v>1702</v>
      </c>
      <c r="F119" s="12" t="s">
        <v>4600</v>
      </c>
      <c r="G119" s="12" t="str">
        <f>_xlfn.XLOOKUP(A119,'[3]Budgets 2027'!I$3:I$759,'[3]Budgets 2027'!Q$3:Q$759)</f>
        <v>CC059</v>
      </c>
      <c r="H119" s="12" t="str">
        <f>_xlfn.XLOOKUP(A119,'[3]Budgets 2027'!I$3:I$759,'[3]Budgets 2027'!R$3:R$759)</f>
        <v>Haulage</v>
      </c>
    </row>
    <row r="120" spans="1:8" x14ac:dyDescent="0.3">
      <c r="A120" s="98" t="s">
        <v>4666</v>
      </c>
      <c r="B120" s="79">
        <v>0</v>
      </c>
      <c r="C120" s="98" t="s">
        <v>4652</v>
      </c>
      <c r="D120" s="12" t="s">
        <v>23</v>
      </c>
      <c r="E120" s="12" t="s">
        <v>1702</v>
      </c>
      <c r="F120" s="12" t="s">
        <v>4600</v>
      </c>
      <c r="G120" s="12" t="str">
        <f>_xlfn.XLOOKUP(A120,'[3]Budgets 2027'!I$3:I$759,'[3]Budgets 2027'!Q$3:Q$759)</f>
        <v>CC059</v>
      </c>
      <c r="H120" s="12" t="str">
        <f>_xlfn.XLOOKUP(A120,'[3]Budgets 2027'!I$3:I$759,'[3]Budgets 2027'!R$3:R$759)</f>
        <v>Haulage</v>
      </c>
    </row>
    <row r="121" spans="1:8" x14ac:dyDescent="0.3">
      <c r="A121" s="98" t="s">
        <v>4667</v>
      </c>
      <c r="B121" s="79">
        <v>0</v>
      </c>
      <c r="C121" s="98" t="s">
        <v>4652</v>
      </c>
      <c r="D121" s="12" t="s">
        <v>23</v>
      </c>
      <c r="E121" s="12" t="s">
        <v>1702</v>
      </c>
      <c r="F121" s="12" t="s">
        <v>4600</v>
      </c>
      <c r="G121" s="12" t="str">
        <f>_xlfn.XLOOKUP(A121,'[3]Budgets 2027'!I$3:I$759,'[3]Budgets 2027'!Q$3:Q$759)</f>
        <v>CC059</v>
      </c>
      <c r="H121" s="12" t="str">
        <f>_xlfn.XLOOKUP(A121,'[3]Budgets 2027'!I$3:I$759,'[3]Budgets 2027'!R$3:R$759)</f>
        <v>Haulage</v>
      </c>
    </row>
    <row r="122" spans="1:8" x14ac:dyDescent="0.3">
      <c r="A122" s="98" t="s">
        <v>4668</v>
      </c>
      <c r="B122" s="79">
        <v>0</v>
      </c>
      <c r="C122" s="98" t="s">
        <v>4652</v>
      </c>
      <c r="D122" s="12" t="s">
        <v>23</v>
      </c>
      <c r="E122" s="12" t="s">
        <v>1702</v>
      </c>
      <c r="F122" s="12" t="s">
        <v>4600</v>
      </c>
      <c r="G122" s="12" t="str">
        <f>_xlfn.XLOOKUP(A122,'[3]Budgets 2027'!I$3:I$759,'[3]Budgets 2027'!Q$3:Q$759)</f>
        <v>CC059</v>
      </c>
      <c r="H122" s="12" t="str">
        <f>_xlfn.XLOOKUP(A122,'[3]Budgets 2027'!I$3:I$759,'[3]Budgets 2027'!R$3:R$759)</f>
        <v>Haulage</v>
      </c>
    </row>
    <row r="123" spans="1:8" x14ac:dyDescent="0.3">
      <c r="A123" s="98" t="s">
        <v>4669</v>
      </c>
      <c r="B123" s="79">
        <v>0</v>
      </c>
      <c r="C123" s="98" t="s">
        <v>4652</v>
      </c>
      <c r="D123" s="12" t="s">
        <v>23</v>
      </c>
      <c r="E123" s="12" t="s">
        <v>1702</v>
      </c>
      <c r="F123" s="12" t="s">
        <v>4600</v>
      </c>
      <c r="G123" s="12" t="str">
        <f>_xlfn.XLOOKUP(A123,'[3]Budgets 2027'!I$3:I$759,'[3]Budgets 2027'!Q$3:Q$759)</f>
        <v>CC059</v>
      </c>
      <c r="H123" s="12" t="str">
        <f>_xlfn.XLOOKUP(A123,'[3]Budgets 2027'!I$3:I$759,'[3]Budgets 2027'!R$3:R$759)</f>
        <v>Haulage</v>
      </c>
    </row>
    <row r="124" spans="1:8" x14ac:dyDescent="0.3">
      <c r="A124" s="98" t="s">
        <v>4670</v>
      </c>
      <c r="B124" s="79">
        <v>0</v>
      </c>
      <c r="C124" s="98" t="s">
        <v>4652</v>
      </c>
      <c r="D124" s="12" t="s">
        <v>23</v>
      </c>
      <c r="E124" s="12" t="s">
        <v>1702</v>
      </c>
      <c r="F124" s="12" t="s">
        <v>4600</v>
      </c>
      <c r="G124" s="12" t="str">
        <f>_xlfn.XLOOKUP(A124,'[3]Budgets 2027'!I$3:I$759,'[3]Budgets 2027'!Q$3:Q$759)</f>
        <v>CC059</v>
      </c>
      <c r="H124" s="12" t="str">
        <f>_xlfn.XLOOKUP(A124,'[3]Budgets 2027'!I$3:I$759,'[3]Budgets 2027'!R$3:R$759)</f>
        <v>Haulage</v>
      </c>
    </row>
    <row r="125" spans="1:8" x14ac:dyDescent="0.3">
      <c r="A125" s="98" t="s">
        <v>4671</v>
      </c>
      <c r="B125" s="79">
        <v>0</v>
      </c>
      <c r="C125" s="98" t="s">
        <v>4652</v>
      </c>
      <c r="D125" s="12" t="s">
        <v>23</v>
      </c>
      <c r="E125" s="12" t="s">
        <v>1702</v>
      </c>
      <c r="F125" s="12" t="s">
        <v>4600</v>
      </c>
      <c r="G125" s="12" t="str">
        <f>_xlfn.XLOOKUP(A125,'[3]Budgets 2027'!I$3:I$759,'[3]Budgets 2027'!Q$3:Q$759)</f>
        <v>CC059</v>
      </c>
      <c r="H125" s="12" t="str">
        <f>_xlfn.XLOOKUP(A125,'[3]Budgets 2027'!I$3:I$759,'[3]Budgets 2027'!R$3:R$759)</f>
        <v>Haulage</v>
      </c>
    </row>
  </sheetData>
  <autoFilter ref="A1:H125" xr:uid="{AEDBDCC8-710E-4FD9-952E-2530D980B2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B6E95-A29B-428A-9BC6-E64368FAC588}">
  <dimension ref="A1:L727"/>
  <sheetViews>
    <sheetView zoomScaleNormal="100" workbookViewId="0">
      <pane xSplit="1" ySplit="1" topLeftCell="B247" activePane="bottomRight" state="frozen"/>
      <selection pane="topRight" activeCell="B1" sqref="B1"/>
      <selection pane="bottomLeft" activeCell="A2" sqref="A2"/>
      <selection pane="bottomRight" activeCell="C269" sqref="C269"/>
    </sheetView>
  </sheetViews>
  <sheetFormatPr defaultColWidth="8.6640625" defaultRowHeight="14.4" x14ac:dyDescent="0.3"/>
  <cols>
    <col min="1" max="1" width="20" style="87" customWidth="1"/>
    <col min="2" max="2" width="26" style="87" customWidth="1"/>
    <col min="3" max="3" width="48" style="87" customWidth="1"/>
    <col min="4" max="4" width="34" style="87" customWidth="1"/>
    <col min="5" max="5" width="14" style="87" customWidth="1"/>
    <col min="6" max="6" width="17" style="87" customWidth="1"/>
    <col min="7" max="7" width="15" style="87" customWidth="1"/>
    <col min="8" max="8" width="24" style="87" customWidth="1"/>
    <col min="9" max="9" width="26" style="87" customWidth="1"/>
    <col min="10" max="10" width="36" style="87" customWidth="1"/>
    <col min="11" max="11" width="18.44140625" style="87" customWidth="1"/>
    <col min="12" max="12" width="12.77734375" style="87" bestFit="1" customWidth="1"/>
    <col min="13" max="16384" width="8.6640625" style="87"/>
  </cols>
  <sheetData>
    <row r="1" spans="1:12" ht="30" customHeight="1" x14ac:dyDescent="0.3">
      <c r="A1" s="86" t="s">
        <v>2238</v>
      </c>
      <c r="B1" s="86" t="s">
        <v>2239</v>
      </c>
      <c r="C1" s="86" t="s">
        <v>2240</v>
      </c>
      <c r="D1" s="86" t="s">
        <v>2241</v>
      </c>
      <c r="E1" s="86" t="s">
        <v>2242</v>
      </c>
      <c r="F1" s="86" t="s">
        <v>2243</v>
      </c>
      <c r="G1" s="86" t="s">
        <v>2244</v>
      </c>
      <c r="H1" s="86" t="s">
        <v>2245</v>
      </c>
      <c r="I1" s="86" t="s">
        <v>2246</v>
      </c>
      <c r="J1" s="86" t="s">
        <v>2247</v>
      </c>
      <c r="K1" s="86" t="s">
        <v>2248</v>
      </c>
      <c r="L1" s="86" t="s">
        <v>2249</v>
      </c>
    </row>
    <row r="2" spans="1:12" x14ac:dyDescent="0.3">
      <c r="A2" s="88" t="s">
        <v>2250</v>
      </c>
      <c r="B2" s="88" t="s">
        <v>2251</v>
      </c>
      <c r="C2" s="88" t="s">
        <v>2252</v>
      </c>
      <c r="D2" s="88" t="s">
        <v>2253</v>
      </c>
      <c r="E2" s="88" t="s">
        <v>2254</v>
      </c>
      <c r="F2" s="88" t="s">
        <v>2255</v>
      </c>
      <c r="G2" s="88" t="s">
        <v>2256</v>
      </c>
      <c r="H2" s="89" t="s">
        <v>2257</v>
      </c>
      <c r="I2" s="89" t="s">
        <v>2253</v>
      </c>
      <c r="J2" s="89" t="s">
        <v>2258</v>
      </c>
      <c r="K2" s="88" t="s">
        <v>2256</v>
      </c>
      <c r="L2" s="90">
        <v>320000</v>
      </c>
    </row>
    <row r="3" spans="1:12" x14ac:dyDescent="0.3">
      <c r="A3" s="88" t="s">
        <v>2259</v>
      </c>
      <c r="B3" s="88" t="s">
        <v>2260</v>
      </c>
      <c r="C3" s="88" t="s">
        <v>2261</v>
      </c>
      <c r="D3" s="88" t="s">
        <v>2253</v>
      </c>
      <c r="E3" s="88" t="s">
        <v>2254</v>
      </c>
      <c r="F3" s="88" t="s">
        <v>2262</v>
      </c>
      <c r="G3" s="88" t="s">
        <v>2256</v>
      </c>
      <c r="H3" s="89" t="s">
        <v>2257</v>
      </c>
      <c r="I3" s="89" t="s">
        <v>2253</v>
      </c>
      <c r="J3" s="89" t="s">
        <v>2258</v>
      </c>
      <c r="K3" s="88" t="s">
        <v>2256</v>
      </c>
      <c r="L3" s="90">
        <v>24000</v>
      </c>
    </row>
    <row r="4" spans="1:12" x14ac:dyDescent="0.3">
      <c r="A4" s="88" t="s">
        <v>2263</v>
      </c>
      <c r="B4" s="88" t="s">
        <v>2264</v>
      </c>
      <c r="C4" s="88" t="s">
        <v>2265</v>
      </c>
      <c r="D4" s="88" t="s">
        <v>2266</v>
      </c>
      <c r="E4" s="88" t="s">
        <v>2254</v>
      </c>
      <c r="F4" s="88" t="s">
        <v>2267</v>
      </c>
      <c r="G4" s="88" t="s">
        <v>2256</v>
      </c>
      <c r="H4" s="89" t="s">
        <v>2257</v>
      </c>
      <c r="I4" s="89" t="s">
        <v>2253</v>
      </c>
      <c r="J4" s="89" t="s">
        <v>2258</v>
      </c>
      <c r="K4" s="88" t="s">
        <v>2256</v>
      </c>
      <c r="L4" s="90">
        <v>200000</v>
      </c>
    </row>
    <row r="5" spans="1:12" x14ac:dyDescent="0.3">
      <c r="A5" s="88" t="s">
        <v>2268</v>
      </c>
      <c r="B5" s="88" t="s">
        <v>2269</v>
      </c>
      <c r="C5" s="88" t="s">
        <v>2270</v>
      </c>
      <c r="D5" s="88" t="s">
        <v>2271</v>
      </c>
      <c r="E5" s="88" t="s">
        <v>2254</v>
      </c>
      <c r="F5" s="88" t="s">
        <v>2267</v>
      </c>
      <c r="G5" s="88" t="s">
        <v>2256</v>
      </c>
      <c r="H5" s="89" t="s">
        <v>2257</v>
      </c>
      <c r="I5" s="89" t="s">
        <v>2253</v>
      </c>
      <c r="J5" s="89" t="s">
        <v>2258</v>
      </c>
      <c r="K5" s="88" t="s">
        <v>2256</v>
      </c>
      <c r="L5" s="90">
        <v>240000</v>
      </c>
    </row>
    <row r="6" spans="1:12" x14ac:dyDescent="0.3">
      <c r="A6" s="88" t="s">
        <v>2272</v>
      </c>
      <c r="B6" s="88" t="s">
        <v>2269</v>
      </c>
      <c r="C6" s="88" t="s">
        <v>2273</v>
      </c>
      <c r="D6" s="88" t="s">
        <v>2274</v>
      </c>
      <c r="E6" s="88" t="s">
        <v>2254</v>
      </c>
      <c r="F6" s="88" t="s">
        <v>2267</v>
      </c>
      <c r="G6" s="88" t="s">
        <v>2256</v>
      </c>
      <c r="H6" s="89" t="s">
        <v>2257</v>
      </c>
      <c r="I6" s="89" t="s">
        <v>2253</v>
      </c>
      <c r="J6" s="89" t="s">
        <v>2275</v>
      </c>
      <c r="K6" s="88" t="s">
        <v>2256</v>
      </c>
      <c r="L6" s="90">
        <v>0</v>
      </c>
    </row>
    <row r="7" spans="1:12" x14ac:dyDescent="0.3">
      <c r="A7" s="88" t="s">
        <v>2276</v>
      </c>
      <c r="B7" s="88" t="s">
        <v>2251</v>
      </c>
      <c r="C7" s="88" t="s">
        <v>2277</v>
      </c>
      <c r="D7" s="88" t="s">
        <v>2278</v>
      </c>
      <c r="E7" s="88" t="s">
        <v>2254</v>
      </c>
      <c r="F7" s="88" t="s">
        <v>2255</v>
      </c>
      <c r="G7" s="88" t="s">
        <v>2256</v>
      </c>
      <c r="H7" s="89" t="s">
        <v>2257</v>
      </c>
      <c r="I7" s="89" t="s">
        <v>2253</v>
      </c>
      <c r="J7" s="89" t="s">
        <v>2275</v>
      </c>
      <c r="K7" s="88" t="s">
        <v>2256</v>
      </c>
      <c r="L7" s="90">
        <v>18000</v>
      </c>
    </row>
    <row r="8" spans="1:12" x14ac:dyDescent="0.3">
      <c r="A8" s="88" t="s">
        <v>2279</v>
      </c>
      <c r="B8" s="88" t="s">
        <v>2269</v>
      </c>
      <c r="C8" s="88" t="s">
        <v>2280</v>
      </c>
      <c r="D8" s="88" t="s">
        <v>2280</v>
      </c>
      <c r="E8" s="88" t="s">
        <v>2254</v>
      </c>
      <c r="F8" s="88" t="s">
        <v>2267</v>
      </c>
      <c r="G8" s="88" t="s">
        <v>2256</v>
      </c>
      <c r="H8" s="89" t="s">
        <v>2257</v>
      </c>
      <c r="I8" s="89" t="s">
        <v>2253</v>
      </c>
      <c r="J8" s="89" t="s">
        <v>2275</v>
      </c>
      <c r="K8" s="88" t="s">
        <v>2256</v>
      </c>
      <c r="L8" s="90">
        <v>0</v>
      </c>
    </row>
    <row r="9" spans="1:12" x14ac:dyDescent="0.3">
      <c r="A9" s="88" t="s">
        <v>2281</v>
      </c>
      <c r="B9" s="88" t="s">
        <v>2269</v>
      </c>
      <c r="C9" s="88" t="s">
        <v>2282</v>
      </c>
      <c r="D9" s="88" t="s">
        <v>2283</v>
      </c>
      <c r="E9" s="88" t="s">
        <v>2254</v>
      </c>
      <c r="F9" s="88" t="s">
        <v>2284</v>
      </c>
      <c r="G9" s="88" t="s">
        <v>2256</v>
      </c>
      <c r="H9" s="89" t="s">
        <v>2257</v>
      </c>
      <c r="I9" s="89" t="s">
        <v>2285</v>
      </c>
      <c r="J9" s="89" t="s">
        <v>2286</v>
      </c>
      <c r="K9" s="88" t="s">
        <v>2256</v>
      </c>
      <c r="L9" s="90">
        <v>1000</v>
      </c>
    </row>
    <row r="10" spans="1:12" x14ac:dyDescent="0.3">
      <c r="A10" s="88" t="s">
        <v>2287</v>
      </c>
      <c r="B10" s="88" t="s">
        <v>2251</v>
      </c>
      <c r="C10" s="88" t="s">
        <v>2288</v>
      </c>
      <c r="D10" s="88" t="s">
        <v>2289</v>
      </c>
      <c r="E10" s="88" t="s">
        <v>2254</v>
      </c>
      <c r="F10" s="88" t="s">
        <v>2255</v>
      </c>
      <c r="G10" s="88" t="s">
        <v>2256</v>
      </c>
      <c r="H10" s="89" t="s">
        <v>2257</v>
      </c>
      <c r="I10" s="89" t="s">
        <v>2285</v>
      </c>
      <c r="J10" s="89" t="s">
        <v>2286</v>
      </c>
      <c r="K10" s="88" t="s">
        <v>2256</v>
      </c>
      <c r="L10" s="90">
        <v>0</v>
      </c>
    </row>
    <row r="11" spans="1:12" x14ac:dyDescent="0.3">
      <c r="A11" s="88" t="s">
        <v>2290</v>
      </c>
      <c r="B11" s="88" t="s">
        <v>2251</v>
      </c>
      <c r="C11" s="88" t="s">
        <v>2291</v>
      </c>
      <c r="D11" s="88" t="s">
        <v>2291</v>
      </c>
      <c r="E11" s="88" t="s">
        <v>2254</v>
      </c>
      <c r="F11" s="88" t="s">
        <v>2255</v>
      </c>
      <c r="G11" s="88" t="s">
        <v>2256</v>
      </c>
      <c r="H11" s="89" t="s">
        <v>2257</v>
      </c>
      <c r="I11" s="89" t="s">
        <v>2285</v>
      </c>
      <c r="J11" s="89" t="s">
        <v>2286</v>
      </c>
      <c r="K11" s="88" t="s">
        <v>2256</v>
      </c>
      <c r="L11" s="90">
        <v>0</v>
      </c>
    </row>
    <row r="12" spans="1:12" x14ac:dyDescent="0.3">
      <c r="A12" s="88" t="s">
        <v>2292</v>
      </c>
      <c r="B12" s="88" t="s">
        <v>2269</v>
      </c>
      <c r="C12" s="88" t="s">
        <v>2293</v>
      </c>
      <c r="D12" s="88" t="s">
        <v>2294</v>
      </c>
      <c r="E12" s="88" t="s">
        <v>2295</v>
      </c>
      <c r="F12" s="88" t="s">
        <v>2284</v>
      </c>
      <c r="G12" s="88" t="s">
        <v>2256</v>
      </c>
      <c r="H12" s="89" t="s">
        <v>2257</v>
      </c>
      <c r="I12" s="89" t="s">
        <v>2285</v>
      </c>
      <c r="J12" s="89" t="s">
        <v>2286</v>
      </c>
      <c r="K12" s="88" t="s">
        <v>2256</v>
      </c>
      <c r="L12" s="90">
        <v>1000</v>
      </c>
    </row>
    <row r="13" spans="1:12" x14ac:dyDescent="0.3">
      <c r="A13" s="88" t="s">
        <v>2296</v>
      </c>
      <c r="B13" s="88" t="s">
        <v>2269</v>
      </c>
      <c r="C13" s="88" t="s">
        <v>2297</v>
      </c>
      <c r="D13" s="88" t="s">
        <v>2298</v>
      </c>
      <c r="E13" s="88" t="s">
        <v>2295</v>
      </c>
      <c r="F13" s="88" t="s">
        <v>2284</v>
      </c>
      <c r="G13" s="88" t="s">
        <v>2256</v>
      </c>
      <c r="H13" s="89" t="s">
        <v>2257</v>
      </c>
      <c r="I13" s="89" t="s">
        <v>2285</v>
      </c>
      <c r="J13" s="89" t="s">
        <v>2286</v>
      </c>
      <c r="K13" s="88" t="s">
        <v>2256</v>
      </c>
      <c r="L13" s="90">
        <v>1000</v>
      </c>
    </row>
    <row r="14" spans="1:12" x14ac:dyDescent="0.3">
      <c r="A14" s="88" t="s">
        <v>2299</v>
      </c>
      <c r="B14" s="88" t="s">
        <v>2269</v>
      </c>
      <c r="C14" s="88" t="s">
        <v>2300</v>
      </c>
      <c r="D14" s="88" t="s">
        <v>2301</v>
      </c>
      <c r="E14" s="88" t="s">
        <v>2295</v>
      </c>
      <c r="F14" s="88" t="s">
        <v>2284</v>
      </c>
      <c r="G14" s="88" t="s">
        <v>2256</v>
      </c>
      <c r="H14" s="89" t="s">
        <v>2257</v>
      </c>
      <c r="I14" s="89" t="s">
        <v>2285</v>
      </c>
      <c r="J14" s="89" t="s">
        <v>2286</v>
      </c>
      <c r="K14" s="88" t="s">
        <v>2256</v>
      </c>
      <c r="L14" s="90">
        <v>1000</v>
      </c>
    </row>
    <row r="15" spans="1:12" x14ac:dyDescent="0.3">
      <c r="A15" s="88" t="s">
        <v>2302</v>
      </c>
      <c r="B15" s="88" t="s">
        <v>2260</v>
      </c>
      <c r="C15" s="88" t="s">
        <v>2303</v>
      </c>
      <c r="D15" s="88" t="s">
        <v>2303</v>
      </c>
      <c r="E15" s="88" t="s">
        <v>2254</v>
      </c>
      <c r="F15" s="88" t="s">
        <v>2304</v>
      </c>
      <c r="G15" s="88" t="s">
        <v>2256</v>
      </c>
      <c r="H15" s="89" t="s">
        <v>2257</v>
      </c>
      <c r="I15" s="89" t="s">
        <v>2285</v>
      </c>
      <c r="J15" s="89" t="s">
        <v>2286</v>
      </c>
      <c r="K15" s="88" t="s">
        <v>2256</v>
      </c>
      <c r="L15" s="90">
        <v>8000</v>
      </c>
    </row>
    <row r="16" spans="1:12" x14ac:dyDescent="0.3">
      <c r="A16" s="88" t="s">
        <v>2305</v>
      </c>
      <c r="B16" s="88" t="s">
        <v>2269</v>
      </c>
      <c r="C16" s="88" t="s">
        <v>2306</v>
      </c>
      <c r="D16" s="88" t="s">
        <v>2307</v>
      </c>
      <c r="E16" s="88" t="s">
        <v>2254</v>
      </c>
      <c r="F16" s="88" t="s">
        <v>2267</v>
      </c>
      <c r="G16" s="88" t="s">
        <v>2256</v>
      </c>
      <c r="H16" s="89" t="s">
        <v>2257</v>
      </c>
      <c r="I16" s="89" t="s">
        <v>2285</v>
      </c>
      <c r="J16" s="89" t="s">
        <v>2286</v>
      </c>
      <c r="K16" s="88" t="s">
        <v>2256</v>
      </c>
      <c r="L16" s="90">
        <v>7000</v>
      </c>
    </row>
    <row r="17" spans="1:12" x14ac:dyDescent="0.3">
      <c r="A17" s="88" t="s">
        <v>2308</v>
      </c>
      <c r="B17" s="88" t="s">
        <v>2309</v>
      </c>
      <c r="C17" s="88" t="s">
        <v>2310</v>
      </c>
      <c r="D17" s="88" t="s">
        <v>2307</v>
      </c>
      <c r="E17" s="88" t="s">
        <v>2254</v>
      </c>
      <c r="F17" s="88" t="s">
        <v>2267</v>
      </c>
      <c r="G17" s="88" t="s">
        <v>2256</v>
      </c>
      <c r="H17" s="89" t="s">
        <v>2257</v>
      </c>
      <c r="I17" s="89" t="s">
        <v>2285</v>
      </c>
      <c r="J17" s="89" t="s">
        <v>2286</v>
      </c>
      <c r="K17" s="88" t="s">
        <v>2256</v>
      </c>
      <c r="L17" s="90">
        <v>0</v>
      </c>
    </row>
    <row r="18" spans="1:12" x14ac:dyDescent="0.3">
      <c r="A18" s="88" t="s">
        <v>2311</v>
      </c>
      <c r="B18" s="88" t="s">
        <v>2251</v>
      </c>
      <c r="C18" s="88" t="s">
        <v>2312</v>
      </c>
      <c r="D18" s="88" t="s">
        <v>2312</v>
      </c>
      <c r="E18" s="88" t="s">
        <v>2254</v>
      </c>
      <c r="F18" s="88" t="s">
        <v>2255</v>
      </c>
      <c r="G18" s="88" t="s">
        <v>2256</v>
      </c>
      <c r="H18" s="89" t="s">
        <v>2257</v>
      </c>
      <c r="I18" s="89" t="s">
        <v>2285</v>
      </c>
      <c r="J18" s="89" t="s">
        <v>2286</v>
      </c>
      <c r="K18" s="88" t="s">
        <v>2256</v>
      </c>
      <c r="L18" s="90">
        <v>25000</v>
      </c>
    </row>
    <row r="19" spans="1:12" x14ac:dyDescent="0.3">
      <c r="A19" s="88" t="s">
        <v>2313</v>
      </c>
      <c r="B19" s="88" t="s">
        <v>2251</v>
      </c>
      <c r="C19" s="88" t="s">
        <v>2314</v>
      </c>
      <c r="D19" s="88" t="s">
        <v>2314</v>
      </c>
      <c r="E19" s="88" t="s">
        <v>2254</v>
      </c>
      <c r="F19" s="88" t="s">
        <v>2255</v>
      </c>
      <c r="G19" s="88" t="s">
        <v>2256</v>
      </c>
      <c r="H19" s="89" t="s">
        <v>2257</v>
      </c>
      <c r="I19" s="89" t="s">
        <v>2285</v>
      </c>
      <c r="J19" s="89" t="s">
        <v>2286</v>
      </c>
      <c r="K19" s="88" t="s">
        <v>2256</v>
      </c>
      <c r="L19" s="90">
        <v>22000</v>
      </c>
    </row>
    <row r="20" spans="1:12" x14ac:dyDescent="0.3">
      <c r="A20" s="88" t="s">
        <v>2315</v>
      </c>
      <c r="B20" s="88" t="s">
        <v>2251</v>
      </c>
      <c r="C20" s="88" t="s">
        <v>2316</v>
      </c>
      <c r="D20" s="88" t="s">
        <v>2317</v>
      </c>
      <c r="E20" s="88" t="s">
        <v>2254</v>
      </c>
      <c r="F20" s="88" t="s">
        <v>2255</v>
      </c>
      <c r="G20" s="88" t="s">
        <v>2256</v>
      </c>
      <c r="H20" s="89" t="s">
        <v>2257</v>
      </c>
      <c r="I20" s="89" t="s">
        <v>2285</v>
      </c>
      <c r="J20" s="89" t="s">
        <v>2286</v>
      </c>
      <c r="K20" s="88" t="s">
        <v>2256</v>
      </c>
      <c r="L20" s="90">
        <v>18000</v>
      </c>
    </row>
    <row r="21" spans="1:12" x14ac:dyDescent="0.3">
      <c r="A21" s="88" t="s">
        <v>2318</v>
      </c>
      <c r="B21" s="88" t="s">
        <v>2251</v>
      </c>
      <c r="C21" s="88" t="s">
        <v>2319</v>
      </c>
      <c r="D21" s="88" t="s">
        <v>2320</v>
      </c>
      <c r="E21" s="88" t="s">
        <v>2254</v>
      </c>
      <c r="F21" s="88" t="s">
        <v>2255</v>
      </c>
      <c r="G21" s="88" t="s">
        <v>2256</v>
      </c>
      <c r="H21" s="89" t="s">
        <v>2257</v>
      </c>
      <c r="I21" s="89" t="s">
        <v>2285</v>
      </c>
      <c r="J21" s="89" t="s">
        <v>2286</v>
      </c>
      <c r="K21" s="88" t="s">
        <v>2256</v>
      </c>
      <c r="L21" s="90">
        <v>40000</v>
      </c>
    </row>
    <row r="22" spans="1:12" x14ac:dyDescent="0.3">
      <c r="A22" s="88" t="s">
        <v>2321</v>
      </c>
      <c r="B22" s="88" t="s">
        <v>2322</v>
      </c>
      <c r="C22" s="88" t="s">
        <v>2323</v>
      </c>
      <c r="D22" s="88" t="s">
        <v>2324</v>
      </c>
      <c r="E22" s="88" t="s">
        <v>2254</v>
      </c>
      <c r="F22" s="88" t="s">
        <v>2262</v>
      </c>
      <c r="G22" s="88" t="s">
        <v>2256</v>
      </c>
      <c r="H22" s="89" t="s">
        <v>2257</v>
      </c>
      <c r="I22" s="89" t="s">
        <v>2285</v>
      </c>
      <c r="J22" s="89" t="s">
        <v>2286</v>
      </c>
      <c r="K22" s="88" t="s">
        <v>2256</v>
      </c>
      <c r="L22" s="90">
        <v>0</v>
      </c>
    </row>
    <row r="23" spans="1:12" x14ac:dyDescent="0.3">
      <c r="A23" s="88" t="s">
        <v>2325</v>
      </c>
      <c r="B23" s="88" t="s">
        <v>2269</v>
      </c>
      <c r="C23" s="88" t="s">
        <v>2326</v>
      </c>
      <c r="D23" s="88" t="s">
        <v>2327</v>
      </c>
      <c r="E23" s="88" t="s">
        <v>2254</v>
      </c>
      <c r="F23" s="88" t="s">
        <v>2284</v>
      </c>
      <c r="G23" s="88" t="s">
        <v>2256</v>
      </c>
      <c r="H23" s="89" t="s">
        <v>2257</v>
      </c>
      <c r="I23" s="89" t="s">
        <v>2285</v>
      </c>
      <c r="J23" s="89" t="s">
        <v>2286</v>
      </c>
      <c r="K23" s="88" t="s">
        <v>2256</v>
      </c>
      <c r="L23" s="90">
        <v>1000</v>
      </c>
    </row>
    <row r="24" spans="1:12" x14ac:dyDescent="0.3">
      <c r="A24" s="88" t="s">
        <v>2328</v>
      </c>
      <c r="B24" s="88" t="s">
        <v>2269</v>
      </c>
      <c r="C24" s="88" t="s">
        <v>2329</v>
      </c>
      <c r="D24" s="88" t="s">
        <v>2330</v>
      </c>
      <c r="E24" s="88" t="s">
        <v>2254</v>
      </c>
      <c r="F24" s="88" t="s">
        <v>2284</v>
      </c>
      <c r="G24" s="88" t="s">
        <v>2256</v>
      </c>
      <c r="H24" s="89" t="s">
        <v>2257</v>
      </c>
      <c r="I24" s="89" t="s">
        <v>2285</v>
      </c>
      <c r="J24" s="89" t="s">
        <v>2286</v>
      </c>
      <c r="K24" s="88" t="s">
        <v>2256</v>
      </c>
      <c r="L24" s="90">
        <v>4000</v>
      </c>
    </row>
    <row r="25" spans="1:12" x14ac:dyDescent="0.3">
      <c r="A25" s="88" t="s">
        <v>2331</v>
      </c>
      <c r="B25" s="88" t="s">
        <v>2269</v>
      </c>
      <c r="C25" s="88" t="s">
        <v>2332</v>
      </c>
      <c r="D25" s="88" t="s">
        <v>2333</v>
      </c>
      <c r="E25" s="88" t="s">
        <v>2254</v>
      </c>
      <c r="F25" s="88" t="s">
        <v>2284</v>
      </c>
      <c r="G25" s="88" t="s">
        <v>2256</v>
      </c>
      <c r="H25" s="89" t="s">
        <v>2257</v>
      </c>
      <c r="I25" s="89" t="s">
        <v>2285</v>
      </c>
      <c r="J25" s="89" t="s">
        <v>2286</v>
      </c>
      <c r="K25" s="88" t="s">
        <v>2256</v>
      </c>
      <c r="L25" s="90">
        <v>8000</v>
      </c>
    </row>
    <row r="26" spans="1:12" x14ac:dyDescent="0.3">
      <c r="A26" s="88" t="s">
        <v>2334</v>
      </c>
      <c r="B26" s="88" t="s">
        <v>2251</v>
      </c>
      <c r="C26" s="88" t="s">
        <v>2335</v>
      </c>
      <c r="D26" s="88" t="s">
        <v>2336</v>
      </c>
      <c r="E26" s="88" t="s">
        <v>2254</v>
      </c>
      <c r="F26" s="88" t="s">
        <v>2255</v>
      </c>
      <c r="G26" s="88" t="s">
        <v>2256</v>
      </c>
      <c r="H26" s="89" t="s">
        <v>2257</v>
      </c>
      <c r="I26" s="89" t="s">
        <v>2285</v>
      </c>
      <c r="J26" s="89" t="s">
        <v>2286</v>
      </c>
      <c r="K26" s="88" t="s">
        <v>2256</v>
      </c>
      <c r="L26" s="90">
        <v>0</v>
      </c>
    </row>
    <row r="27" spans="1:12" x14ac:dyDescent="0.3">
      <c r="A27" s="88" t="s">
        <v>2337</v>
      </c>
      <c r="B27" s="88" t="s">
        <v>2269</v>
      </c>
      <c r="C27" s="88" t="s">
        <v>2338</v>
      </c>
      <c r="D27" s="88" t="s">
        <v>2339</v>
      </c>
      <c r="E27" s="88" t="s">
        <v>2254</v>
      </c>
      <c r="F27" s="88" t="s">
        <v>2267</v>
      </c>
      <c r="G27" s="88" t="s">
        <v>2256</v>
      </c>
      <c r="H27" s="89" t="s">
        <v>2257</v>
      </c>
      <c r="I27" s="89" t="s">
        <v>2340</v>
      </c>
      <c r="J27" s="89" t="s">
        <v>2341</v>
      </c>
      <c r="K27" s="88" t="s">
        <v>2256</v>
      </c>
      <c r="L27" s="90">
        <v>27000</v>
      </c>
    </row>
    <row r="28" spans="1:12" x14ac:dyDescent="0.3">
      <c r="A28" s="88" t="s">
        <v>2342</v>
      </c>
      <c r="B28" s="88" t="s">
        <v>2264</v>
      </c>
      <c r="C28" s="88" t="s">
        <v>2343</v>
      </c>
      <c r="D28" s="88" t="s">
        <v>2344</v>
      </c>
      <c r="E28" s="88" t="s">
        <v>2254</v>
      </c>
      <c r="F28" s="88" t="s">
        <v>2267</v>
      </c>
      <c r="G28" s="88" t="s">
        <v>2256</v>
      </c>
      <c r="H28" s="89" t="s">
        <v>2257</v>
      </c>
      <c r="I28" s="89" t="s">
        <v>2345</v>
      </c>
      <c r="J28" s="89" t="s">
        <v>2345</v>
      </c>
      <c r="K28" s="88" t="s">
        <v>2256</v>
      </c>
      <c r="L28" s="90">
        <v>0</v>
      </c>
    </row>
    <row r="29" spans="1:12" x14ac:dyDescent="0.3">
      <c r="A29" s="88" t="s">
        <v>2346</v>
      </c>
      <c r="B29" s="88" t="s">
        <v>2260</v>
      </c>
      <c r="C29" s="88" t="s">
        <v>2347</v>
      </c>
      <c r="D29" s="88" t="s">
        <v>2347</v>
      </c>
      <c r="E29" s="88" t="s">
        <v>2348</v>
      </c>
      <c r="F29" s="88" t="s">
        <v>2304</v>
      </c>
      <c r="G29" s="88" t="s">
        <v>2256</v>
      </c>
      <c r="H29" s="89" t="s">
        <v>2257</v>
      </c>
      <c r="I29" s="89" t="s">
        <v>2345</v>
      </c>
      <c r="J29" s="89" t="s">
        <v>2345</v>
      </c>
      <c r="K29" s="88" t="s">
        <v>2256</v>
      </c>
      <c r="L29" s="90">
        <v>40000</v>
      </c>
    </row>
    <row r="30" spans="1:12" x14ac:dyDescent="0.3">
      <c r="A30" s="88" t="s">
        <v>2349</v>
      </c>
      <c r="B30" s="88" t="s">
        <v>2269</v>
      </c>
      <c r="C30" s="88" t="s">
        <v>2350</v>
      </c>
      <c r="D30" s="88" t="s">
        <v>2351</v>
      </c>
      <c r="E30" s="88" t="s">
        <v>2254</v>
      </c>
      <c r="F30" s="88" t="s">
        <v>2267</v>
      </c>
      <c r="G30" s="88" t="s">
        <v>2256</v>
      </c>
      <c r="H30" s="89" t="s">
        <v>2257</v>
      </c>
      <c r="I30" s="89" t="s">
        <v>2345</v>
      </c>
      <c r="J30" s="89" t="s">
        <v>2345</v>
      </c>
      <c r="K30" s="88" t="s">
        <v>2256</v>
      </c>
      <c r="L30" s="90">
        <v>0</v>
      </c>
    </row>
    <row r="31" spans="1:12" x14ac:dyDescent="0.3">
      <c r="A31" s="88" t="s">
        <v>2352</v>
      </c>
      <c r="B31" s="88" t="s">
        <v>2260</v>
      </c>
      <c r="C31" s="88" t="s">
        <v>2353</v>
      </c>
      <c r="D31" s="88" t="s">
        <v>2354</v>
      </c>
      <c r="E31" s="88" t="s">
        <v>2254</v>
      </c>
      <c r="F31" s="88" t="s">
        <v>2267</v>
      </c>
      <c r="G31" s="88" t="s">
        <v>2256</v>
      </c>
      <c r="H31" s="89" t="s">
        <v>2257</v>
      </c>
      <c r="I31" s="89" t="s">
        <v>2345</v>
      </c>
      <c r="J31" s="89" t="s">
        <v>2345</v>
      </c>
      <c r="K31" s="88" t="s">
        <v>2256</v>
      </c>
      <c r="L31" s="90">
        <v>0</v>
      </c>
    </row>
    <row r="32" spans="1:12" x14ac:dyDescent="0.3">
      <c r="A32" s="88" t="s">
        <v>2355</v>
      </c>
      <c r="B32" s="88" t="s">
        <v>2251</v>
      </c>
      <c r="C32" s="88" t="s">
        <v>2356</v>
      </c>
      <c r="D32" s="88" t="s">
        <v>2357</v>
      </c>
      <c r="E32" s="88" t="s">
        <v>2254</v>
      </c>
      <c r="F32" s="88" t="s">
        <v>2255</v>
      </c>
      <c r="G32" s="88" t="s">
        <v>2256</v>
      </c>
      <c r="H32" s="89" t="s">
        <v>2257</v>
      </c>
      <c r="I32" s="89" t="s">
        <v>2358</v>
      </c>
      <c r="J32" s="89" t="s">
        <v>2357</v>
      </c>
      <c r="K32" s="88" t="s">
        <v>2256</v>
      </c>
      <c r="L32" s="90">
        <v>17000</v>
      </c>
    </row>
    <row r="33" spans="1:12" x14ac:dyDescent="0.3">
      <c r="A33" s="88" t="s">
        <v>2359</v>
      </c>
      <c r="B33" s="88" t="s">
        <v>2360</v>
      </c>
      <c r="C33" s="88" t="s">
        <v>2361</v>
      </c>
      <c r="D33" s="88" t="s">
        <v>2362</v>
      </c>
      <c r="E33" s="88" t="s">
        <v>2254</v>
      </c>
      <c r="F33" s="88" t="s">
        <v>2363</v>
      </c>
      <c r="G33" s="88" t="s">
        <v>2256</v>
      </c>
      <c r="H33" s="89" t="s">
        <v>2257</v>
      </c>
      <c r="I33" s="89" t="s">
        <v>2364</v>
      </c>
      <c r="J33" s="89" t="s">
        <v>2365</v>
      </c>
      <c r="K33" s="88" t="s">
        <v>2256</v>
      </c>
      <c r="L33" s="90">
        <v>0</v>
      </c>
    </row>
    <row r="34" spans="1:12" x14ac:dyDescent="0.3">
      <c r="A34" s="88" t="s">
        <v>2366</v>
      </c>
      <c r="B34" s="88" t="s">
        <v>2269</v>
      </c>
      <c r="C34" s="88" t="s">
        <v>2367</v>
      </c>
      <c r="D34" s="88" t="s">
        <v>2368</v>
      </c>
      <c r="E34" s="88" t="s">
        <v>2254</v>
      </c>
      <c r="F34" s="88" t="s">
        <v>2267</v>
      </c>
      <c r="G34" s="88" t="s">
        <v>2256</v>
      </c>
      <c r="H34" s="89" t="s">
        <v>2257</v>
      </c>
      <c r="I34" s="89" t="s">
        <v>2364</v>
      </c>
      <c r="J34" s="89" t="s">
        <v>2365</v>
      </c>
      <c r="K34" s="88" t="s">
        <v>2256</v>
      </c>
      <c r="L34" s="90">
        <v>22500</v>
      </c>
    </row>
    <row r="35" spans="1:12" x14ac:dyDescent="0.3">
      <c r="A35" s="88" t="s">
        <v>2369</v>
      </c>
      <c r="B35" s="88" t="s">
        <v>2269</v>
      </c>
      <c r="C35" s="88" t="s">
        <v>2370</v>
      </c>
      <c r="D35" s="88" t="s">
        <v>2371</v>
      </c>
      <c r="E35" s="88" t="s">
        <v>2254</v>
      </c>
      <c r="F35" s="88" t="s">
        <v>2284</v>
      </c>
      <c r="G35" s="88" t="s">
        <v>2256</v>
      </c>
      <c r="H35" s="89" t="s">
        <v>2257</v>
      </c>
      <c r="I35" s="89" t="s">
        <v>2364</v>
      </c>
      <c r="J35" s="89" t="s">
        <v>2365</v>
      </c>
      <c r="K35" s="88" t="s">
        <v>2256</v>
      </c>
      <c r="L35" s="90">
        <v>16000</v>
      </c>
    </row>
    <row r="36" spans="1:12" x14ac:dyDescent="0.3">
      <c r="A36" s="88" t="s">
        <v>2372</v>
      </c>
      <c r="B36" s="88" t="s">
        <v>2251</v>
      </c>
      <c r="C36" s="88" t="s">
        <v>2373</v>
      </c>
      <c r="D36" s="88" t="s">
        <v>2374</v>
      </c>
      <c r="E36" s="88" t="s">
        <v>2348</v>
      </c>
      <c r="F36" s="88" t="s">
        <v>2284</v>
      </c>
      <c r="G36" s="88" t="s">
        <v>2256</v>
      </c>
      <c r="H36" s="89" t="s">
        <v>2257</v>
      </c>
      <c r="I36" s="89" t="s">
        <v>2364</v>
      </c>
      <c r="J36" s="89" t="s">
        <v>2365</v>
      </c>
      <c r="K36" s="88" t="s">
        <v>2256</v>
      </c>
      <c r="L36" s="90">
        <v>30000</v>
      </c>
    </row>
    <row r="37" spans="1:12" x14ac:dyDescent="0.3">
      <c r="A37" s="88" t="s">
        <v>2375</v>
      </c>
      <c r="B37" s="88" t="s">
        <v>2251</v>
      </c>
      <c r="C37" s="88" t="s">
        <v>2376</v>
      </c>
      <c r="D37" s="88" t="s">
        <v>2377</v>
      </c>
      <c r="E37" s="88" t="s">
        <v>2254</v>
      </c>
      <c r="F37" s="88" t="s">
        <v>2255</v>
      </c>
      <c r="G37" s="88" t="s">
        <v>2256</v>
      </c>
      <c r="H37" s="89" t="s">
        <v>2257</v>
      </c>
      <c r="I37" s="89" t="s">
        <v>2364</v>
      </c>
      <c r="J37" s="89" t="s">
        <v>2365</v>
      </c>
      <c r="K37" s="88" t="s">
        <v>2256</v>
      </c>
      <c r="L37" s="90">
        <v>0</v>
      </c>
    </row>
    <row r="38" spans="1:12" x14ac:dyDescent="0.3">
      <c r="A38" s="88" t="s">
        <v>2378</v>
      </c>
      <c r="B38" s="88" t="s">
        <v>2251</v>
      </c>
      <c r="C38" s="88" t="s">
        <v>2379</v>
      </c>
      <c r="D38" s="88" t="s">
        <v>2380</v>
      </c>
      <c r="E38" s="88" t="s">
        <v>2254</v>
      </c>
      <c r="F38" s="88" t="s">
        <v>2284</v>
      </c>
      <c r="G38" s="88" t="s">
        <v>2256</v>
      </c>
      <c r="H38" s="89" t="s">
        <v>2257</v>
      </c>
      <c r="I38" s="89" t="s">
        <v>2364</v>
      </c>
      <c r="J38" s="89" t="s">
        <v>2365</v>
      </c>
      <c r="K38" s="88" t="s">
        <v>2256</v>
      </c>
      <c r="L38" s="90">
        <v>0</v>
      </c>
    </row>
    <row r="39" spans="1:12" x14ac:dyDescent="0.3">
      <c r="A39" s="88" t="s">
        <v>2381</v>
      </c>
      <c r="B39" s="88" t="s">
        <v>2269</v>
      </c>
      <c r="C39" s="88" t="s">
        <v>2382</v>
      </c>
      <c r="D39" s="88" t="s">
        <v>2382</v>
      </c>
      <c r="E39" s="88" t="s">
        <v>2254</v>
      </c>
      <c r="F39" s="88" t="s">
        <v>2267</v>
      </c>
      <c r="G39" s="88" t="s">
        <v>2256</v>
      </c>
      <c r="H39" s="89" t="s">
        <v>2257</v>
      </c>
      <c r="I39" s="89" t="s">
        <v>2364</v>
      </c>
      <c r="J39" s="89" t="s">
        <v>2365</v>
      </c>
      <c r="K39" s="88" t="s">
        <v>2256</v>
      </c>
      <c r="L39" s="90">
        <v>0</v>
      </c>
    </row>
    <row r="40" spans="1:12" x14ac:dyDescent="0.3">
      <c r="A40" s="88" t="s">
        <v>2383</v>
      </c>
      <c r="B40" s="88" t="s">
        <v>2251</v>
      </c>
      <c r="C40" s="88" t="s">
        <v>2384</v>
      </c>
      <c r="D40" s="88" t="s">
        <v>2384</v>
      </c>
      <c r="E40" s="88" t="s">
        <v>2254</v>
      </c>
      <c r="F40" s="88" t="s">
        <v>2255</v>
      </c>
      <c r="G40" s="88" t="s">
        <v>2256</v>
      </c>
      <c r="H40" s="89" t="s">
        <v>2257</v>
      </c>
      <c r="I40" s="89" t="s">
        <v>2364</v>
      </c>
      <c r="J40" s="89" t="s">
        <v>2365</v>
      </c>
      <c r="K40" s="88" t="s">
        <v>2256</v>
      </c>
      <c r="L40" s="90">
        <v>24000</v>
      </c>
    </row>
    <row r="41" spans="1:12" x14ac:dyDescent="0.3">
      <c r="A41" s="88" t="s">
        <v>2385</v>
      </c>
      <c r="B41" s="88" t="s">
        <v>2269</v>
      </c>
      <c r="C41" s="88" t="s">
        <v>2386</v>
      </c>
      <c r="D41" s="88" t="s">
        <v>2384</v>
      </c>
      <c r="E41" s="88" t="s">
        <v>2254</v>
      </c>
      <c r="F41" s="88" t="s">
        <v>2284</v>
      </c>
      <c r="G41" s="88" t="s">
        <v>2256</v>
      </c>
      <c r="H41" s="89" t="s">
        <v>2257</v>
      </c>
      <c r="I41" s="89" t="s">
        <v>2364</v>
      </c>
      <c r="J41" s="89" t="s">
        <v>2365</v>
      </c>
      <c r="K41" s="88" t="s">
        <v>2256</v>
      </c>
      <c r="L41" s="90">
        <v>0</v>
      </c>
    </row>
    <row r="42" spans="1:12" x14ac:dyDescent="0.3">
      <c r="A42" s="88" t="s">
        <v>2387</v>
      </c>
      <c r="B42" s="88" t="s">
        <v>2269</v>
      </c>
      <c r="C42" s="88" t="s">
        <v>2388</v>
      </c>
      <c r="D42" s="88" t="s">
        <v>2388</v>
      </c>
      <c r="E42" s="88" t="s">
        <v>2254</v>
      </c>
      <c r="F42" s="88" t="s">
        <v>2267</v>
      </c>
      <c r="G42" s="88" t="s">
        <v>2256</v>
      </c>
      <c r="H42" s="89" t="s">
        <v>2257</v>
      </c>
      <c r="I42" s="89" t="s">
        <v>2364</v>
      </c>
      <c r="J42" s="89" t="s">
        <v>2365</v>
      </c>
      <c r="K42" s="88" t="s">
        <v>2256</v>
      </c>
      <c r="L42" s="90">
        <v>0</v>
      </c>
    </row>
    <row r="43" spans="1:12" x14ac:dyDescent="0.3">
      <c r="A43" s="88" t="s">
        <v>2389</v>
      </c>
      <c r="B43" s="88" t="s">
        <v>2269</v>
      </c>
      <c r="C43" s="88" t="s">
        <v>2390</v>
      </c>
      <c r="D43" s="88" t="s">
        <v>2391</v>
      </c>
      <c r="E43" s="88" t="s">
        <v>2254</v>
      </c>
      <c r="F43" s="88" t="s">
        <v>2284</v>
      </c>
      <c r="G43" s="88" t="s">
        <v>2256</v>
      </c>
      <c r="H43" s="89" t="s">
        <v>2257</v>
      </c>
      <c r="I43" s="89" t="s">
        <v>2364</v>
      </c>
      <c r="J43" s="89" t="s">
        <v>2365</v>
      </c>
      <c r="K43" s="88" t="s">
        <v>2256</v>
      </c>
      <c r="L43" s="90">
        <v>15000</v>
      </c>
    </row>
    <row r="44" spans="1:12" x14ac:dyDescent="0.3">
      <c r="A44" s="88" t="s">
        <v>2392</v>
      </c>
      <c r="B44" s="88" t="s">
        <v>2251</v>
      </c>
      <c r="C44" s="88" t="s">
        <v>2393</v>
      </c>
      <c r="D44" s="88" t="s">
        <v>2394</v>
      </c>
      <c r="E44" s="88" t="s">
        <v>2254</v>
      </c>
      <c r="F44" s="88" t="s">
        <v>2255</v>
      </c>
      <c r="G44" s="88" t="s">
        <v>2256</v>
      </c>
      <c r="H44" s="89" t="s">
        <v>2257</v>
      </c>
      <c r="I44" s="89" t="s">
        <v>2364</v>
      </c>
      <c r="J44" s="89" t="s">
        <v>2365</v>
      </c>
      <c r="K44" s="88" t="s">
        <v>2256</v>
      </c>
      <c r="L44" s="90">
        <v>18000</v>
      </c>
    </row>
    <row r="45" spans="1:12" x14ac:dyDescent="0.3">
      <c r="A45" s="88" t="s">
        <v>2395</v>
      </c>
      <c r="B45" s="88" t="s">
        <v>2269</v>
      </c>
      <c r="C45" s="88" t="s">
        <v>2396</v>
      </c>
      <c r="D45" s="88" t="s">
        <v>2397</v>
      </c>
      <c r="E45" s="88" t="s">
        <v>2254</v>
      </c>
      <c r="F45" s="88" t="s">
        <v>2267</v>
      </c>
      <c r="G45" s="88" t="s">
        <v>2256</v>
      </c>
      <c r="H45" s="89" t="s">
        <v>2257</v>
      </c>
      <c r="I45" s="89" t="s">
        <v>2364</v>
      </c>
      <c r="J45" s="89" t="s">
        <v>2365</v>
      </c>
      <c r="K45" s="88" t="s">
        <v>2256</v>
      </c>
      <c r="L45" s="90">
        <v>17000</v>
      </c>
    </row>
    <row r="46" spans="1:12" x14ac:dyDescent="0.3">
      <c r="A46" s="88" t="s">
        <v>2398</v>
      </c>
      <c r="B46" s="88" t="s">
        <v>2269</v>
      </c>
      <c r="C46" s="88" t="s">
        <v>2399</v>
      </c>
      <c r="D46" s="88" t="s">
        <v>2399</v>
      </c>
      <c r="E46" s="88" t="s">
        <v>2254</v>
      </c>
      <c r="F46" s="88" t="s">
        <v>2267</v>
      </c>
      <c r="G46" s="88" t="s">
        <v>2256</v>
      </c>
      <c r="H46" s="89" t="s">
        <v>2257</v>
      </c>
      <c r="I46" s="89" t="s">
        <v>2364</v>
      </c>
      <c r="J46" s="89" t="s">
        <v>2365</v>
      </c>
      <c r="K46" s="88" t="s">
        <v>2256</v>
      </c>
      <c r="L46" s="90">
        <v>0</v>
      </c>
    </row>
    <row r="47" spans="1:12" x14ac:dyDescent="0.3">
      <c r="A47" s="88" t="s">
        <v>2400</v>
      </c>
      <c r="B47" s="88" t="s">
        <v>2260</v>
      </c>
      <c r="C47" s="88" t="s">
        <v>2401</v>
      </c>
      <c r="D47" s="88" t="s">
        <v>2402</v>
      </c>
      <c r="E47" s="88" t="s">
        <v>2254</v>
      </c>
      <c r="F47" s="88" t="s">
        <v>2255</v>
      </c>
      <c r="G47" s="88" t="s">
        <v>2256</v>
      </c>
      <c r="H47" s="89" t="s">
        <v>2257</v>
      </c>
      <c r="I47" s="89" t="s">
        <v>2364</v>
      </c>
      <c r="J47" s="89" t="s">
        <v>2365</v>
      </c>
      <c r="K47" s="88" t="s">
        <v>2256</v>
      </c>
      <c r="L47" s="90">
        <v>5000</v>
      </c>
    </row>
    <row r="48" spans="1:12" x14ac:dyDescent="0.3">
      <c r="A48" s="88" t="s">
        <v>2403</v>
      </c>
      <c r="B48" s="88" t="s">
        <v>2269</v>
      </c>
      <c r="C48" s="88" t="s">
        <v>2404</v>
      </c>
      <c r="D48" s="88" t="s">
        <v>2405</v>
      </c>
      <c r="E48" s="88" t="s">
        <v>2254</v>
      </c>
      <c r="F48" s="88" t="s">
        <v>2284</v>
      </c>
      <c r="G48" s="88" t="s">
        <v>2256</v>
      </c>
      <c r="H48" s="89" t="s">
        <v>2257</v>
      </c>
      <c r="I48" s="89" t="s">
        <v>2364</v>
      </c>
      <c r="J48" s="89" t="s">
        <v>2365</v>
      </c>
      <c r="K48" s="88" t="s">
        <v>2256</v>
      </c>
      <c r="L48" s="90">
        <v>33000</v>
      </c>
    </row>
    <row r="49" spans="1:12" x14ac:dyDescent="0.3">
      <c r="A49" s="88" t="s">
        <v>2406</v>
      </c>
      <c r="B49" s="88" t="s">
        <v>2260</v>
      </c>
      <c r="C49" s="88" t="s">
        <v>2407</v>
      </c>
      <c r="D49" s="88" t="s">
        <v>2408</v>
      </c>
      <c r="E49" s="88" t="s">
        <v>2254</v>
      </c>
      <c r="F49" s="88" t="s">
        <v>2267</v>
      </c>
      <c r="G49" s="88" t="s">
        <v>2256</v>
      </c>
      <c r="H49" s="89" t="s">
        <v>2409</v>
      </c>
      <c r="I49" s="89" t="s">
        <v>2410</v>
      </c>
      <c r="J49" s="89" t="s">
        <v>2411</v>
      </c>
      <c r="K49" s="88" t="s">
        <v>2256</v>
      </c>
      <c r="L49" s="90">
        <v>170000</v>
      </c>
    </row>
    <row r="50" spans="1:12" x14ac:dyDescent="0.3">
      <c r="A50" s="88" t="s">
        <v>2412</v>
      </c>
      <c r="B50" s="88" t="s">
        <v>2264</v>
      </c>
      <c r="C50" s="88" t="s">
        <v>2413</v>
      </c>
      <c r="D50" s="88" t="s">
        <v>2414</v>
      </c>
      <c r="E50" s="88" t="s">
        <v>2254</v>
      </c>
      <c r="F50" s="88" t="s">
        <v>2267</v>
      </c>
      <c r="G50" s="88" t="s">
        <v>2256</v>
      </c>
      <c r="H50" s="89" t="s">
        <v>2409</v>
      </c>
      <c r="I50" s="89" t="s">
        <v>2410</v>
      </c>
      <c r="J50" s="89" t="s">
        <v>2411</v>
      </c>
      <c r="K50" s="88" t="s">
        <v>2256</v>
      </c>
      <c r="L50" s="90">
        <v>30000</v>
      </c>
    </row>
    <row r="51" spans="1:12" x14ac:dyDescent="0.3">
      <c r="A51" s="88" t="s">
        <v>2415</v>
      </c>
      <c r="B51" s="88" t="s">
        <v>2360</v>
      </c>
      <c r="C51" s="88" t="s">
        <v>2416</v>
      </c>
      <c r="D51" s="88" t="s">
        <v>2417</v>
      </c>
      <c r="E51" s="88" t="s">
        <v>2254</v>
      </c>
      <c r="F51" s="88" t="s">
        <v>2363</v>
      </c>
      <c r="G51" s="88" t="s">
        <v>2256</v>
      </c>
      <c r="H51" s="89" t="s">
        <v>2409</v>
      </c>
      <c r="I51" s="89" t="s">
        <v>2410</v>
      </c>
      <c r="J51" s="89" t="s">
        <v>2411</v>
      </c>
      <c r="K51" s="88" t="s">
        <v>2256</v>
      </c>
      <c r="L51" s="90">
        <v>0</v>
      </c>
    </row>
    <row r="52" spans="1:12" x14ac:dyDescent="0.3">
      <c r="A52" s="88" t="s">
        <v>2418</v>
      </c>
      <c r="B52" s="88" t="s">
        <v>2251</v>
      </c>
      <c r="C52" s="88" t="s">
        <v>2419</v>
      </c>
      <c r="D52" s="88" t="s">
        <v>2420</v>
      </c>
      <c r="E52" s="88" t="s">
        <v>2254</v>
      </c>
      <c r="F52" s="88" t="s">
        <v>2255</v>
      </c>
      <c r="G52" s="88" t="s">
        <v>2256</v>
      </c>
      <c r="H52" s="89" t="s">
        <v>2409</v>
      </c>
      <c r="I52" s="89" t="s">
        <v>2410</v>
      </c>
      <c r="J52" s="89" t="s">
        <v>2411</v>
      </c>
      <c r="K52" s="88" t="s">
        <v>2256</v>
      </c>
      <c r="L52" s="90">
        <v>0</v>
      </c>
    </row>
    <row r="53" spans="1:12" x14ac:dyDescent="0.3">
      <c r="A53" s="88" t="s">
        <v>2421</v>
      </c>
      <c r="B53" s="88" t="s">
        <v>2269</v>
      </c>
      <c r="C53" s="88" t="s">
        <v>2422</v>
      </c>
      <c r="D53" s="88" t="s">
        <v>2423</v>
      </c>
      <c r="E53" s="88" t="s">
        <v>2254</v>
      </c>
      <c r="F53" s="88" t="s">
        <v>2267</v>
      </c>
      <c r="G53" s="88" t="s">
        <v>2256</v>
      </c>
      <c r="H53" s="89" t="s">
        <v>2409</v>
      </c>
      <c r="I53" s="89" t="s">
        <v>2410</v>
      </c>
      <c r="J53" s="89" t="s">
        <v>2424</v>
      </c>
      <c r="K53" s="88" t="s">
        <v>2256</v>
      </c>
      <c r="L53" s="90">
        <v>500</v>
      </c>
    </row>
    <row r="54" spans="1:12" x14ac:dyDescent="0.3">
      <c r="A54" s="88" t="s">
        <v>2425</v>
      </c>
      <c r="B54" s="88" t="s">
        <v>2269</v>
      </c>
      <c r="C54" s="88" t="s">
        <v>2426</v>
      </c>
      <c r="D54" s="88" t="s">
        <v>2427</v>
      </c>
      <c r="E54" s="88" t="s">
        <v>2254</v>
      </c>
      <c r="F54" s="88" t="s">
        <v>2267</v>
      </c>
      <c r="G54" s="88" t="s">
        <v>2256</v>
      </c>
      <c r="H54" s="89" t="s">
        <v>2409</v>
      </c>
      <c r="I54" s="89" t="s">
        <v>2410</v>
      </c>
      <c r="J54" s="89" t="s">
        <v>2424</v>
      </c>
      <c r="K54" s="88" t="s">
        <v>2256</v>
      </c>
      <c r="L54" s="90">
        <v>500</v>
      </c>
    </row>
    <row r="55" spans="1:12" x14ac:dyDescent="0.3">
      <c r="A55" s="88" t="s">
        <v>2428</v>
      </c>
      <c r="B55" s="88" t="s">
        <v>2251</v>
      </c>
      <c r="C55" s="88" t="s">
        <v>2429</v>
      </c>
      <c r="D55" s="88" t="s">
        <v>2430</v>
      </c>
      <c r="E55" s="88" t="s">
        <v>2254</v>
      </c>
      <c r="F55" s="88" t="s">
        <v>2255</v>
      </c>
      <c r="G55" s="88" t="s">
        <v>2256</v>
      </c>
      <c r="H55" s="89" t="s">
        <v>2409</v>
      </c>
      <c r="I55" s="89" t="s">
        <v>2431</v>
      </c>
      <c r="J55" s="89" t="s">
        <v>2432</v>
      </c>
      <c r="K55" s="88" t="s">
        <v>2256</v>
      </c>
      <c r="L55" s="90">
        <v>0</v>
      </c>
    </row>
    <row r="56" spans="1:12" x14ac:dyDescent="0.3">
      <c r="A56" s="88" t="s">
        <v>2433</v>
      </c>
      <c r="B56" s="88" t="s">
        <v>2251</v>
      </c>
      <c r="C56" s="88" t="s">
        <v>2434</v>
      </c>
      <c r="D56" s="88" t="s">
        <v>2435</v>
      </c>
      <c r="E56" s="88" t="s">
        <v>2254</v>
      </c>
      <c r="F56" s="88" t="s">
        <v>2255</v>
      </c>
      <c r="G56" s="88" t="s">
        <v>2256</v>
      </c>
      <c r="H56" s="89" t="s">
        <v>2409</v>
      </c>
      <c r="I56" s="89" t="s">
        <v>2431</v>
      </c>
      <c r="J56" s="89" t="s">
        <v>2432</v>
      </c>
      <c r="K56" s="88" t="s">
        <v>2256</v>
      </c>
      <c r="L56" s="90">
        <v>8000</v>
      </c>
    </row>
    <row r="57" spans="1:12" x14ac:dyDescent="0.3">
      <c r="A57" s="88" t="s">
        <v>2436</v>
      </c>
      <c r="B57" s="88" t="s">
        <v>2269</v>
      </c>
      <c r="C57" s="88" t="s">
        <v>2437</v>
      </c>
      <c r="D57" s="88" t="s">
        <v>2438</v>
      </c>
      <c r="E57" s="88" t="s">
        <v>2254</v>
      </c>
      <c r="F57" s="88" t="s">
        <v>2267</v>
      </c>
      <c r="G57" s="88" t="s">
        <v>2256</v>
      </c>
      <c r="H57" s="89" t="s">
        <v>2409</v>
      </c>
      <c r="I57" s="89" t="s">
        <v>2431</v>
      </c>
      <c r="J57" s="89" t="s">
        <v>2439</v>
      </c>
      <c r="K57" s="88" t="s">
        <v>2256</v>
      </c>
      <c r="L57" s="90">
        <v>0</v>
      </c>
    </row>
    <row r="58" spans="1:12" x14ac:dyDescent="0.3">
      <c r="A58" s="88" t="s">
        <v>2440</v>
      </c>
      <c r="B58" s="88" t="s">
        <v>2441</v>
      </c>
      <c r="C58" s="88" t="s">
        <v>2442</v>
      </c>
      <c r="D58" s="88" t="s">
        <v>2443</v>
      </c>
      <c r="E58" s="88" t="s">
        <v>2254</v>
      </c>
      <c r="F58" s="88" t="s">
        <v>2267</v>
      </c>
      <c r="G58" s="88" t="s">
        <v>2256</v>
      </c>
      <c r="H58" s="89" t="s">
        <v>2409</v>
      </c>
      <c r="I58" s="89" t="s">
        <v>2431</v>
      </c>
      <c r="J58" s="89" t="s">
        <v>2439</v>
      </c>
      <c r="K58" s="88" t="s">
        <v>2256</v>
      </c>
      <c r="L58" s="90">
        <v>0</v>
      </c>
    </row>
    <row r="59" spans="1:12" x14ac:dyDescent="0.3">
      <c r="A59" s="88" t="s">
        <v>2444</v>
      </c>
      <c r="B59" s="88" t="s">
        <v>2269</v>
      </c>
      <c r="C59" s="88" t="s">
        <v>2445</v>
      </c>
      <c r="D59" s="88" t="s">
        <v>2446</v>
      </c>
      <c r="E59" s="88" t="s">
        <v>2254</v>
      </c>
      <c r="F59" s="88" t="s">
        <v>2267</v>
      </c>
      <c r="G59" s="88" t="s">
        <v>2256</v>
      </c>
      <c r="H59" s="89" t="s">
        <v>2409</v>
      </c>
      <c r="I59" s="89" t="s">
        <v>2431</v>
      </c>
      <c r="J59" s="89" t="s">
        <v>2447</v>
      </c>
      <c r="K59" s="88" t="s">
        <v>2256</v>
      </c>
      <c r="L59" s="90">
        <v>1500</v>
      </c>
    </row>
    <row r="60" spans="1:12" x14ac:dyDescent="0.3">
      <c r="A60" s="88" t="s">
        <v>2448</v>
      </c>
      <c r="B60" s="88" t="s">
        <v>2449</v>
      </c>
      <c r="C60" s="88" t="s">
        <v>2450</v>
      </c>
      <c r="D60" s="88" t="s">
        <v>2451</v>
      </c>
      <c r="E60" s="88" t="s">
        <v>2254</v>
      </c>
      <c r="F60" s="88" t="s">
        <v>2267</v>
      </c>
      <c r="G60" s="88" t="s">
        <v>2256</v>
      </c>
      <c r="H60" s="89" t="s">
        <v>2409</v>
      </c>
      <c r="I60" s="89" t="s">
        <v>2431</v>
      </c>
      <c r="J60" s="89" t="s">
        <v>2447</v>
      </c>
      <c r="K60" s="88" t="s">
        <v>2256</v>
      </c>
      <c r="L60" s="90">
        <v>1000</v>
      </c>
    </row>
    <row r="61" spans="1:12" x14ac:dyDescent="0.3">
      <c r="A61" s="88" t="s">
        <v>2452</v>
      </c>
      <c r="B61" s="88" t="s">
        <v>2251</v>
      </c>
      <c r="C61" s="88" t="s">
        <v>2453</v>
      </c>
      <c r="D61" s="88" t="s">
        <v>2454</v>
      </c>
      <c r="E61" s="88" t="s">
        <v>2254</v>
      </c>
      <c r="F61" s="88" t="s">
        <v>2255</v>
      </c>
      <c r="G61" s="88" t="s">
        <v>2256</v>
      </c>
      <c r="H61" s="89" t="s">
        <v>2409</v>
      </c>
      <c r="I61" s="89" t="s">
        <v>2431</v>
      </c>
      <c r="J61" s="89" t="s">
        <v>2447</v>
      </c>
      <c r="K61" s="88" t="s">
        <v>2256</v>
      </c>
      <c r="L61" s="90">
        <v>1500</v>
      </c>
    </row>
    <row r="62" spans="1:12" x14ac:dyDescent="0.3">
      <c r="A62" s="88" t="s">
        <v>2455</v>
      </c>
      <c r="B62" s="88" t="s">
        <v>2269</v>
      </c>
      <c r="C62" s="88" t="s">
        <v>2456</v>
      </c>
      <c r="D62" s="88" t="s">
        <v>2457</v>
      </c>
      <c r="E62" s="88" t="s">
        <v>2254</v>
      </c>
      <c r="F62" s="88" t="s">
        <v>2267</v>
      </c>
      <c r="G62" s="88" t="s">
        <v>2256</v>
      </c>
      <c r="H62" s="89" t="s">
        <v>2409</v>
      </c>
      <c r="I62" s="89" t="s">
        <v>2431</v>
      </c>
      <c r="J62" s="89" t="s">
        <v>2458</v>
      </c>
      <c r="K62" s="88" t="s">
        <v>2256</v>
      </c>
      <c r="L62" s="90">
        <v>8000</v>
      </c>
    </row>
    <row r="63" spans="1:12" x14ac:dyDescent="0.3">
      <c r="A63" s="88" t="s">
        <v>2459</v>
      </c>
      <c r="B63" s="88" t="s">
        <v>2264</v>
      </c>
      <c r="C63" s="88" t="s">
        <v>2460</v>
      </c>
      <c r="D63" s="88" t="s">
        <v>2461</v>
      </c>
      <c r="E63" s="88" t="s">
        <v>2254</v>
      </c>
      <c r="F63" s="88" t="s">
        <v>2267</v>
      </c>
      <c r="G63" s="88" t="s">
        <v>2256</v>
      </c>
      <c r="H63" s="89" t="s">
        <v>2409</v>
      </c>
      <c r="I63" s="89" t="s">
        <v>2431</v>
      </c>
      <c r="J63" s="89" t="s">
        <v>2458</v>
      </c>
      <c r="K63" s="88" t="s">
        <v>2256</v>
      </c>
      <c r="L63" s="90">
        <v>170000</v>
      </c>
    </row>
    <row r="64" spans="1:12" x14ac:dyDescent="0.3">
      <c r="A64" s="88" t="s">
        <v>2462</v>
      </c>
      <c r="B64" s="88" t="s">
        <v>2269</v>
      </c>
      <c r="C64" s="88" t="s">
        <v>2463</v>
      </c>
      <c r="D64" s="88" t="s">
        <v>2461</v>
      </c>
      <c r="E64" s="88" t="s">
        <v>2254</v>
      </c>
      <c r="F64" s="88" t="s">
        <v>2267</v>
      </c>
      <c r="G64" s="88" t="s">
        <v>2256</v>
      </c>
      <c r="H64" s="89" t="s">
        <v>2409</v>
      </c>
      <c r="I64" s="89" t="s">
        <v>2431</v>
      </c>
      <c r="J64" s="89" t="s">
        <v>2458</v>
      </c>
      <c r="K64" s="88" t="s">
        <v>2256</v>
      </c>
      <c r="L64" s="90">
        <v>200000</v>
      </c>
    </row>
    <row r="65" spans="1:12" x14ac:dyDescent="0.3">
      <c r="A65" s="88" t="s">
        <v>2464</v>
      </c>
      <c r="B65" s="88" t="s">
        <v>2251</v>
      </c>
      <c r="C65" s="88" t="s">
        <v>2465</v>
      </c>
      <c r="D65" s="88" t="s">
        <v>2461</v>
      </c>
      <c r="E65" s="88" t="s">
        <v>2254</v>
      </c>
      <c r="F65" s="88" t="s">
        <v>2255</v>
      </c>
      <c r="G65" s="88" t="s">
        <v>2256</v>
      </c>
      <c r="H65" s="89" t="s">
        <v>2409</v>
      </c>
      <c r="I65" s="89" t="s">
        <v>2431</v>
      </c>
      <c r="J65" s="89" t="s">
        <v>2458</v>
      </c>
      <c r="K65" s="88" t="s">
        <v>2256</v>
      </c>
      <c r="L65" s="90">
        <v>220000</v>
      </c>
    </row>
    <row r="66" spans="1:12" x14ac:dyDescent="0.3">
      <c r="A66" s="88" t="s">
        <v>2466</v>
      </c>
      <c r="B66" s="88" t="s">
        <v>2467</v>
      </c>
      <c r="C66" s="88" t="s">
        <v>2468</v>
      </c>
      <c r="D66" s="88" t="s">
        <v>2461</v>
      </c>
      <c r="E66" s="88" t="s">
        <v>2254</v>
      </c>
      <c r="F66" s="88" t="s">
        <v>2469</v>
      </c>
      <c r="G66" s="88" t="s">
        <v>2256</v>
      </c>
      <c r="H66" s="89" t="s">
        <v>2409</v>
      </c>
      <c r="I66" s="89" t="s">
        <v>2431</v>
      </c>
      <c r="J66" s="89" t="s">
        <v>2458</v>
      </c>
      <c r="K66" s="88" t="s">
        <v>2256</v>
      </c>
      <c r="L66" s="90">
        <v>0</v>
      </c>
    </row>
    <row r="67" spans="1:12" x14ac:dyDescent="0.3">
      <c r="A67" s="88" t="s">
        <v>2470</v>
      </c>
      <c r="B67" s="88" t="s">
        <v>2251</v>
      </c>
      <c r="C67" s="88" t="s">
        <v>2471</v>
      </c>
      <c r="D67" s="88" t="s">
        <v>2472</v>
      </c>
      <c r="E67" s="88" t="s">
        <v>2254</v>
      </c>
      <c r="F67" s="88" t="s">
        <v>2255</v>
      </c>
      <c r="G67" s="88" t="s">
        <v>2256</v>
      </c>
      <c r="H67" s="89" t="s">
        <v>2409</v>
      </c>
      <c r="I67" s="89" t="s">
        <v>2431</v>
      </c>
      <c r="J67" s="89" t="s">
        <v>2458</v>
      </c>
      <c r="K67" s="88" t="s">
        <v>2256</v>
      </c>
      <c r="L67" s="90">
        <v>75</v>
      </c>
    </row>
    <row r="68" spans="1:12" x14ac:dyDescent="0.3">
      <c r="A68" s="88" t="s">
        <v>2473</v>
      </c>
      <c r="B68" s="88" t="s">
        <v>2269</v>
      </c>
      <c r="C68" s="88" t="s">
        <v>2474</v>
      </c>
      <c r="D68" s="88" t="s">
        <v>2475</v>
      </c>
      <c r="E68" s="88" t="s">
        <v>2254</v>
      </c>
      <c r="F68" s="88" t="s">
        <v>2267</v>
      </c>
      <c r="G68" s="88" t="s">
        <v>2256</v>
      </c>
      <c r="H68" s="89" t="s">
        <v>2409</v>
      </c>
      <c r="I68" s="89" t="s">
        <v>2431</v>
      </c>
      <c r="J68" s="89" t="s">
        <v>2458</v>
      </c>
      <c r="K68" s="88" t="s">
        <v>2256</v>
      </c>
      <c r="L68" s="90">
        <v>12000</v>
      </c>
    </row>
    <row r="69" spans="1:12" x14ac:dyDescent="0.3">
      <c r="A69" s="88" t="s">
        <v>2476</v>
      </c>
      <c r="B69" s="88" t="s">
        <v>2322</v>
      </c>
      <c r="C69" s="88" t="s">
        <v>2477</v>
      </c>
      <c r="D69" s="88" t="s">
        <v>2478</v>
      </c>
      <c r="E69" s="88" t="s">
        <v>2254</v>
      </c>
      <c r="F69" s="88" t="s">
        <v>2262</v>
      </c>
      <c r="G69" s="88" t="s">
        <v>2256</v>
      </c>
      <c r="H69" s="89" t="s">
        <v>2409</v>
      </c>
      <c r="I69" s="89" t="s">
        <v>2431</v>
      </c>
      <c r="J69" s="89" t="s">
        <v>2458</v>
      </c>
      <c r="K69" s="88" t="s">
        <v>2256</v>
      </c>
      <c r="L69" s="90">
        <v>0</v>
      </c>
    </row>
    <row r="70" spans="1:12" x14ac:dyDescent="0.3">
      <c r="A70" s="88" t="s">
        <v>2479</v>
      </c>
      <c r="B70" s="88" t="s">
        <v>2260</v>
      </c>
      <c r="C70" s="88" t="s">
        <v>2480</v>
      </c>
      <c r="D70" s="88" t="s">
        <v>2480</v>
      </c>
      <c r="E70" s="88" t="s">
        <v>2254</v>
      </c>
      <c r="F70" s="88" t="s">
        <v>2267</v>
      </c>
      <c r="G70" s="88" t="s">
        <v>2256</v>
      </c>
      <c r="H70" s="89" t="s">
        <v>2409</v>
      </c>
      <c r="I70" s="89" t="s">
        <v>2431</v>
      </c>
      <c r="J70" s="89" t="s">
        <v>2458</v>
      </c>
      <c r="K70" s="88" t="s">
        <v>2256</v>
      </c>
      <c r="L70" s="90">
        <v>200000</v>
      </c>
    </row>
    <row r="71" spans="1:12" x14ac:dyDescent="0.3">
      <c r="A71" s="88" t="s">
        <v>2481</v>
      </c>
      <c r="B71" s="88" t="s">
        <v>2269</v>
      </c>
      <c r="C71" s="88" t="s">
        <v>2482</v>
      </c>
      <c r="D71" s="88" t="s">
        <v>2483</v>
      </c>
      <c r="E71" s="88" t="s">
        <v>2348</v>
      </c>
      <c r="F71" s="88" t="s">
        <v>2284</v>
      </c>
      <c r="G71" s="88" t="s">
        <v>2256</v>
      </c>
      <c r="H71" s="89" t="s">
        <v>2484</v>
      </c>
      <c r="I71" s="89" t="s">
        <v>2485</v>
      </c>
      <c r="J71" s="89" t="s">
        <v>2486</v>
      </c>
      <c r="K71" s="88" t="s">
        <v>2256</v>
      </c>
      <c r="L71" s="90">
        <v>4500</v>
      </c>
    </row>
    <row r="72" spans="1:12" x14ac:dyDescent="0.3">
      <c r="A72" s="88" t="s">
        <v>2487</v>
      </c>
      <c r="B72" s="88" t="s">
        <v>2251</v>
      </c>
      <c r="C72" s="88" t="s">
        <v>2488</v>
      </c>
      <c r="D72" s="88" t="s">
        <v>2489</v>
      </c>
      <c r="E72" s="88" t="s">
        <v>2348</v>
      </c>
      <c r="F72" s="88" t="s">
        <v>2255</v>
      </c>
      <c r="G72" s="88" t="s">
        <v>2256</v>
      </c>
      <c r="H72" s="89" t="s">
        <v>2484</v>
      </c>
      <c r="I72" s="89" t="s">
        <v>2485</v>
      </c>
      <c r="J72" s="89" t="s">
        <v>2486</v>
      </c>
      <c r="K72" s="88" t="s">
        <v>2256</v>
      </c>
      <c r="L72" s="90">
        <v>4500</v>
      </c>
    </row>
    <row r="73" spans="1:12" x14ac:dyDescent="0.3">
      <c r="A73" s="88" t="s">
        <v>2490</v>
      </c>
      <c r="B73" s="88" t="s">
        <v>2264</v>
      </c>
      <c r="C73" s="88" t="s">
        <v>2491</v>
      </c>
      <c r="D73" s="88" t="s">
        <v>2492</v>
      </c>
      <c r="E73" s="88" t="s">
        <v>2254</v>
      </c>
      <c r="F73" s="88" t="s">
        <v>2284</v>
      </c>
      <c r="G73" s="88" t="s">
        <v>2256</v>
      </c>
      <c r="H73" s="89" t="s">
        <v>2484</v>
      </c>
      <c r="I73" s="89" t="s">
        <v>2485</v>
      </c>
      <c r="J73" s="89" t="s">
        <v>2493</v>
      </c>
      <c r="K73" s="88" t="s">
        <v>2256</v>
      </c>
      <c r="L73" s="90">
        <v>20000</v>
      </c>
    </row>
    <row r="74" spans="1:12" x14ac:dyDescent="0.3">
      <c r="A74" s="88" t="s">
        <v>2494</v>
      </c>
      <c r="B74" s="88" t="s">
        <v>2269</v>
      </c>
      <c r="C74" s="88" t="s">
        <v>2495</v>
      </c>
      <c r="D74" s="88" t="s">
        <v>2496</v>
      </c>
      <c r="E74" s="88" t="s">
        <v>2254</v>
      </c>
      <c r="F74" s="88" t="s">
        <v>2284</v>
      </c>
      <c r="G74" s="88" t="s">
        <v>2256</v>
      </c>
      <c r="H74" s="89" t="s">
        <v>2484</v>
      </c>
      <c r="I74" s="89" t="s">
        <v>2485</v>
      </c>
      <c r="J74" s="89" t="s">
        <v>2493</v>
      </c>
      <c r="K74" s="88" t="s">
        <v>2256</v>
      </c>
      <c r="L74" s="90">
        <v>1500</v>
      </c>
    </row>
    <row r="75" spans="1:12" x14ac:dyDescent="0.3">
      <c r="A75" s="88" t="s">
        <v>2497</v>
      </c>
      <c r="B75" s="88" t="s">
        <v>2269</v>
      </c>
      <c r="C75" s="88" t="s">
        <v>2498</v>
      </c>
      <c r="D75" s="88" t="s">
        <v>2499</v>
      </c>
      <c r="E75" s="88" t="s">
        <v>2254</v>
      </c>
      <c r="F75" s="88" t="s">
        <v>2267</v>
      </c>
      <c r="G75" s="88" t="s">
        <v>2256</v>
      </c>
      <c r="H75" s="89" t="s">
        <v>2484</v>
      </c>
      <c r="I75" s="89" t="s">
        <v>2485</v>
      </c>
      <c r="J75" s="89" t="s">
        <v>2493</v>
      </c>
      <c r="K75" s="88" t="s">
        <v>2256</v>
      </c>
      <c r="L75" s="90">
        <v>2000</v>
      </c>
    </row>
    <row r="76" spans="1:12" x14ac:dyDescent="0.3">
      <c r="A76" s="88" t="s">
        <v>2500</v>
      </c>
      <c r="B76" s="88" t="s">
        <v>2264</v>
      </c>
      <c r="C76" s="88" t="s">
        <v>2501</v>
      </c>
      <c r="D76" s="88" t="s">
        <v>2501</v>
      </c>
      <c r="E76" s="88" t="s">
        <v>2254</v>
      </c>
      <c r="F76" s="88" t="s">
        <v>2267</v>
      </c>
      <c r="G76" s="88" t="s">
        <v>2256</v>
      </c>
      <c r="H76" s="89" t="s">
        <v>2484</v>
      </c>
      <c r="I76" s="89" t="s">
        <v>2485</v>
      </c>
      <c r="J76" s="89" t="s">
        <v>2493</v>
      </c>
      <c r="K76" s="88" t="s">
        <v>2256</v>
      </c>
      <c r="L76" s="90">
        <v>1000</v>
      </c>
    </row>
    <row r="77" spans="1:12" x14ac:dyDescent="0.3">
      <c r="A77" s="88" t="s">
        <v>2502</v>
      </c>
      <c r="B77" s="88" t="s">
        <v>2309</v>
      </c>
      <c r="C77" s="88" t="s">
        <v>2503</v>
      </c>
      <c r="D77" s="88" t="s">
        <v>2504</v>
      </c>
      <c r="E77" s="88" t="s">
        <v>2254</v>
      </c>
      <c r="F77" s="88" t="s">
        <v>2267</v>
      </c>
      <c r="G77" s="88" t="s">
        <v>2256</v>
      </c>
      <c r="H77" s="89" t="s">
        <v>2484</v>
      </c>
      <c r="I77" s="89" t="s">
        <v>2485</v>
      </c>
      <c r="J77" s="89" t="s">
        <v>2493</v>
      </c>
      <c r="K77" s="88" t="s">
        <v>2256</v>
      </c>
      <c r="L77" s="90">
        <v>0</v>
      </c>
    </row>
    <row r="78" spans="1:12" x14ac:dyDescent="0.3">
      <c r="A78" s="88" t="s">
        <v>2505</v>
      </c>
      <c r="B78" s="88" t="s">
        <v>2269</v>
      </c>
      <c r="C78" s="88" t="s">
        <v>2506</v>
      </c>
      <c r="D78" s="88" t="s">
        <v>2507</v>
      </c>
      <c r="E78" s="88" t="s">
        <v>2254</v>
      </c>
      <c r="F78" s="88" t="s">
        <v>2267</v>
      </c>
      <c r="G78" s="88" t="s">
        <v>2256</v>
      </c>
      <c r="H78" s="89" t="s">
        <v>2484</v>
      </c>
      <c r="I78" s="89" t="s">
        <v>2485</v>
      </c>
      <c r="J78" s="89" t="s">
        <v>2493</v>
      </c>
      <c r="K78" s="88" t="s">
        <v>2256</v>
      </c>
      <c r="L78" s="90">
        <v>0</v>
      </c>
    </row>
    <row r="79" spans="1:12" x14ac:dyDescent="0.3">
      <c r="A79" s="88" t="s">
        <v>2508</v>
      </c>
      <c r="B79" s="88" t="s">
        <v>2269</v>
      </c>
      <c r="C79" s="88" t="s">
        <v>2509</v>
      </c>
      <c r="D79" s="88" t="s">
        <v>2510</v>
      </c>
      <c r="E79" s="88" t="s">
        <v>2254</v>
      </c>
      <c r="F79" s="88" t="s">
        <v>2267</v>
      </c>
      <c r="G79" s="88" t="s">
        <v>2256</v>
      </c>
      <c r="H79" s="89" t="s">
        <v>2484</v>
      </c>
      <c r="I79" s="89" t="s">
        <v>2485</v>
      </c>
      <c r="J79" s="89" t="s">
        <v>2493</v>
      </c>
      <c r="K79" s="88" t="s">
        <v>2256</v>
      </c>
      <c r="L79" s="90">
        <v>0</v>
      </c>
    </row>
    <row r="80" spans="1:12" x14ac:dyDescent="0.3">
      <c r="A80" s="88" t="s">
        <v>2511</v>
      </c>
      <c r="B80" s="88" t="s">
        <v>2269</v>
      </c>
      <c r="C80" s="88" t="s">
        <v>2512</v>
      </c>
      <c r="D80" s="88" t="s">
        <v>2513</v>
      </c>
      <c r="E80" s="88" t="s">
        <v>2254</v>
      </c>
      <c r="F80" s="88" t="s">
        <v>2267</v>
      </c>
      <c r="G80" s="88" t="s">
        <v>2256</v>
      </c>
      <c r="H80" s="89" t="s">
        <v>2484</v>
      </c>
      <c r="I80" s="89" t="s">
        <v>2485</v>
      </c>
      <c r="J80" s="89" t="s">
        <v>2493</v>
      </c>
      <c r="K80" s="88" t="s">
        <v>2256</v>
      </c>
      <c r="L80" s="90">
        <v>0</v>
      </c>
    </row>
    <row r="81" spans="1:12" x14ac:dyDescent="0.3">
      <c r="A81" s="88" t="s">
        <v>2514</v>
      </c>
      <c r="B81" s="88" t="s">
        <v>2269</v>
      </c>
      <c r="C81" s="88" t="s">
        <v>2515</v>
      </c>
      <c r="D81" s="88" t="s">
        <v>2516</v>
      </c>
      <c r="E81" s="88" t="s">
        <v>2254</v>
      </c>
      <c r="F81" s="88" t="s">
        <v>2267</v>
      </c>
      <c r="G81" s="88" t="s">
        <v>2256</v>
      </c>
      <c r="H81" s="89" t="s">
        <v>2484</v>
      </c>
      <c r="I81" s="89" t="s">
        <v>2485</v>
      </c>
      <c r="J81" s="89" t="s">
        <v>2493</v>
      </c>
      <c r="K81" s="88" t="s">
        <v>2256</v>
      </c>
      <c r="L81" s="90">
        <v>2000</v>
      </c>
    </row>
    <row r="82" spans="1:12" x14ac:dyDescent="0.3">
      <c r="A82" s="88" t="s">
        <v>2517</v>
      </c>
      <c r="B82" s="88" t="s">
        <v>2269</v>
      </c>
      <c r="C82" s="88" t="s">
        <v>2518</v>
      </c>
      <c r="D82" s="88" t="s">
        <v>2519</v>
      </c>
      <c r="E82" s="88" t="s">
        <v>2254</v>
      </c>
      <c r="F82" s="88" t="s">
        <v>2267</v>
      </c>
      <c r="G82" s="88" t="s">
        <v>2256</v>
      </c>
      <c r="H82" s="89" t="s">
        <v>2484</v>
      </c>
      <c r="I82" s="89" t="s">
        <v>2485</v>
      </c>
      <c r="J82" s="89" t="s">
        <v>2493</v>
      </c>
      <c r="K82" s="88" t="s">
        <v>2256</v>
      </c>
      <c r="L82" s="90">
        <v>0</v>
      </c>
    </row>
    <row r="83" spans="1:12" x14ac:dyDescent="0.3">
      <c r="A83" s="88" t="s">
        <v>2520</v>
      </c>
      <c r="B83" s="88" t="s">
        <v>2269</v>
      </c>
      <c r="C83" s="88" t="s">
        <v>2521</v>
      </c>
      <c r="D83" s="88" t="s">
        <v>2522</v>
      </c>
      <c r="E83" s="88" t="s">
        <v>2254</v>
      </c>
      <c r="F83" s="88" t="s">
        <v>2267</v>
      </c>
      <c r="G83" s="88" t="s">
        <v>2256</v>
      </c>
      <c r="H83" s="89" t="s">
        <v>2484</v>
      </c>
      <c r="I83" s="89" t="s">
        <v>2485</v>
      </c>
      <c r="J83" s="89" t="s">
        <v>2493</v>
      </c>
      <c r="K83" s="88" t="s">
        <v>2256</v>
      </c>
      <c r="L83" s="90">
        <v>0</v>
      </c>
    </row>
    <row r="84" spans="1:12" x14ac:dyDescent="0.3">
      <c r="A84" s="88" t="s">
        <v>2523</v>
      </c>
      <c r="B84" s="88" t="s">
        <v>2449</v>
      </c>
      <c r="C84" s="88" t="s">
        <v>2524</v>
      </c>
      <c r="D84" s="88" t="s">
        <v>2525</v>
      </c>
      <c r="E84" s="88" t="s">
        <v>2254</v>
      </c>
      <c r="F84" s="88" t="s">
        <v>2267</v>
      </c>
      <c r="G84" s="88" t="s">
        <v>2256</v>
      </c>
      <c r="H84" s="89" t="s">
        <v>2484</v>
      </c>
      <c r="I84" s="89" t="s">
        <v>2526</v>
      </c>
      <c r="J84" s="89" t="s">
        <v>2527</v>
      </c>
      <c r="K84" s="88" t="s">
        <v>2256</v>
      </c>
      <c r="L84" s="90">
        <v>0</v>
      </c>
    </row>
    <row r="85" spans="1:12" x14ac:dyDescent="0.3">
      <c r="A85" s="88" t="s">
        <v>2528</v>
      </c>
      <c r="B85" s="88" t="s">
        <v>2251</v>
      </c>
      <c r="C85" s="88" t="s">
        <v>2529</v>
      </c>
      <c r="D85" s="88" t="s">
        <v>2525</v>
      </c>
      <c r="E85" s="88" t="s">
        <v>2254</v>
      </c>
      <c r="F85" s="88" t="s">
        <v>2255</v>
      </c>
      <c r="G85" s="88" t="s">
        <v>2256</v>
      </c>
      <c r="H85" s="89" t="s">
        <v>2484</v>
      </c>
      <c r="I85" s="89" t="s">
        <v>2526</v>
      </c>
      <c r="J85" s="89" t="s">
        <v>2527</v>
      </c>
      <c r="K85" s="88" t="s">
        <v>2256</v>
      </c>
      <c r="L85" s="90">
        <v>2500</v>
      </c>
    </row>
    <row r="86" spans="1:12" x14ac:dyDescent="0.3">
      <c r="A86" s="88" t="s">
        <v>2530</v>
      </c>
      <c r="B86" s="88" t="s">
        <v>2251</v>
      </c>
      <c r="C86" s="88" t="s">
        <v>2531</v>
      </c>
      <c r="D86" s="88" t="s">
        <v>2532</v>
      </c>
      <c r="E86" s="88" t="s">
        <v>2254</v>
      </c>
      <c r="F86" s="88" t="s">
        <v>2255</v>
      </c>
      <c r="G86" s="88" t="s">
        <v>2256</v>
      </c>
      <c r="H86" s="89" t="s">
        <v>2484</v>
      </c>
      <c r="I86" s="89" t="s">
        <v>2526</v>
      </c>
      <c r="J86" s="89" t="s">
        <v>2527</v>
      </c>
      <c r="K86" s="88" t="s">
        <v>2256</v>
      </c>
      <c r="L86" s="90">
        <v>2000</v>
      </c>
    </row>
    <row r="87" spans="1:12" x14ac:dyDescent="0.3">
      <c r="A87" s="88" t="s">
        <v>2533</v>
      </c>
      <c r="B87" s="88" t="s">
        <v>2251</v>
      </c>
      <c r="C87" s="88" t="s">
        <v>2534</v>
      </c>
      <c r="D87" s="88" t="s">
        <v>2535</v>
      </c>
      <c r="E87" s="88" t="s">
        <v>2254</v>
      </c>
      <c r="F87" s="88" t="s">
        <v>2267</v>
      </c>
      <c r="G87" s="88" t="s">
        <v>2256</v>
      </c>
      <c r="H87" s="89" t="s">
        <v>2484</v>
      </c>
      <c r="I87" s="89" t="s">
        <v>2526</v>
      </c>
      <c r="J87" s="89" t="s">
        <v>2527</v>
      </c>
      <c r="K87" s="88" t="s">
        <v>2256</v>
      </c>
      <c r="L87" s="90">
        <v>2000</v>
      </c>
    </row>
    <row r="88" spans="1:12" x14ac:dyDescent="0.3">
      <c r="A88" s="88" t="s">
        <v>2536</v>
      </c>
      <c r="B88" s="88" t="s">
        <v>2251</v>
      </c>
      <c r="C88" s="88" t="s">
        <v>2537</v>
      </c>
      <c r="D88" s="88" t="s">
        <v>2538</v>
      </c>
      <c r="E88" s="88" t="s">
        <v>2254</v>
      </c>
      <c r="F88" s="88" t="s">
        <v>2255</v>
      </c>
      <c r="G88" s="88" t="s">
        <v>2256</v>
      </c>
      <c r="H88" s="89" t="s">
        <v>2484</v>
      </c>
      <c r="I88" s="89" t="s">
        <v>2526</v>
      </c>
      <c r="J88" s="89" t="s">
        <v>2527</v>
      </c>
      <c r="K88" s="88" t="s">
        <v>2256</v>
      </c>
      <c r="L88" s="90">
        <v>4000</v>
      </c>
    </row>
    <row r="89" spans="1:12" x14ac:dyDescent="0.3">
      <c r="A89" s="88" t="s">
        <v>2539</v>
      </c>
      <c r="B89" s="88" t="s">
        <v>2251</v>
      </c>
      <c r="C89" s="88" t="s">
        <v>2540</v>
      </c>
      <c r="D89" s="88" t="s">
        <v>2541</v>
      </c>
      <c r="E89" s="88" t="s">
        <v>2254</v>
      </c>
      <c r="F89" s="88" t="s">
        <v>2284</v>
      </c>
      <c r="G89" s="88" t="s">
        <v>2256</v>
      </c>
      <c r="H89" s="89" t="s">
        <v>2484</v>
      </c>
      <c r="I89" s="89" t="s">
        <v>2526</v>
      </c>
      <c r="J89" s="89" t="s">
        <v>2527</v>
      </c>
      <c r="K89" s="88" t="s">
        <v>2256</v>
      </c>
      <c r="L89" s="90">
        <v>6000</v>
      </c>
    </row>
    <row r="90" spans="1:12" x14ac:dyDescent="0.3">
      <c r="A90" s="88" t="s">
        <v>2542</v>
      </c>
      <c r="B90" s="88" t="s">
        <v>2269</v>
      </c>
      <c r="C90" s="88" t="s">
        <v>2543</v>
      </c>
      <c r="D90" s="88" t="s">
        <v>2544</v>
      </c>
      <c r="E90" s="88" t="s">
        <v>2254</v>
      </c>
      <c r="F90" s="88" t="s">
        <v>2267</v>
      </c>
      <c r="G90" s="88" t="s">
        <v>2256</v>
      </c>
      <c r="H90" s="89" t="s">
        <v>2484</v>
      </c>
      <c r="I90" s="89" t="s">
        <v>2526</v>
      </c>
      <c r="J90" s="89" t="s">
        <v>2527</v>
      </c>
      <c r="K90" s="88" t="s">
        <v>2256</v>
      </c>
      <c r="L90" s="90">
        <v>4000</v>
      </c>
    </row>
    <row r="91" spans="1:12" x14ac:dyDescent="0.3">
      <c r="A91" s="88" t="s">
        <v>2545</v>
      </c>
      <c r="B91" s="88" t="s">
        <v>2269</v>
      </c>
      <c r="C91" s="88" t="s">
        <v>2546</v>
      </c>
      <c r="D91" s="88" t="s">
        <v>2547</v>
      </c>
      <c r="E91" s="88" t="s">
        <v>2254</v>
      </c>
      <c r="F91" s="88" t="s">
        <v>2267</v>
      </c>
      <c r="G91" s="88" t="s">
        <v>2256</v>
      </c>
      <c r="H91" s="89" t="s">
        <v>2484</v>
      </c>
      <c r="I91" s="89" t="s">
        <v>2526</v>
      </c>
      <c r="J91" s="89" t="s">
        <v>2527</v>
      </c>
      <c r="K91" s="88" t="s">
        <v>2256</v>
      </c>
      <c r="L91" s="90">
        <v>5000</v>
      </c>
    </row>
    <row r="92" spans="1:12" x14ac:dyDescent="0.3">
      <c r="A92" s="88" t="s">
        <v>2548</v>
      </c>
      <c r="B92" s="88" t="s">
        <v>2269</v>
      </c>
      <c r="C92" s="88" t="s">
        <v>2549</v>
      </c>
      <c r="D92" s="88" t="s">
        <v>2550</v>
      </c>
      <c r="E92" s="88" t="s">
        <v>2254</v>
      </c>
      <c r="F92" s="88" t="s">
        <v>2267</v>
      </c>
      <c r="G92" s="88" t="s">
        <v>2256</v>
      </c>
      <c r="H92" s="89" t="s">
        <v>2484</v>
      </c>
      <c r="I92" s="89" t="s">
        <v>2526</v>
      </c>
      <c r="J92" s="89" t="s">
        <v>2527</v>
      </c>
      <c r="K92" s="88" t="s">
        <v>2256</v>
      </c>
      <c r="L92" s="90">
        <v>5000</v>
      </c>
    </row>
    <row r="93" spans="1:12" x14ac:dyDescent="0.3">
      <c r="A93" s="88" t="s">
        <v>2551</v>
      </c>
      <c r="B93" s="88" t="s">
        <v>2251</v>
      </c>
      <c r="C93" s="88" t="s">
        <v>2552</v>
      </c>
      <c r="D93" s="88" t="s">
        <v>2553</v>
      </c>
      <c r="E93" s="88" t="s">
        <v>2254</v>
      </c>
      <c r="F93" s="88" t="s">
        <v>2255</v>
      </c>
      <c r="G93" s="88" t="s">
        <v>2256</v>
      </c>
      <c r="H93" s="89" t="s">
        <v>2484</v>
      </c>
      <c r="I93" s="89" t="s">
        <v>2526</v>
      </c>
      <c r="J93" s="89" t="s">
        <v>2527</v>
      </c>
      <c r="K93" s="88" t="s">
        <v>2256</v>
      </c>
      <c r="L93" s="90">
        <v>2500</v>
      </c>
    </row>
    <row r="94" spans="1:12" x14ac:dyDescent="0.3">
      <c r="A94" s="88" t="s">
        <v>2554</v>
      </c>
      <c r="B94" s="88" t="s">
        <v>2251</v>
      </c>
      <c r="C94" s="88" t="s">
        <v>2555</v>
      </c>
      <c r="D94" s="88" t="s">
        <v>2556</v>
      </c>
      <c r="E94" s="88" t="s">
        <v>2254</v>
      </c>
      <c r="F94" s="88" t="s">
        <v>2255</v>
      </c>
      <c r="G94" s="88" t="s">
        <v>2256</v>
      </c>
      <c r="H94" s="89" t="s">
        <v>2484</v>
      </c>
      <c r="I94" s="89" t="s">
        <v>2526</v>
      </c>
      <c r="J94" s="89" t="s">
        <v>2527</v>
      </c>
      <c r="K94" s="88" t="s">
        <v>2256</v>
      </c>
      <c r="L94" s="90">
        <v>4500</v>
      </c>
    </row>
    <row r="95" spans="1:12" x14ac:dyDescent="0.3">
      <c r="A95" s="88" t="s">
        <v>2557</v>
      </c>
      <c r="B95" s="88" t="s">
        <v>2322</v>
      </c>
      <c r="C95" s="88" t="s">
        <v>2558</v>
      </c>
      <c r="D95" s="88" t="s">
        <v>2559</v>
      </c>
      <c r="E95" s="88" t="s">
        <v>2560</v>
      </c>
      <c r="F95" s="88" t="s">
        <v>2262</v>
      </c>
      <c r="G95" s="88" t="s">
        <v>2256</v>
      </c>
      <c r="H95" s="89" t="s">
        <v>2484</v>
      </c>
      <c r="I95" s="89" t="s">
        <v>2561</v>
      </c>
      <c r="J95" s="89" t="s">
        <v>2562</v>
      </c>
      <c r="K95" s="88" t="s">
        <v>2256</v>
      </c>
      <c r="L95" s="90">
        <v>0</v>
      </c>
    </row>
    <row r="96" spans="1:12" x14ac:dyDescent="0.3">
      <c r="A96" s="88" t="s">
        <v>2563</v>
      </c>
      <c r="B96" s="88" t="s">
        <v>2322</v>
      </c>
      <c r="C96" s="88" t="s">
        <v>2564</v>
      </c>
      <c r="D96" s="88" t="s">
        <v>2565</v>
      </c>
      <c r="E96" s="88" t="s">
        <v>2560</v>
      </c>
      <c r="F96" s="88" t="s">
        <v>2262</v>
      </c>
      <c r="G96" s="88" t="s">
        <v>2256</v>
      </c>
      <c r="H96" s="89" t="s">
        <v>2484</v>
      </c>
      <c r="I96" s="89" t="s">
        <v>2561</v>
      </c>
      <c r="J96" s="89" t="s">
        <v>2562</v>
      </c>
      <c r="K96" s="88" t="s">
        <v>2256</v>
      </c>
      <c r="L96" s="90">
        <v>0</v>
      </c>
    </row>
    <row r="97" spans="1:12" x14ac:dyDescent="0.3">
      <c r="A97" s="88" t="s">
        <v>2566</v>
      </c>
      <c r="B97" s="88" t="s">
        <v>2260</v>
      </c>
      <c r="C97" s="88" t="s">
        <v>2567</v>
      </c>
      <c r="D97" s="88" t="s">
        <v>2568</v>
      </c>
      <c r="E97" s="88" t="s">
        <v>2254</v>
      </c>
      <c r="F97" s="88" t="s">
        <v>2255</v>
      </c>
      <c r="G97" s="88" t="s">
        <v>2256</v>
      </c>
      <c r="H97" s="89" t="s">
        <v>2484</v>
      </c>
      <c r="I97" s="89" t="s">
        <v>2561</v>
      </c>
      <c r="J97" s="89" t="s">
        <v>2562</v>
      </c>
      <c r="K97" s="88" t="s">
        <v>2256</v>
      </c>
      <c r="L97" s="90">
        <v>20000</v>
      </c>
    </row>
    <row r="98" spans="1:12" x14ac:dyDescent="0.3">
      <c r="A98" s="88" t="s">
        <v>2569</v>
      </c>
      <c r="B98" s="88" t="s">
        <v>2260</v>
      </c>
      <c r="C98" s="88" t="s">
        <v>2570</v>
      </c>
      <c r="D98" s="88" t="s">
        <v>2571</v>
      </c>
      <c r="E98" s="88" t="s">
        <v>2254</v>
      </c>
      <c r="F98" s="88" t="s">
        <v>2255</v>
      </c>
      <c r="G98" s="88" t="s">
        <v>2256</v>
      </c>
      <c r="H98" s="89" t="s">
        <v>2484</v>
      </c>
      <c r="I98" s="89" t="s">
        <v>2561</v>
      </c>
      <c r="J98" s="89" t="s">
        <v>2562</v>
      </c>
      <c r="K98" s="88" t="s">
        <v>2256</v>
      </c>
      <c r="L98" s="90">
        <v>20000</v>
      </c>
    </row>
    <row r="99" spans="1:12" x14ac:dyDescent="0.3">
      <c r="A99" s="88" t="s">
        <v>2572</v>
      </c>
      <c r="B99" s="88" t="s">
        <v>2269</v>
      </c>
      <c r="C99" s="88" t="s">
        <v>2573</v>
      </c>
      <c r="D99" s="88" t="s">
        <v>2574</v>
      </c>
      <c r="E99" s="88" t="s">
        <v>2254</v>
      </c>
      <c r="F99" s="88" t="s">
        <v>2267</v>
      </c>
      <c r="G99" s="88" t="s">
        <v>2256</v>
      </c>
      <c r="H99" s="89" t="s">
        <v>2484</v>
      </c>
      <c r="I99" s="89" t="s">
        <v>2561</v>
      </c>
      <c r="J99" s="89" t="s">
        <v>2562</v>
      </c>
      <c r="K99" s="88" t="s">
        <v>2256</v>
      </c>
      <c r="L99" s="90">
        <v>25000</v>
      </c>
    </row>
    <row r="100" spans="1:12" x14ac:dyDescent="0.3">
      <c r="A100" s="88" t="s">
        <v>2575</v>
      </c>
      <c r="B100" s="88" t="s">
        <v>2251</v>
      </c>
      <c r="C100" s="88" t="s">
        <v>2576</v>
      </c>
      <c r="D100" s="88" t="s">
        <v>2577</v>
      </c>
      <c r="E100" s="88" t="s">
        <v>2254</v>
      </c>
      <c r="F100" s="88" t="s">
        <v>2255</v>
      </c>
      <c r="G100" s="88" t="s">
        <v>2256</v>
      </c>
      <c r="H100" s="89" t="s">
        <v>2484</v>
      </c>
      <c r="I100" s="89" t="s">
        <v>2561</v>
      </c>
      <c r="J100" s="89" t="s">
        <v>2562</v>
      </c>
      <c r="K100" s="88" t="s">
        <v>2256</v>
      </c>
      <c r="L100" s="90">
        <v>0</v>
      </c>
    </row>
    <row r="101" spans="1:12" x14ac:dyDescent="0.3">
      <c r="A101" s="88" t="s">
        <v>2578</v>
      </c>
      <c r="B101" s="88" t="s">
        <v>2269</v>
      </c>
      <c r="C101" s="88" t="s">
        <v>2579</v>
      </c>
      <c r="D101" s="88" t="s">
        <v>2580</v>
      </c>
      <c r="E101" s="88" t="s">
        <v>2254</v>
      </c>
      <c r="F101" s="88" t="s">
        <v>2284</v>
      </c>
      <c r="G101" s="88" t="s">
        <v>2256</v>
      </c>
      <c r="H101" s="89" t="s">
        <v>2484</v>
      </c>
      <c r="I101" s="89" t="s">
        <v>2561</v>
      </c>
      <c r="J101" s="89" t="s">
        <v>2562</v>
      </c>
      <c r="K101" s="88" t="s">
        <v>2256</v>
      </c>
      <c r="L101" s="90">
        <v>6500</v>
      </c>
    </row>
    <row r="102" spans="1:12" x14ac:dyDescent="0.3">
      <c r="A102" s="88" t="s">
        <v>2581</v>
      </c>
      <c r="B102" s="88" t="s">
        <v>2269</v>
      </c>
      <c r="C102" s="88" t="s">
        <v>2582</v>
      </c>
      <c r="D102" s="88" t="s">
        <v>2583</v>
      </c>
      <c r="E102" s="88" t="s">
        <v>2254</v>
      </c>
      <c r="F102" s="88" t="s">
        <v>2267</v>
      </c>
      <c r="G102" s="88" t="s">
        <v>2256</v>
      </c>
      <c r="H102" s="89" t="s">
        <v>2484</v>
      </c>
      <c r="I102" s="89" t="s">
        <v>2561</v>
      </c>
      <c r="J102" s="89" t="s">
        <v>2562</v>
      </c>
      <c r="K102" s="88" t="s">
        <v>2256</v>
      </c>
      <c r="L102" s="90">
        <v>14000</v>
      </c>
    </row>
    <row r="103" spans="1:12" x14ac:dyDescent="0.3">
      <c r="A103" s="88" t="s">
        <v>2584</v>
      </c>
      <c r="B103" s="88" t="s">
        <v>2269</v>
      </c>
      <c r="C103" s="88" t="s">
        <v>2585</v>
      </c>
      <c r="D103" s="88" t="s">
        <v>2586</v>
      </c>
      <c r="E103" s="88" t="s">
        <v>2254</v>
      </c>
      <c r="F103" s="88" t="s">
        <v>2267</v>
      </c>
      <c r="G103" s="88" t="s">
        <v>2256</v>
      </c>
      <c r="H103" s="89" t="s">
        <v>2484</v>
      </c>
      <c r="I103" s="89" t="s">
        <v>2561</v>
      </c>
      <c r="J103" s="89" t="s">
        <v>2562</v>
      </c>
      <c r="K103" s="88" t="s">
        <v>2256</v>
      </c>
      <c r="L103" s="90">
        <v>15000</v>
      </c>
    </row>
    <row r="104" spans="1:12" x14ac:dyDescent="0.3">
      <c r="A104" s="88" t="s">
        <v>2587</v>
      </c>
      <c r="B104" s="88" t="s">
        <v>2269</v>
      </c>
      <c r="C104" s="88" t="s">
        <v>2588</v>
      </c>
      <c r="D104" s="88" t="s">
        <v>2589</v>
      </c>
      <c r="E104" s="88" t="s">
        <v>2254</v>
      </c>
      <c r="F104" s="88" t="s">
        <v>2284</v>
      </c>
      <c r="G104" s="88" t="s">
        <v>2256</v>
      </c>
      <c r="H104" s="89" t="s">
        <v>2484</v>
      </c>
      <c r="I104" s="89" t="s">
        <v>2561</v>
      </c>
      <c r="J104" s="89" t="s">
        <v>2562</v>
      </c>
      <c r="K104" s="88" t="s">
        <v>2256</v>
      </c>
      <c r="L104" s="90">
        <v>25000</v>
      </c>
    </row>
    <row r="105" spans="1:12" x14ac:dyDescent="0.3">
      <c r="A105" s="88" t="s">
        <v>2590</v>
      </c>
      <c r="B105" s="88" t="s">
        <v>2260</v>
      </c>
      <c r="C105" s="88" t="s">
        <v>2591</v>
      </c>
      <c r="D105" s="88" t="s">
        <v>2592</v>
      </c>
      <c r="E105" s="88" t="s">
        <v>2254</v>
      </c>
      <c r="F105" s="88" t="s">
        <v>2284</v>
      </c>
      <c r="G105" s="88" t="s">
        <v>2256</v>
      </c>
      <c r="H105" s="89" t="s">
        <v>2484</v>
      </c>
      <c r="I105" s="89" t="s">
        <v>2561</v>
      </c>
      <c r="J105" s="89" t="s">
        <v>2562</v>
      </c>
      <c r="K105" s="88" t="s">
        <v>2256</v>
      </c>
      <c r="L105" s="90">
        <v>15000</v>
      </c>
    </row>
    <row r="106" spans="1:12" x14ac:dyDescent="0.3">
      <c r="A106" s="88" t="s">
        <v>2593</v>
      </c>
      <c r="B106" s="88" t="s">
        <v>2269</v>
      </c>
      <c r="C106" s="88" t="s">
        <v>2594</v>
      </c>
      <c r="D106" s="88" t="s">
        <v>2595</v>
      </c>
      <c r="E106" s="88" t="s">
        <v>2254</v>
      </c>
      <c r="F106" s="88" t="s">
        <v>2284</v>
      </c>
      <c r="G106" s="88" t="s">
        <v>2256</v>
      </c>
      <c r="H106" s="89" t="s">
        <v>2484</v>
      </c>
      <c r="I106" s="89" t="s">
        <v>2561</v>
      </c>
      <c r="J106" s="89" t="s">
        <v>2562</v>
      </c>
      <c r="K106" s="88" t="s">
        <v>2256</v>
      </c>
      <c r="L106" s="90">
        <v>23000</v>
      </c>
    </row>
    <row r="107" spans="1:12" x14ac:dyDescent="0.3">
      <c r="A107" s="88" t="s">
        <v>2596</v>
      </c>
      <c r="B107" s="88" t="s">
        <v>2269</v>
      </c>
      <c r="C107" s="88" t="s">
        <v>2597</v>
      </c>
      <c r="D107" s="88" t="s">
        <v>2598</v>
      </c>
      <c r="E107" s="88" t="s">
        <v>2348</v>
      </c>
      <c r="F107" s="88" t="s">
        <v>2284</v>
      </c>
      <c r="G107" s="88" t="s">
        <v>2256</v>
      </c>
      <c r="H107" s="89" t="s">
        <v>2484</v>
      </c>
      <c r="I107" s="89" t="s">
        <v>2561</v>
      </c>
      <c r="J107" s="89" t="s">
        <v>2562</v>
      </c>
      <c r="K107" s="88" t="s">
        <v>2256</v>
      </c>
      <c r="L107" s="90">
        <v>18000</v>
      </c>
    </row>
    <row r="108" spans="1:12" x14ac:dyDescent="0.3">
      <c r="A108" s="88" t="s">
        <v>2599</v>
      </c>
      <c r="B108" s="88" t="s">
        <v>2251</v>
      </c>
      <c r="C108" s="88" t="s">
        <v>2600</v>
      </c>
      <c r="D108" s="88" t="s">
        <v>2601</v>
      </c>
      <c r="E108" s="88" t="s">
        <v>2348</v>
      </c>
      <c r="F108" s="88" t="s">
        <v>2284</v>
      </c>
      <c r="G108" s="88" t="s">
        <v>2256</v>
      </c>
      <c r="H108" s="89" t="s">
        <v>2484</v>
      </c>
      <c r="I108" s="89" t="s">
        <v>2561</v>
      </c>
      <c r="J108" s="89" t="s">
        <v>2562</v>
      </c>
      <c r="K108" s="88" t="s">
        <v>2256</v>
      </c>
      <c r="L108" s="90">
        <v>5000</v>
      </c>
    </row>
    <row r="109" spans="1:12" x14ac:dyDescent="0.3">
      <c r="A109" s="88" t="s">
        <v>2602</v>
      </c>
      <c r="B109" s="88" t="s">
        <v>2269</v>
      </c>
      <c r="C109" s="88" t="s">
        <v>2603</v>
      </c>
      <c r="D109" s="88" t="s">
        <v>2604</v>
      </c>
      <c r="E109" s="88" t="s">
        <v>2254</v>
      </c>
      <c r="F109" s="88" t="s">
        <v>2267</v>
      </c>
      <c r="G109" s="88" t="s">
        <v>2256</v>
      </c>
      <c r="H109" s="89" t="s">
        <v>2484</v>
      </c>
      <c r="I109" s="89" t="s">
        <v>2605</v>
      </c>
      <c r="J109" s="89" t="s">
        <v>2605</v>
      </c>
      <c r="K109" s="88" t="s">
        <v>2256</v>
      </c>
      <c r="L109" s="90">
        <v>55000</v>
      </c>
    </row>
    <row r="110" spans="1:12" x14ac:dyDescent="0.3">
      <c r="A110" s="88" t="s">
        <v>2606</v>
      </c>
      <c r="B110" s="88" t="s">
        <v>2251</v>
      </c>
      <c r="C110" s="88" t="s">
        <v>2607</v>
      </c>
      <c r="D110" s="88" t="s">
        <v>2608</v>
      </c>
      <c r="E110" s="88" t="s">
        <v>2254</v>
      </c>
      <c r="F110" s="88" t="s">
        <v>2255</v>
      </c>
      <c r="G110" s="88" t="s">
        <v>2256</v>
      </c>
      <c r="H110" s="89" t="s">
        <v>2484</v>
      </c>
      <c r="I110" s="89" t="s">
        <v>2605</v>
      </c>
      <c r="J110" s="89" t="s">
        <v>2605</v>
      </c>
      <c r="K110" s="88" t="s">
        <v>2256</v>
      </c>
      <c r="L110" s="90">
        <v>70000</v>
      </c>
    </row>
    <row r="111" spans="1:12" x14ac:dyDescent="0.3">
      <c r="A111" s="88" t="s">
        <v>2609</v>
      </c>
      <c r="B111" s="88" t="s">
        <v>2269</v>
      </c>
      <c r="C111" s="88" t="s">
        <v>2610</v>
      </c>
      <c r="D111" s="88" t="s">
        <v>2611</v>
      </c>
      <c r="E111" s="88" t="s">
        <v>2254</v>
      </c>
      <c r="F111" s="88" t="s">
        <v>2284</v>
      </c>
      <c r="G111" s="88" t="s">
        <v>2256</v>
      </c>
      <c r="H111" s="89" t="s">
        <v>2484</v>
      </c>
      <c r="I111" s="89" t="s">
        <v>2605</v>
      </c>
      <c r="J111" s="89" t="s">
        <v>2605</v>
      </c>
      <c r="K111" s="88" t="s">
        <v>2256</v>
      </c>
      <c r="L111" s="90">
        <v>4000</v>
      </c>
    </row>
    <row r="112" spans="1:12" x14ac:dyDescent="0.3">
      <c r="A112" s="88" t="s">
        <v>2612</v>
      </c>
      <c r="B112" s="88" t="s">
        <v>2269</v>
      </c>
      <c r="C112" s="88" t="s">
        <v>2613</v>
      </c>
      <c r="D112" s="88" t="s">
        <v>2614</v>
      </c>
      <c r="E112" s="88" t="s">
        <v>2254</v>
      </c>
      <c r="F112" s="88" t="s">
        <v>2284</v>
      </c>
      <c r="G112" s="88" t="s">
        <v>2256</v>
      </c>
      <c r="H112" s="89" t="s">
        <v>2484</v>
      </c>
      <c r="I112" s="89" t="s">
        <v>2605</v>
      </c>
      <c r="J112" s="89" t="s">
        <v>2605</v>
      </c>
      <c r="K112" s="88" t="s">
        <v>2256</v>
      </c>
      <c r="L112" s="90">
        <v>77000</v>
      </c>
    </row>
    <row r="113" spans="1:12" x14ac:dyDescent="0.3">
      <c r="A113" s="88" t="s">
        <v>2615</v>
      </c>
      <c r="B113" s="88" t="s">
        <v>2269</v>
      </c>
      <c r="C113" s="88" t="s">
        <v>2616</v>
      </c>
      <c r="D113" s="88" t="s">
        <v>2617</v>
      </c>
      <c r="E113" s="88" t="s">
        <v>2348</v>
      </c>
      <c r="F113" s="88" t="s">
        <v>2284</v>
      </c>
      <c r="G113" s="88" t="s">
        <v>2256</v>
      </c>
      <c r="H113" s="89" t="s">
        <v>2484</v>
      </c>
      <c r="I113" s="89" t="s">
        <v>2605</v>
      </c>
      <c r="J113" s="89" t="s">
        <v>2605</v>
      </c>
      <c r="K113" s="88" t="s">
        <v>2256</v>
      </c>
      <c r="L113" s="90">
        <v>0</v>
      </c>
    </row>
    <row r="114" spans="1:12" x14ac:dyDescent="0.3">
      <c r="A114" s="88" t="s">
        <v>2618</v>
      </c>
      <c r="B114" s="88" t="s">
        <v>2251</v>
      </c>
      <c r="C114" s="88" t="s">
        <v>2619</v>
      </c>
      <c r="D114" s="88" t="s">
        <v>2620</v>
      </c>
      <c r="E114" s="88" t="s">
        <v>2254</v>
      </c>
      <c r="F114" s="88" t="s">
        <v>2255</v>
      </c>
      <c r="G114" s="88" t="s">
        <v>2256</v>
      </c>
      <c r="H114" s="89" t="s">
        <v>2484</v>
      </c>
      <c r="I114" s="89" t="s">
        <v>2605</v>
      </c>
      <c r="J114" s="89" t="s">
        <v>2605</v>
      </c>
      <c r="K114" s="88" t="s">
        <v>2256</v>
      </c>
      <c r="L114" s="90">
        <v>35000</v>
      </c>
    </row>
    <row r="115" spans="1:12" x14ac:dyDescent="0.3">
      <c r="A115" s="88" t="s">
        <v>2621</v>
      </c>
      <c r="B115" s="88" t="s">
        <v>2269</v>
      </c>
      <c r="C115" s="88" t="s">
        <v>2622</v>
      </c>
      <c r="D115" s="88" t="s">
        <v>2623</v>
      </c>
      <c r="E115" s="88" t="s">
        <v>2254</v>
      </c>
      <c r="F115" s="88" t="s">
        <v>2284</v>
      </c>
      <c r="G115" s="88" t="s">
        <v>2256</v>
      </c>
      <c r="H115" s="89" t="s">
        <v>2484</v>
      </c>
      <c r="I115" s="89" t="s">
        <v>2605</v>
      </c>
      <c r="J115" s="89" t="s">
        <v>2605</v>
      </c>
      <c r="K115" s="88" t="s">
        <v>2256</v>
      </c>
      <c r="L115" s="90">
        <v>55000</v>
      </c>
    </row>
    <row r="116" spans="1:12" x14ac:dyDescent="0.3">
      <c r="A116" s="88" t="s">
        <v>2624</v>
      </c>
      <c r="B116" s="88" t="s">
        <v>2449</v>
      </c>
      <c r="C116" s="88" t="s">
        <v>2625</v>
      </c>
      <c r="D116" s="88" t="s">
        <v>2626</v>
      </c>
      <c r="E116" s="88" t="s">
        <v>2254</v>
      </c>
      <c r="F116" s="88" t="s">
        <v>2267</v>
      </c>
      <c r="G116" s="88" t="s">
        <v>2256</v>
      </c>
      <c r="H116" s="89" t="s">
        <v>2627</v>
      </c>
      <c r="I116" s="89" t="s">
        <v>2628</v>
      </c>
      <c r="J116" s="89" t="s">
        <v>2629</v>
      </c>
      <c r="K116" s="88" t="s">
        <v>2256</v>
      </c>
      <c r="L116" s="90">
        <v>3000</v>
      </c>
    </row>
    <row r="117" spans="1:12" x14ac:dyDescent="0.3">
      <c r="A117" s="88" t="s">
        <v>2630</v>
      </c>
      <c r="B117" s="88" t="s">
        <v>2269</v>
      </c>
      <c r="C117" s="88" t="s">
        <v>2631</v>
      </c>
      <c r="D117" s="88" t="s">
        <v>2632</v>
      </c>
      <c r="E117" s="88" t="s">
        <v>2254</v>
      </c>
      <c r="F117" s="88" t="s">
        <v>2267</v>
      </c>
      <c r="G117" s="88" t="s">
        <v>2256</v>
      </c>
      <c r="H117" s="89" t="s">
        <v>2627</v>
      </c>
      <c r="I117" s="89" t="s">
        <v>2628</v>
      </c>
      <c r="J117" s="89" t="s">
        <v>2629</v>
      </c>
      <c r="K117" s="88" t="s">
        <v>2256</v>
      </c>
      <c r="L117" s="90">
        <v>10000</v>
      </c>
    </row>
    <row r="118" spans="1:12" x14ac:dyDescent="0.3">
      <c r="A118" s="88" t="s">
        <v>2633</v>
      </c>
      <c r="B118" s="88" t="s">
        <v>2251</v>
      </c>
      <c r="C118" s="88" t="s">
        <v>2634</v>
      </c>
      <c r="D118" s="88" t="s">
        <v>2635</v>
      </c>
      <c r="E118" s="88" t="s">
        <v>2254</v>
      </c>
      <c r="F118" s="88" t="s">
        <v>2255</v>
      </c>
      <c r="G118" s="88" t="s">
        <v>2256</v>
      </c>
      <c r="H118" s="89" t="s">
        <v>2627</v>
      </c>
      <c r="I118" s="89" t="s">
        <v>2628</v>
      </c>
      <c r="J118" s="89" t="s">
        <v>2629</v>
      </c>
      <c r="K118" s="88" t="s">
        <v>2256</v>
      </c>
      <c r="L118" s="90">
        <v>11000</v>
      </c>
    </row>
    <row r="119" spans="1:12" x14ac:dyDescent="0.3">
      <c r="A119" s="88" t="s">
        <v>2636</v>
      </c>
      <c r="B119" s="88" t="s">
        <v>2269</v>
      </c>
      <c r="C119" s="88" t="s">
        <v>2637</v>
      </c>
      <c r="D119" s="88" t="s">
        <v>2638</v>
      </c>
      <c r="E119" s="88" t="s">
        <v>2254</v>
      </c>
      <c r="F119" s="88" t="s">
        <v>2267</v>
      </c>
      <c r="G119" s="88" t="s">
        <v>2256</v>
      </c>
      <c r="H119" s="89" t="s">
        <v>2627</v>
      </c>
      <c r="I119" s="89" t="s">
        <v>2628</v>
      </c>
      <c r="J119" s="89" t="s">
        <v>2629</v>
      </c>
      <c r="K119" s="88" t="s">
        <v>2256</v>
      </c>
      <c r="L119" s="90">
        <v>10000</v>
      </c>
    </row>
    <row r="120" spans="1:12" x14ac:dyDescent="0.3">
      <c r="A120" s="88" t="s">
        <v>2639</v>
      </c>
      <c r="B120" s="88" t="s">
        <v>2251</v>
      </c>
      <c r="C120" s="88" t="s">
        <v>2640</v>
      </c>
      <c r="D120" s="88" t="s">
        <v>2641</v>
      </c>
      <c r="E120" s="88" t="s">
        <v>2254</v>
      </c>
      <c r="F120" s="88" t="s">
        <v>2255</v>
      </c>
      <c r="G120" s="88" t="s">
        <v>2256</v>
      </c>
      <c r="H120" s="89" t="s">
        <v>2627</v>
      </c>
      <c r="I120" s="89" t="s">
        <v>2628</v>
      </c>
      <c r="J120" s="89" t="s">
        <v>2629</v>
      </c>
      <c r="K120" s="88" t="s">
        <v>2256</v>
      </c>
      <c r="L120" s="90">
        <v>11000</v>
      </c>
    </row>
    <row r="121" spans="1:12" x14ac:dyDescent="0.3">
      <c r="A121" s="88" t="s">
        <v>2642</v>
      </c>
      <c r="B121" s="88" t="s">
        <v>2269</v>
      </c>
      <c r="C121" s="88" t="s">
        <v>2643</v>
      </c>
      <c r="D121" s="88" t="s">
        <v>2644</v>
      </c>
      <c r="E121" s="88" t="s">
        <v>2254</v>
      </c>
      <c r="F121" s="88" t="s">
        <v>2267</v>
      </c>
      <c r="G121" s="88" t="s">
        <v>2256</v>
      </c>
      <c r="H121" s="89" t="s">
        <v>2627</v>
      </c>
      <c r="I121" s="89" t="s">
        <v>2628</v>
      </c>
      <c r="J121" s="89" t="s">
        <v>2629</v>
      </c>
      <c r="K121" s="88" t="s">
        <v>2256</v>
      </c>
      <c r="L121" s="90">
        <v>0</v>
      </c>
    </row>
    <row r="122" spans="1:12" x14ac:dyDescent="0.3">
      <c r="A122" s="88" t="s">
        <v>2645</v>
      </c>
      <c r="B122" s="88" t="s">
        <v>2269</v>
      </c>
      <c r="C122" s="88" t="s">
        <v>2646</v>
      </c>
      <c r="D122" s="88" t="s">
        <v>2647</v>
      </c>
      <c r="E122" s="88" t="s">
        <v>2254</v>
      </c>
      <c r="F122" s="88" t="s">
        <v>2267</v>
      </c>
      <c r="G122" s="88" t="s">
        <v>2256</v>
      </c>
      <c r="H122" s="89" t="s">
        <v>2627</v>
      </c>
      <c r="I122" s="89" t="s">
        <v>2628</v>
      </c>
      <c r="J122" s="89" t="s">
        <v>2629</v>
      </c>
      <c r="K122" s="88" t="s">
        <v>2256</v>
      </c>
      <c r="L122" s="90">
        <v>0</v>
      </c>
    </row>
    <row r="123" spans="1:12" x14ac:dyDescent="0.3">
      <c r="A123" s="88" t="s">
        <v>2648</v>
      </c>
      <c r="B123" s="88" t="s">
        <v>2441</v>
      </c>
      <c r="C123" s="88" t="s">
        <v>2649</v>
      </c>
      <c r="D123" s="88" t="s">
        <v>2650</v>
      </c>
      <c r="E123" s="88" t="s">
        <v>2254</v>
      </c>
      <c r="F123" s="88" t="s">
        <v>2267</v>
      </c>
      <c r="G123" s="88" t="s">
        <v>2256</v>
      </c>
      <c r="H123" s="89" t="s">
        <v>2627</v>
      </c>
      <c r="I123" s="89" t="s">
        <v>2628</v>
      </c>
      <c r="J123" s="89" t="s">
        <v>2629</v>
      </c>
      <c r="K123" s="88" t="s">
        <v>2256</v>
      </c>
      <c r="L123" s="90">
        <v>5000</v>
      </c>
    </row>
    <row r="124" spans="1:12" x14ac:dyDescent="0.3">
      <c r="A124" s="88" t="s">
        <v>2651</v>
      </c>
      <c r="B124" s="88" t="s">
        <v>2251</v>
      </c>
      <c r="C124" s="88" t="s">
        <v>2652</v>
      </c>
      <c r="D124" s="88" t="s">
        <v>2653</v>
      </c>
      <c r="E124" s="88" t="s">
        <v>2254</v>
      </c>
      <c r="F124" s="88" t="s">
        <v>2255</v>
      </c>
      <c r="G124" s="88" t="s">
        <v>2256</v>
      </c>
      <c r="H124" s="89" t="s">
        <v>2627</v>
      </c>
      <c r="I124" s="89" t="s">
        <v>2628</v>
      </c>
      <c r="J124" s="89" t="s">
        <v>2629</v>
      </c>
      <c r="K124" s="88" t="s">
        <v>2256</v>
      </c>
      <c r="L124" s="90">
        <v>10500</v>
      </c>
    </row>
    <row r="125" spans="1:12" x14ac:dyDescent="0.3">
      <c r="A125" s="88" t="s">
        <v>2654</v>
      </c>
      <c r="B125" s="88" t="s">
        <v>2251</v>
      </c>
      <c r="C125" s="88" t="s">
        <v>2655</v>
      </c>
      <c r="D125" s="88" t="s">
        <v>2656</v>
      </c>
      <c r="E125" s="88" t="s">
        <v>2254</v>
      </c>
      <c r="F125" s="88" t="s">
        <v>2255</v>
      </c>
      <c r="G125" s="88" t="s">
        <v>2256</v>
      </c>
      <c r="H125" s="89" t="s">
        <v>2627</v>
      </c>
      <c r="I125" s="89" t="s">
        <v>2628</v>
      </c>
      <c r="J125" s="89" t="s">
        <v>2629</v>
      </c>
      <c r="K125" s="88" t="s">
        <v>2256</v>
      </c>
      <c r="L125" s="90">
        <v>40000</v>
      </c>
    </row>
    <row r="126" spans="1:12" x14ac:dyDescent="0.3">
      <c r="A126" s="88" t="s">
        <v>2657</v>
      </c>
      <c r="B126" s="88" t="s">
        <v>2309</v>
      </c>
      <c r="C126" s="88" t="s">
        <v>2658</v>
      </c>
      <c r="D126" s="88" t="s">
        <v>2659</v>
      </c>
      <c r="E126" s="88" t="s">
        <v>2254</v>
      </c>
      <c r="F126" s="88" t="s">
        <v>2267</v>
      </c>
      <c r="G126" s="88" t="s">
        <v>2660</v>
      </c>
      <c r="H126" s="89" t="s">
        <v>2627</v>
      </c>
      <c r="I126" s="89" t="s">
        <v>2628</v>
      </c>
      <c r="J126" s="89" t="s">
        <v>2661</v>
      </c>
      <c r="K126" s="88" t="s">
        <v>2256</v>
      </c>
      <c r="L126" s="90">
        <v>6000</v>
      </c>
    </row>
    <row r="127" spans="1:12" x14ac:dyDescent="0.3">
      <c r="A127" s="88" t="s">
        <v>2662</v>
      </c>
      <c r="B127" s="88" t="s">
        <v>2260</v>
      </c>
      <c r="C127" s="88" t="s">
        <v>2663</v>
      </c>
      <c r="D127" s="88" t="s">
        <v>2663</v>
      </c>
      <c r="E127" s="88" t="s">
        <v>2254</v>
      </c>
      <c r="F127" s="88" t="s">
        <v>2267</v>
      </c>
      <c r="G127" s="88" t="s">
        <v>2256</v>
      </c>
      <c r="H127" s="89" t="s">
        <v>2627</v>
      </c>
      <c r="I127" s="89" t="s">
        <v>2664</v>
      </c>
      <c r="J127" s="89" t="s">
        <v>2665</v>
      </c>
      <c r="K127" s="88" t="s">
        <v>2256</v>
      </c>
      <c r="L127" s="90">
        <v>200000</v>
      </c>
    </row>
    <row r="128" spans="1:12" x14ac:dyDescent="0.3">
      <c r="A128" s="88" t="s">
        <v>2666</v>
      </c>
      <c r="B128" s="88" t="s">
        <v>2269</v>
      </c>
      <c r="C128" s="88" t="s">
        <v>2667</v>
      </c>
      <c r="D128" s="88" t="s">
        <v>2668</v>
      </c>
      <c r="E128" s="88" t="s">
        <v>2254</v>
      </c>
      <c r="F128" s="88" t="s">
        <v>2267</v>
      </c>
      <c r="G128" s="88" t="s">
        <v>2256</v>
      </c>
      <c r="H128" s="89" t="s">
        <v>2627</v>
      </c>
      <c r="I128" s="89" t="s">
        <v>2664</v>
      </c>
      <c r="J128" s="89" t="s">
        <v>2665</v>
      </c>
      <c r="K128" s="88" t="s">
        <v>2256</v>
      </c>
      <c r="L128" s="90">
        <v>30000</v>
      </c>
    </row>
    <row r="129" spans="1:12" x14ac:dyDescent="0.3">
      <c r="A129" s="88" t="s">
        <v>2669</v>
      </c>
      <c r="B129" s="88" t="s">
        <v>2269</v>
      </c>
      <c r="C129" s="88" t="s">
        <v>2670</v>
      </c>
      <c r="D129" s="88" t="s">
        <v>2671</v>
      </c>
      <c r="E129" s="88" t="s">
        <v>2254</v>
      </c>
      <c r="F129" s="88" t="s">
        <v>2267</v>
      </c>
      <c r="G129" s="88" t="s">
        <v>2256</v>
      </c>
      <c r="H129" s="89" t="s">
        <v>2627</v>
      </c>
      <c r="I129" s="89" t="s">
        <v>2664</v>
      </c>
      <c r="J129" s="89" t="s">
        <v>2665</v>
      </c>
      <c r="K129" s="88" t="s">
        <v>2256</v>
      </c>
      <c r="L129" s="90">
        <v>25000</v>
      </c>
    </row>
    <row r="130" spans="1:12" x14ac:dyDescent="0.3">
      <c r="A130" s="88" t="s">
        <v>2672</v>
      </c>
      <c r="B130" s="88" t="s">
        <v>2322</v>
      </c>
      <c r="C130" s="88" t="s">
        <v>2673</v>
      </c>
      <c r="D130" s="88" t="s">
        <v>2674</v>
      </c>
      <c r="E130" s="88" t="s">
        <v>2560</v>
      </c>
      <c r="F130" s="88" t="s">
        <v>2262</v>
      </c>
      <c r="G130" s="88" t="s">
        <v>2256</v>
      </c>
      <c r="H130" s="89" t="s">
        <v>2627</v>
      </c>
      <c r="I130" s="89" t="s">
        <v>2664</v>
      </c>
      <c r="J130" s="89" t="s">
        <v>2665</v>
      </c>
      <c r="K130" s="88" t="s">
        <v>2256</v>
      </c>
      <c r="L130" s="90">
        <v>0</v>
      </c>
    </row>
    <row r="131" spans="1:12" x14ac:dyDescent="0.3">
      <c r="A131" s="88" t="s">
        <v>2675</v>
      </c>
      <c r="B131" s="88" t="s">
        <v>2251</v>
      </c>
      <c r="C131" s="88" t="s">
        <v>2676</v>
      </c>
      <c r="D131" s="88" t="s">
        <v>2677</v>
      </c>
      <c r="E131" s="88" t="s">
        <v>2254</v>
      </c>
      <c r="F131" s="88" t="s">
        <v>2255</v>
      </c>
      <c r="G131" s="88" t="s">
        <v>2256</v>
      </c>
      <c r="H131" s="89" t="s">
        <v>2627</v>
      </c>
      <c r="I131" s="89" t="s">
        <v>2664</v>
      </c>
      <c r="J131" s="89" t="s">
        <v>2665</v>
      </c>
      <c r="K131" s="88" t="s">
        <v>2256</v>
      </c>
      <c r="L131" s="90">
        <v>0</v>
      </c>
    </row>
    <row r="132" spans="1:12" x14ac:dyDescent="0.3">
      <c r="A132" s="88" t="s">
        <v>2678</v>
      </c>
      <c r="B132" s="88" t="s">
        <v>2251</v>
      </c>
      <c r="C132" s="88" t="s">
        <v>2679</v>
      </c>
      <c r="D132" s="88" t="s">
        <v>2680</v>
      </c>
      <c r="E132" s="88" t="s">
        <v>2254</v>
      </c>
      <c r="F132" s="88" t="s">
        <v>2255</v>
      </c>
      <c r="G132" s="88" t="s">
        <v>2256</v>
      </c>
      <c r="H132" s="89" t="s">
        <v>2627</v>
      </c>
      <c r="I132" s="89" t="s">
        <v>2664</v>
      </c>
      <c r="J132" s="89" t="s">
        <v>2665</v>
      </c>
      <c r="K132" s="88" t="s">
        <v>2256</v>
      </c>
      <c r="L132" s="90">
        <v>0</v>
      </c>
    </row>
    <row r="133" spans="1:12" x14ac:dyDescent="0.3">
      <c r="A133" s="88" t="s">
        <v>2681</v>
      </c>
      <c r="B133" s="88" t="s">
        <v>2269</v>
      </c>
      <c r="C133" s="88" t="s">
        <v>2682</v>
      </c>
      <c r="D133" s="88" t="s">
        <v>2683</v>
      </c>
      <c r="E133" s="88" t="s">
        <v>2254</v>
      </c>
      <c r="F133" s="88" t="s">
        <v>2267</v>
      </c>
      <c r="G133" s="88" t="s">
        <v>2256</v>
      </c>
      <c r="H133" s="89" t="s">
        <v>2627</v>
      </c>
      <c r="I133" s="89" t="s">
        <v>2664</v>
      </c>
      <c r="J133" s="89" t="s">
        <v>2665</v>
      </c>
      <c r="K133" s="88" t="s">
        <v>2256</v>
      </c>
      <c r="L133" s="90">
        <v>22000</v>
      </c>
    </row>
    <row r="134" spans="1:12" x14ac:dyDescent="0.3">
      <c r="A134" s="88" t="s">
        <v>2684</v>
      </c>
      <c r="B134" s="88" t="s">
        <v>2269</v>
      </c>
      <c r="C134" s="88" t="s">
        <v>2685</v>
      </c>
      <c r="D134" s="88" t="s">
        <v>2686</v>
      </c>
      <c r="E134" s="88" t="s">
        <v>2254</v>
      </c>
      <c r="F134" s="88" t="s">
        <v>2267</v>
      </c>
      <c r="G134" s="88" t="s">
        <v>2256</v>
      </c>
      <c r="H134" s="89" t="s">
        <v>2627</v>
      </c>
      <c r="I134" s="89" t="s">
        <v>2664</v>
      </c>
      <c r="J134" s="89" t="s">
        <v>2665</v>
      </c>
      <c r="K134" s="88" t="s">
        <v>2256</v>
      </c>
      <c r="L134" s="90">
        <v>22000</v>
      </c>
    </row>
    <row r="135" spans="1:12" x14ac:dyDescent="0.3">
      <c r="A135" s="88" t="s">
        <v>2687</v>
      </c>
      <c r="B135" s="88" t="s">
        <v>2260</v>
      </c>
      <c r="C135" s="88" t="s">
        <v>2688</v>
      </c>
      <c r="D135" s="88" t="s">
        <v>2688</v>
      </c>
      <c r="E135" s="88" t="s">
        <v>2254</v>
      </c>
      <c r="F135" s="88" t="s">
        <v>2267</v>
      </c>
      <c r="G135" s="88" t="s">
        <v>2256</v>
      </c>
      <c r="H135" s="89" t="s">
        <v>2627</v>
      </c>
      <c r="I135" s="89" t="s">
        <v>2664</v>
      </c>
      <c r="J135" s="89" t="s">
        <v>2665</v>
      </c>
      <c r="K135" s="88" t="s">
        <v>2256</v>
      </c>
      <c r="L135" s="90">
        <v>25000</v>
      </c>
    </row>
    <row r="136" spans="1:12" x14ac:dyDescent="0.3">
      <c r="A136" s="88" t="s">
        <v>2689</v>
      </c>
      <c r="B136" s="88" t="s">
        <v>2260</v>
      </c>
      <c r="C136" s="88" t="s">
        <v>2690</v>
      </c>
      <c r="D136" s="88" t="s">
        <v>2690</v>
      </c>
      <c r="E136" s="88" t="s">
        <v>2254</v>
      </c>
      <c r="F136" s="88" t="s">
        <v>2267</v>
      </c>
      <c r="G136" s="88" t="s">
        <v>2256</v>
      </c>
      <c r="H136" s="89" t="s">
        <v>2627</v>
      </c>
      <c r="I136" s="89" t="s">
        <v>2664</v>
      </c>
      <c r="J136" s="89" t="s">
        <v>2665</v>
      </c>
      <c r="K136" s="88" t="s">
        <v>2256</v>
      </c>
      <c r="L136" s="90">
        <v>25000</v>
      </c>
    </row>
    <row r="137" spans="1:12" x14ac:dyDescent="0.3">
      <c r="A137" s="88" t="s">
        <v>2691</v>
      </c>
      <c r="B137" s="88" t="s">
        <v>2264</v>
      </c>
      <c r="C137" s="88" t="s">
        <v>2692</v>
      </c>
      <c r="D137" s="88" t="s">
        <v>2693</v>
      </c>
      <c r="E137" s="88" t="s">
        <v>2254</v>
      </c>
      <c r="F137" s="88" t="s">
        <v>2267</v>
      </c>
      <c r="G137" s="88" t="s">
        <v>2256</v>
      </c>
      <c r="H137" s="89" t="s">
        <v>2627</v>
      </c>
      <c r="I137" s="89" t="s">
        <v>2694</v>
      </c>
      <c r="J137" s="89" t="s">
        <v>2695</v>
      </c>
      <c r="K137" s="88" t="s">
        <v>2256</v>
      </c>
      <c r="L137" s="90">
        <v>20000</v>
      </c>
    </row>
    <row r="138" spans="1:12" x14ac:dyDescent="0.3">
      <c r="A138" s="88" t="s">
        <v>2696</v>
      </c>
      <c r="B138" s="88" t="s">
        <v>2264</v>
      </c>
      <c r="C138" s="88" t="s">
        <v>2697</v>
      </c>
      <c r="D138" s="88" t="s">
        <v>2698</v>
      </c>
      <c r="E138" s="88" t="s">
        <v>2254</v>
      </c>
      <c r="F138" s="88" t="s">
        <v>2267</v>
      </c>
      <c r="G138" s="88" t="s">
        <v>2256</v>
      </c>
      <c r="H138" s="89" t="s">
        <v>2627</v>
      </c>
      <c r="I138" s="89" t="s">
        <v>2694</v>
      </c>
      <c r="J138" s="89" t="s">
        <v>2695</v>
      </c>
      <c r="K138" s="88" t="s">
        <v>2256</v>
      </c>
      <c r="L138" s="90">
        <v>15000</v>
      </c>
    </row>
    <row r="139" spans="1:12" x14ac:dyDescent="0.3">
      <c r="A139" s="88" t="s">
        <v>2699</v>
      </c>
      <c r="B139" s="88" t="s">
        <v>2260</v>
      </c>
      <c r="C139" s="88" t="s">
        <v>2700</v>
      </c>
      <c r="D139" s="88" t="s">
        <v>2700</v>
      </c>
      <c r="E139" s="88" t="s">
        <v>2254</v>
      </c>
      <c r="F139" s="88" t="s">
        <v>2304</v>
      </c>
      <c r="G139" s="88" t="s">
        <v>2256</v>
      </c>
      <c r="H139" s="89" t="s">
        <v>2627</v>
      </c>
      <c r="I139" s="89" t="s">
        <v>2694</v>
      </c>
      <c r="J139" s="89" t="s">
        <v>2695</v>
      </c>
      <c r="K139" s="88" t="s">
        <v>2256</v>
      </c>
      <c r="L139" s="90">
        <v>60000</v>
      </c>
    </row>
    <row r="140" spans="1:12" x14ac:dyDescent="0.3">
      <c r="A140" s="88" t="s">
        <v>2701</v>
      </c>
      <c r="B140" s="88" t="s">
        <v>2260</v>
      </c>
      <c r="C140" s="88" t="s">
        <v>2702</v>
      </c>
      <c r="D140" s="88" t="s">
        <v>2702</v>
      </c>
      <c r="E140" s="88" t="s">
        <v>2254</v>
      </c>
      <c r="F140" s="88" t="s">
        <v>2304</v>
      </c>
      <c r="G140" s="88" t="s">
        <v>2256</v>
      </c>
      <c r="H140" s="89" t="s">
        <v>2627</v>
      </c>
      <c r="I140" s="89" t="s">
        <v>2694</v>
      </c>
      <c r="J140" s="89" t="s">
        <v>2695</v>
      </c>
      <c r="K140" s="88" t="s">
        <v>2256</v>
      </c>
      <c r="L140" s="90">
        <v>60000</v>
      </c>
    </row>
    <row r="141" spans="1:12" x14ac:dyDescent="0.3">
      <c r="A141" s="88" t="s">
        <v>2703</v>
      </c>
      <c r="B141" s="88" t="s">
        <v>2269</v>
      </c>
      <c r="C141" s="88" t="s">
        <v>2704</v>
      </c>
      <c r="D141" s="88" t="s">
        <v>2705</v>
      </c>
      <c r="E141" s="88" t="s">
        <v>2254</v>
      </c>
      <c r="F141" s="88" t="s">
        <v>2267</v>
      </c>
      <c r="G141" s="88" t="s">
        <v>2256</v>
      </c>
      <c r="H141" s="89" t="s">
        <v>2627</v>
      </c>
      <c r="I141" s="89" t="s">
        <v>2706</v>
      </c>
      <c r="J141" s="89" t="s">
        <v>2707</v>
      </c>
      <c r="K141" s="88" t="s">
        <v>2256</v>
      </c>
      <c r="L141" s="90">
        <v>14000</v>
      </c>
    </row>
    <row r="142" spans="1:12" x14ac:dyDescent="0.3">
      <c r="A142" s="88" t="s">
        <v>2708</v>
      </c>
      <c r="B142" s="88" t="s">
        <v>2269</v>
      </c>
      <c r="C142" s="88" t="s">
        <v>2709</v>
      </c>
      <c r="D142" s="88" t="s">
        <v>2710</v>
      </c>
      <c r="E142" s="88" t="s">
        <v>2254</v>
      </c>
      <c r="F142" s="88" t="s">
        <v>2267</v>
      </c>
      <c r="G142" s="88" t="s">
        <v>2256</v>
      </c>
      <c r="H142" s="89" t="s">
        <v>2627</v>
      </c>
      <c r="I142" s="89" t="s">
        <v>2706</v>
      </c>
      <c r="J142" s="89" t="s">
        <v>2707</v>
      </c>
      <c r="K142" s="88" t="s">
        <v>2256</v>
      </c>
      <c r="L142" s="90">
        <v>14000</v>
      </c>
    </row>
    <row r="143" spans="1:12" x14ac:dyDescent="0.3">
      <c r="A143" s="88" t="s">
        <v>2711</v>
      </c>
      <c r="B143" s="88" t="s">
        <v>2449</v>
      </c>
      <c r="C143" s="88" t="s">
        <v>2712</v>
      </c>
      <c r="D143" s="88" t="s">
        <v>2713</v>
      </c>
      <c r="E143" s="88" t="s">
        <v>2254</v>
      </c>
      <c r="F143" s="88" t="s">
        <v>2267</v>
      </c>
      <c r="G143" s="88" t="s">
        <v>2256</v>
      </c>
      <c r="H143" s="89" t="s">
        <v>2627</v>
      </c>
      <c r="I143" s="89" t="s">
        <v>2706</v>
      </c>
      <c r="J143" s="89" t="s">
        <v>2707</v>
      </c>
      <c r="K143" s="88" t="s">
        <v>2256</v>
      </c>
      <c r="L143" s="90">
        <v>10000</v>
      </c>
    </row>
    <row r="144" spans="1:12" x14ac:dyDescent="0.3">
      <c r="A144" s="88" t="s">
        <v>2714</v>
      </c>
      <c r="B144" s="88" t="s">
        <v>2449</v>
      </c>
      <c r="C144" s="88" t="s">
        <v>2715</v>
      </c>
      <c r="D144" s="88" t="s">
        <v>2716</v>
      </c>
      <c r="E144" s="88" t="s">
        <v>2254</v>
      </c>
      <c r="F144" s="88" t="s">
        <v>2267</v>
      </c>
      <c r="G144" s="88" t="s">
        <v>2256</v>
      </c>
      <c r="H144" s="89" t="s">
        <v>2627</v>
      </c>
      <c r="I144" s="89" t="s">
        <v>2706</v>
      </c>
      <c r="J144" s="89" t="s">
        <v>2707</v>
      </c>
      <c r="K144" s="88" t="s">
        <v>2256</v>
      </c>
      <c r="L144" s="90">
        <v>8000</v>
      </c>
    </row>
    <row r="145" spans="1:12" x14ac:dyDescent="0.3">
      <c r="A145" s="88" t="s">
        <v>2717</v>
      </c>
      <c r="B145" s="88" t="s">
        <v>2260</v>
      </c>
      <c r="C145" s="88" t="s">
        <v>2718</v>
      </c>
      <c r="D145" s="88" t="s">
        <v>2718</v>
      </c>
      <c r="E145" s="88" t="s">
        <v>2254</v>
      </c>
      <c r="F145" s="88" t="s">
        <v>2304</v>
      </c>
      <c r="G145" s="88" t="s">
        <v>2256</v>
      </c>
      <c r="H145" s="89" t="s">
        <v>2627</v>
      </c>
      <c r="I145" s="89" t="s">
        <v>2706</v>
      </c>
      <c r="J145" s="89" t="s">
        <v>2707</v>
      </c>
      <c r="K145" s="88" t="s">
        <v>2256</v>
      </c>
      <c r="L145" s="90">
        <v>120000</v>
      </c>
    </row>
    <row r="146" spans="1:12" x14ac:dyDescent="0.3">
      <c r="A146" s="88" t="s">
        <v>2719</v>
      </c>
      <c r="B146" s="88" t="s">
        <v>2449</v>
      </c>
      <c r="C146" s="88" t="s">
        <v>2720</v>
      </c>
      <c r="D146" s="88" t="s">
        <v>2721</v>
      </c>
      <c r="E146" s="88" t="s">
        <v>2254</v>
      </c>
      <c r="F146" s="88" t="s">
        <v>2267</v>
      </c>
      <c r="G146" s="88" t="s">
        <v>2256</v>
      </c>
      <c r="H146" s="89" t="s">
        <v>2627</v>
      </c>
      <c r="I146" s="89" t="s">
        <v>2706</v>
      </c>
      <c r="J146" s="89" t="s">
        <v>2707</v>
      </c>
      <c r="K146" s="88" t="s">
        <v>2256</v>
      </c>
      <c r="L146" s="90">
        <v>15000</v>
      </c>
    </row>
    <row r="147" spans="1:12" x14ac:dyDescent="0.3">
      <c r="A147" s="88" t="s">
        <v>2722</v>
      </c>
      <c r="B147" s="88" t="s">
        <v>2269</v>
      </c>
      <c r="C147" s="88" t="s">
        <v>2723</v>
      </c>
      <c r="D147" s="88" t="s">
        <v>2724</v>
      </c>
      <c r="E147" s="88" t="s">
        <v>2254</v>
      </c>
      <c r="F147" s="88" t="s">
        <v>2267</v>
      </c>
      <c r="G147" s="88" t="s">
        <v>2256</v>
      </c>
      <c r="H147" s="89" t="s">
        <v>2627</v>
      </c>
      <c r="I147" s="89" t="s">
        <v>2725</v>
      </c>
      <c r="J147" s="89" t="s">
        <v>2726</v>
      </c>
      <c r="K147" s="88" t="s">
        <v>2256</v>
      </c>
      <c r="L147" s="90">
        <v>0</v>
      </c>
    </row>
    <row r="148" spans="1:12" x14ac:dyDescent="0.3">
      <c r="A148" s="88" t="s">
        <v>2727</v>
      </c>
      <c r="B148" s="88" t="s">
        <v>2251</v>
      </c>
      <c r="C148" s="88" t="s">
        <v>2728</v>
      </c>
      <c r="D148" s="88" t="s">
        <v>2724</v>
      </c>
      <c r="E148" s="88" t="s">
        <v>2254</v>
      </c>
      <c r="F148" s="88" t="s">
        <v>2255</v>
      </c>
      <c r="G148" s="88" t="s">
        <v>2256</v>
      </c>
      <c r="H148" s="89" t="s">
        <v>2627</v>
      </c>
      <c r="I148" s="89" t="s">
        <v>2725</v>
      </c>
      <c r="J148" s="89" t="s">
        <v>2726</v>
      </c>
      <c r="K148" s="88" t="s">
        <v>2256</v>
      </c>
      <c r="L148" s="90">
        <v>0</v>
      </c>
    </row>
    <row r="149" spans="1:12" x14ac:dyDescent="0.3">
      <c r="A149" s="88" t="s">
        <v>2729</v>
      </c>
      <c r="B149" s="88" t="s">
        <v>2264</v>
      </c>
      <c r="C149" s="88" t="s">
        <v>2730</v>
      </c>
      <c r="D149" s="88" t="s">
        <v>2731</v>
      </c>
      <c r="E149" s="88" t="s">
        <v>2254</v>
      </c>
      <c r="F149" s="88" t="s">
        <v>2267</v>
      </c>
      <c r="G149" s="88" t="s">
        <v>2256</v>
      </c>
      <c r="H149" s="89" t="s">
        <v>2627</v>
      </c>
      <c r="I149" s="89" t="s">
        <v>2725</v>
      </c>
      <c r="J149" s="89" t="s">
        <v>2726</v>
      </c>
      <c r="K149" s="88" t="s">
        <v>2256</v>
      </c>
      <c r="L149" s="90">
        <v>0</v>
      </c>
    </row>
    <row r="150" spans="1:12" x14ac:dyDescent="0.3">
      <c r="A150" s="88" t="s">
        <v>2732</v>
      </c>
      <c r="B150" s="88" t="s">
        <v>2251</v>
      </c>
      <c r="C150" s="88" t="s">
        <v>2733</v>
      </c>
      <c r="D150" s="88" t="s">
        <v>2734</v>
      </c>
      <c r="E150" s="88" t="s">
        <v>2254</v>
      </c>
      <c r="F150" s="88" t="s">
        <v>2255</v>
      </c>
      <c r="G150" s="88" t="s">
        <v>2256</v>
      </c>
      <c r="H150" s="89" t="s">
        <v>2627</v>
      </c>
      <c r="I150" s="89" t="s">
        <v>2725</v>
      </c>
      <c r="J150" s="89" t="s">
        <v>2726</v>
      </c>
      <c r="K150" s="88" t="s">
        <v>2256</v>
      </c>
      <c r="L150" s="90">
        <v>5000</v>
      </c>
    </row>
    <row r="151" spans="1:12" x14ac:dyDescent="0.3">
      <c r="A151" s="88" t="s">
        <v>2735</v>
      </c>
      <c r="B151" s="88" t="s">
        <v>2467</v>
      </c>
      <c r="C151" s="88" t="s">
        <v>2736</v>
      </c>
      <c r="D151" s="88" t="s">
        <v>2737</v>
      </c>
      <c r="E151" s="88" t="s">
        <v>2738</v>
      </c>
      <c r="F151" s="88" t="s">
        <v>2469</v>
      </c>
      <c r="G151" s="88" t="s">
        <v>2256</v>
      </c>
      <c r="H151" s="89" t="s">
        <v>2627</v>
      </c>
      <c r="I151" s="89" t="s">
        <v>2725</v>
      </c>
      <c r="J151" s="89" t="s">
        <v>2726</v>
      </c>
      <c r="K151" s="88" t="s">
        <v>2256</v>
      </c>
      <c r="L151" s="90">
        <v>0</v>
      </c>
    </row>
    <row r="152" spans="1:12" x14ac:dyDescent="0.3">
      <c r="A152" s="88" t="s">
        <v>2739</v>
      </c>
      <c r="B152" s="88" t="s">
        <v>2467</v>
      </c>
      <c r="C152" s="88" t="s">
        <v>2740</v>
      </c>
      <c r="D152" s="88" t="s">
        <v>2741</v>
      </c>
      <c r="E152" s="88" t="s">
        <v>2738</v>
      </c>
      <c r="F152" s="88" t="s">
        <v>2469</v>
      </c>
      <c r="G152" s="88" t="s">
        <v>2256</v>
      </c>
      <c r="H152" s="89" t="s">
        <v>2627</v>
      </c>
      <c r="I152" s="89" t="s">
        <v>2725</v>
      </c>
      <c r="J152" s="89" t="s">
        <v>2726</v>
      </c>
      <c r="K152" s="88" t="s">
        <v>2256</v>
      </c>
      <c r="L152" s="90">
        <v>0</v>
      </c>
    </row>
    <row r="153" spans="1:12" x14ac:dyDescent="0.3">
      <c r="A153" s="88" t="s">
        <v>2742</v>
      </c>
      <c r="B153" s="88" t="s">
        <v>2269</v>
      </c>
      <c r="C153" s="88" t="s">
        <v>2743</v>
      </c>
      <c r="D153" s="88" t="s">
        <v>2744</v>
      </c>
      <c r="E153" s="88" t="s">
        <v>2348</v>
      </c>
      <c r="F153" s="88" t="s">
        <v>2284</v>
      </c>
      <c r="G153" s="88" t="s">
        <v>2256</v>
      </c>
      <c r="H153" s="89" t="s">
        <v>2627</v>
      </c>
      <c r="I153" s="89" t="s">
        <v>2745</v>
      </c>
      <c r="J153" s="89" t="s">
        <v>2746</v>
      </c>
      <c r="K153" s="88" t="s">
        <v>2256</v>
      </c>
      <c r="L153" s="90">
        <v>0</v>
      </c>
    </row>
    <row r="154" spans="1:12" x14ac:dyDescent="0.3">
      <c r="A154" s="88" t="s">
        <v>2747</v>
      </c>
      <c r="B154" s="88" t="s">
        <v>2269</v>
      </c>
      <c r="C154" s="88" t="s">
        <v>2748</v>
      </c>
      <c r="D154" s="88" t="s">
        <v>2749</v>
      </c>
      <c r="E154" s="88" t="s">
        <v>2295</v>
      </c>
      <c r="F154" s="88" t="s">
        <v>2284</v>
      </c>
      <c r="G154" s="88" t="s">
        <v>2660</v>
      </c>
      <c r="H154" s="89" t="s">
        <v>2627</v>
      </c>
      <c r="I154" s="89" t="s">
        <v>2745</v>
      </c>
      <c r="J154" s="89" t="s">
        <v>2746</v>
      </c>
      <c r="K154" s="88" t="s">
        <v>2256</v>
      </c>
      <c r="L154" s="90">
        <v>2000</v>
      </c>
    </row>
    <row r="155" spans="1:12" x14ac:dyDescent="0.3">
      <c r="A155" s="88" t="s">
        <v>2750</v>
      </c>
      <c r="B155" s="88" t="s">
        <v>2260</v>
      </c>
      <c r="C155" s="88" t="s">
        <v>2751</v>
      </c>
      <c r="D155" s="88" t="s">
        <v>2751</v>
      </c>
      <c r="E155" s="88" t="s">
        <v>2254</v>
      </c>
      <c r="F155" s="88" t="s">
        <v>2267</v>
      </c>
      <c r="G155" s="88" t="s">
        <v>2256</v>
      </c>
      <c r="H155" s="89" t="s">
        <v>2627</v>
      </c>
      <c r="I155" s="89" t="s">
        <v>2752</v>
      </c>
      <c r="J155" s="89" t="s">
        <v>2753</v>
      </c>
      <c r="K155" s="88" t="s">
        <v>2256</v>
      </c>
      <c r="L155" s="90">
        <v>25000</v>
      </c>
    </row>
    <row r="156" spans="1:12" x14ac:dyDescent="0.3">
      <c r="A156" s="88" t="s">
        <v>2754</v>
      </c>
      <c r="B156" s="88" t="s">
        <v>2260</v>
      </c>
      <c r="C156" s="88" t="s">
        <v>2755</v>
      </c>
      <c r="D156" s="88" t="s">
        <v>2755</v>
      </c>
      <c r="E156" s="88" t="s">
        <v>2254</v>
      </c>
      <c r="F156" s="88" t="s">
        <v>2363</v>
      </c>
      <c r="G156" s="88" t="s">
        <v>2256</v>
      </c>
      <c r="H156" s="89" t="s">
        <v>2627</v>
      </c>
      <c r="I156" s="89" t="s">
        <v>2752</v>
      </c>
      <c r="J156" s="89" t="s">
        <v>2753</v>
      </c>
      <c r="K156" s="88" t="s">
        <v>2256</v>
      </c>
      <c r="L156" s="90">
        <v>22000</v>
      </c>
    </row>
    <row r="157" spans="1:12" x14ac:dyDescent="0.3">
      <c r="A157" s="88" t="s">
        <v>2756</v>
      </c>
      <c r="B157" s="88" t="s">
        <v>2260</v>
      </c>
      <c r="C157" s="88" t="s">
        <v>2757</v>
      </c>
      <c r="D157" s="88" t="s">
        <v>2757</v>
      </c>
      <c r="E157" s="88" t="s">
        <v>2254</v>
      </c>
      <c r="F157" s="88" t="s">
        <v>2267</v>
      </c>
      <c r="G157" s="88" t="s">
        <v>2256</v>
      </c>
      <c r="H157" s="89" t="s">
        <v>2627</v>
      </c>
      <c r="I157" s="89" t="s">
        <v>2752</v>
      </c>
      <c r="J157" s="89" t="s">
        <v>2753</v>
      </c>
      <c r="K157" s="88" t="s">
        <v>2256</v>
      </c>
      <c r="L157" s="90">
        <v>25000</v>
      </c>
    </row>
    <row r="158" spans="1:12" x14ac:dyDescent="0.3">
      <c r="A158" s="88" t="s">
        <v>2758</v>
      </c>
      <c r="B158" s="88" t="s">
        <v>2251</v>
      </c>
      <c r="C158" s="88" t="s">
        <v>2759</v>
      </c>
      <c r="D158" s="88" t="s">
        <v>2760</v>
      </c>
      <c r="E158" s="88" t="s">
        <v>2254</v>
      </c>
      <c r="F158" s="88" t="s">
        <v>2255</v>
      </c>
      <c r="G158" s="88" t="s">
        <v>2256</v>
      </c>
      <c r="H158" s="89" t="s">
        <v>2627</v>
      </c>
      <c r="I158" s="89" t="s">
        <v>2752</v>
      </c>
      <c r="J158" s="89" t="s">
        <v>2753</v>
      </c>
      <c r="K158" s="88" t="s">
        <v>2256</v>
      </c>
      <c r="L158" s="90">
        <v>2500</v>
      </c>
    </row>
    <row r="159" spans="1:12" x14ac:dyDescent="0.3">
      <c r="A159" s="88" t="s">
        <v>2761</v>
      </c>
      <c r="B159" s="88" t="s">
        <v>2251</v>
      </c>
      <c r="C159" s="88" t="s">
        <v>2762</v>
      </c>
      <c r="D159" s="88" t="s">
        <v>2763</v>
      </c>
      <c r="E159" s="88" t="s">
        <v>2254</v>
      </c>
      <c r="F159" s="88" t="s">
        <v>2255</v>
      </c>
      <c r="G159" s="88" t="s">
        <v>2256</v>
      </c>
      <c r="H159" s="89" t="s">
        <v>2627</v>
      </c>
      <c r="I159" s="89" t="s">
        <v>2752</v>
      </c>
      <c r="J159" s="89" t="s">
        <v>2753</v>
      </c>
      <c r="K159" s="88" t="s">
        <v>2256</v>
      </c>
      <c r="L159" s="90">
        <v>1500</v>
      </c>
    </row>
    <row r="160" spans="1:12" x14ac:dyDescent="0.3">
      <c r="A160" s="88" t="s">
        <v>2764</v>
      </c>
      <c r="B160" s="88" t="s">
        <v>2251</v>
      </c>
      <c r="C160" s="88" t="s">
        <v>2765</v>
      </c>
      <c r="D160" s="88" t="s">
        <v>2765</v>
      </c>
      <c r="E160" s="88" t="s">
        <v>2254</v>
      </c>
      <c r="F160" s="88" t="s">
        <v>2255</v>
      </c>
      <c r="G160" s="88" t="s">
        <v>2256</v>
      </c>
      <c r="H160" s="89" t="s">
        <v>2627</v>
      </c>
      <c r="I160" s="89" t="s">
        <v>2752</v>
      </c>
      <c r="J160" s="89" t="s">
        <v>2753</v>
      </c>
      <c r="K160" s="88" t="s">
        <v>2256</v>
      </c>
      <c r="L160" s="90">
        <v>14000</v>
      </c>
    </row>
    <row r="161" spans="1:12" x14ac:dyDescent="0.3">
      <c r="A161" s="88" t="s">
        <v>2766</v>
      </c>
      <c r="B161" s="88" t="s">
        <v>2449</v>
      </c>
      <c r="C161" s="88" t="s">
        <v>2767</v>
      </c>
      <c r="D161" s="88" t="s">
        <v>2768</v>
      </c>
      <c r="E161" s="88" t="s">
        <v>2254</v>
      </c>
      <c r="F161" s="88" t="s">
        <v>2267</v>
      </c>
      <c r="G161" s="88" t="s">
        <v>2256</v>
      </c>
      <c r="H161" s="89" t="s">
        <v>2627</v>
      </c>
      <c r="I161" s="89" t="s">
        <v>2752</v>
      </c>
      <c r="J161" s="89" t="s">
        <v>2753</v>
      </c>
      <c r="K161" s="88" t="s">
        <v>2256</v>
      </c>
      <c r="L161" s="90">
        <v>10000</v>
      </c>
    </row>
    <row r="162" spans="1:12" x14ac:dyDescent="0.3">
      <c r="A162" s="88" t="s">
        <v>2769</v>
      </c>
      <c r="B162" s="88" t="s">
        <v>2260</v>
      </c>
      <c r="C162" s="88" t="s">
        <v>2770</v>
      </c>
      <c r="D162" s="88" t="s">
        <v>2765</v>
      </c>
      <c r="E162" s="88" t="s">
        <v>2254</v>
      </c>
      <c r="F162" s="88" t="s">
        <v>2255</v>
      </c>
      <c r="G162" s="88" t="s">
        <v>2256</v>
      </c>
      <c r="H162" s="89" t="s">
        <v>2627</v>
      </c>
      <c r="I162" s="89" t="s">
        <v>2752</v>
      </c>
      <c r="J162" s="89" t="s">
        <v>2753</v>
      </c>
      <c r="K162" s="88" t="s">
        <v>2256</v>
      </c>
      <c r="L162" s="90">
        <v>45000</v>
      </c>
    </row>
    <row r="163" spans="1:12" x14ac:dyDescent="0.3">
      <c r="A163" s="88" t="s">
        <v>2771</v>
      </c>
      <c r="B163" s="88" t="s">
        <v>2449</v>
      </c>
      <c r="C163" s="88" t="s">
        <v>2772</v>
      </c>
      <c r="D163" s="88" t="s">
        <v>2773</v>
      </c>
      <c r="E163" s="88" t="s">
        <v>2254</v>
      </c>
      <c r="F163" s="88" t="s">
        <v>2267</v>
      </c>
      <c r="G163" s="88" t="s">
        <v>2256</v>
      </c>
      <c r="H163" s="89" t="s">
        <v>2627</v>
      </c>
      <c r="I163" s="89" t="s">
        <v>2752</v>
      </c>
      <c r="J163" s="89" t="s">
        <v>2753</v>
      </c>
      <c r="K163" s="88" t="s">
        <v>2256</v>
      </c>
      <c r="L163" s="90">
        <v>45000</v>
      </c>
    </row>
    <row r="164" spans="1:12" x14ac:dyDescent="0.3">
      <c r="A164" s="88" t="s">
        <v>2774</v>
      </c>
      <c r="B164" s="88" t="s">
        <v>2251</v>
      </c>
      <c r="C164" s="88" t="s">
        <v>2775</v>
      </c>
      <c r="D164" s="88" t="s">
        <v>2776</v>
      </c>
      <c r="E164" s="88" t="s">
        <v>2254</v>
      </c>
      <c r="F164" s="88" t="s">
        <v>2255</v>
      </c>
      <c r="G164" s="88" t="s">
        <v>2256</v>
      </c>
      <c r="H164" s="89" t="s">
        <v>2627</v>
      </c>
      <c r="I164" s="89" t="s">
        <v>2777</v>
      </c>
      <c r="J164" s="89" t="s">
        <v>2778</v>
      </c>
      <c r="K164" s="88" t="s">
        <v>2256</v>
      </c>
      <c r="L164" s="90">
        <v>0</v>
      </c>
    </row>
    <row r="165" spans="1:12" x14ac:dyDescent="0.3">
      <c r="A165" s="88" t="s">
        <v>2779</v>
      </c>
      <c r="B165" s="88" t="s">
        <v>2449</v>
      </c>
      <c r="C165" s="88" t="s">
        <v>2780</v>
      </c>
      <c r="D165" s="88" t="s">
        <v>2781</v>
      </c>
      <c r="E165" s="88" t="s">
        <v>2560</v>
      </c>
      <c r="F165" s="88" t="s">
        <v>2782</v>
      </c>
      <c r="G165" s="88" t="s">
        <v>2256</v>
      </c>
      <c r="H165" s="89" t="s">
        <v>2627</v>
      </c>
      <c r="I165" s="89" t="s">
        <v>2777</v>
      </c>
      <c r="J165" s="89" t="s">
        <v>2778</v>
      </c>
      <c r="K165" s="88" t="s">
        <v>2256</v>
      </c>
      <c r="L165" s="90">
        <v>0</v>
      </c>
    </row>
    <row r="166" spans="1:12" x14ac:dyDescent="0.3">
      <c r="A166" s="88" t="s">
        <v>2783</v>
      </c>
      <c r="B166" s="88" t="s">
        <v>2449</v>
      </c>
      <c r="C166" s="88" t="s">
        <v>2784</v>
      </c>
      <c r="D166" s="88" t="s">
        <v>2781</v>
      </c>
      <c r="E166" s="88" t="s">
        <v>2254</v>
      </c>
      <c r="F166" s="88" t="s">
        <v>2267</v>
      </c>
      <c r="G166" s="88" t="s">
        <v>2256</v>
      </c>
      <c r="H166" s="89" t="s">
        <v>2627</v>
      </c>
      <c r="I166" s="89" t="s">
        <v>2777</v>
      </c>
      <c r="J166" s="89" t="s">
        <v>2778</v>
      </c>
      <c r="K166" s="88" t="s">
        <v>2256</v>
      </c>
      <c r="L166" s="90">
        <v>4000</v>
      </c>
    </row>
    <row r="167" spans="1:12" x14ac:dyDescent="0.3">
      <c r="A167" s="88" t="s">
        <v>2785</v>
      </c>
      <c r="B167" s="88" t="s">
        <v>2269</v>
      </c>
      <c r="C167" s="88" t="s">
        <v>2786</v>
      </c>
      <c r="D167" s="88" t="s">
        <v>2787</v>
      </c>
      <c r="E167" s="88" t="s">
        <v>2254</v>
      </c>
      <c r="F167" s="88" t="s">
        <v>2255</v>
      </c>
      <c r="G167" s="88" t="s">
        <v>2256</v>
      </c>
      <c r="H167" s="89" t="s">
        <v>2627</v>
      </c>
      <c r="I167" s="89" t="s">
        <v>2777</v>
      </c>
      <c r="J167" s="89" t="s">
        <v>2778</v>
      </c>
      <c r="K167" s="88" t="s">
        <v>2256</v>
      </c>
      <c r="L167" s="90">
        <v>5000</v>
      </c>
    </row>
    <row r="168" spans="1:12" x14ac:dyDescent="0.3">
      <c r="A168" s="88" t="s">
        <v>2788</v>
      </c>
      <c r="B168" s="88" t="s">
        <v>2269</v>
      </c>
      <c r="C168" s="88" t="s">
        <v>2789</v>
      </c>
      <c r="D168" s="88" t="s">
        <v>2790</v>
      </c>
      <c r="E168" s="88" t="s">
        <v>2254</v>
      </c>
      <c r="F168" s="88" t="s">
        <v>2267</v>
      </c>
      <c r="G168" s="88" t="s">
        <v>2256</v>
      </c>
      <c r="H168" s="89" t="s">
        <v>2627</v>
      </c>
      <c r="I168" s="89" t="s">
        <v>2777</v>
      </c>
      <c r="J168" s="89" t="s">
        <v>2778</v>
      </c>
      <c r="K168" s="88" t="s">
        <v>2256</v>
      </c>
      <c r="L168" s="90">
        <v>0</v>
      </c>
    </row>
    <row r="169" spans="1:12" x14ac:dyDescent="0.3">
      <c r="A169" s="88" t="s">
        <v>2791</v>
      </c>
      <c r="B169" s="88" t="s">
        <v>2251</v>
      </c>
      <c r="C169" s="88" t="s">
        <v>2792</v>
      </c>
      <c r="D169" s="88" t="s">
        <v>2793</v>
      </c>
      <c r="E169" s="88" t="s">
        <v>2348</v>
      </c>
      <c r="F169" s="88" t="s">
        <v>2255</v>
      </c>
      <c r="G169" s="88" t="s">
        <v>2256</v>
      </c>
      <c r="H169" s="89" t="s">
        <v>2794</v>
      </c>
      <c r="I169" s="89" t="s">
        <v>2795</v>
      </c>
      <c r="J169" s="89" t="s">
        <v>2796</v>
      </c>
      <c r="K169" s="88" t="s">
        <v>2256</v>
      </c>
      <c r="L169" s="90">
        <v>5500</v>
      </c>
    </row>
    <row r="170" spans="1:12" x14ac:dyDescent="0.3">
      <c r="A170" s="88" t="s">
        <v>2797</v>
      </c>
      <c r="B170" s="88" t="s">
        <v>2269</v>
      </c>
      <c r="C170" s="88" t="s">
        <v>2798</v>
      </c>
      <c r="D170" s="88" t="s">
        <v>2799</v>
      </c>
      <c r="E170" s="88" t="s">
        <v>2348</v>
      </c>
      <c r="F170" s="88" t="s">
        <v>2255</v>
      </c>
      <c r="G170" s="88" t="s">
        <v>2256</v>
      </c>
      <c r="H170" s="89" t="s">
        <v>2794</v>
      </c>
      <c r="I170" s="89" t="s">
        <v>2795</v>
      </c>
      <c r="J170" s="89" t="s">
        <v>2796</v>
      </c>
      <c r="K170" s="88" t="s">
        <v>2256</v>
      </c>
      <c r="L170" s="90">
        <v>800</v>
      </c>
    </row>
    <row r="171" spans="1:12" x14ac:dyDescent="0.3">
      <c r="A171" s="88" t="s">
        <v>2800</v>
      </c>
      <c r="B171" s="88" t="s">
        <v>2269</v>
      </c>
      <c r="C171" s="88" t="s">
        <v>2801</v>
      </c>
      <c r="D171" s="88" t="s">
        <v>2802</v>
      </c>
      <c r="E171" s="88" t="s">
        <v>2254</v>
      </c>
      <c r="F171" s="88" t="s">
        <v>2255</v>
      </c>
      <c r="G171" s="88" t="s">
        <v>2256</v>
      </c>
      <c r="H171" s="89" t="s">
        <v>2794</v>
      </c>
      <c r="I171" s="89" t="s">
        <v>2795</v>
      </c>
      <c r="J171" s="89" t="s">
        <v>2796</v>
      </c>
      <c r="K171" s="88" t="s">
        <v>2256</v>
      </c>
      <c r="L171" s="90">
        <v>700</v>
      </c>
    </row>
    <row r="172" spans="1:12" x14ac:dyDescent="0.3">
      <c r="A172" s="88" t="s">
        <v>2803</v>
      </c>
      <c r="B172" s="88" t="s">
        <v>2251</v>
      </c>
      <c r="C172" s="88" t="s">
        <v>2804</v>
      </c>
      <c r="D172" s="88" t="s">
        <v>2805</v>
      </c>
      <c r="E172" s="88" t="s">
        <v>2254</v>
      </c>
      <c r="F172" s="88" t="s">
        <v>2255</v>
      </c>
      <c r="G172" s="88" t="s">
        <v>2256</v>
      </c>
      <c r="H172" s="89" t="s">
        <v>2794</v>
      </c>
      <c r="I172" s="89" t="s">
        <v>2795</v>
      </c>
      <c r="J172" s="89" t="s">
        <v>2796</v>
      </c>
      <c r="K172" s="88" t="s">
        <v>2256</v>
      </c>
      <c r="L172" s="90">
        <v>1700</v>
      </c>
    </row>
    <row r="173" spans="1:12" x14ac:dyDescent="0.3">
      <c r="A173" s="88" t="s">
        <v>2806</v>
      </c>
      <c r="B173" s="88" t="s">
        <v>2251</v>
      </c>
      <c r="C173" s="88" t="s">
        <v>2807</v>
      </c>
      <c r="D173" s="88" t="s">
        <v>2808</v>
      </c>
      <c r="E173" s="88" t="s">
        <v>2348</v>
      </c>
      <c r="F173" s="88" t="s">
        <v>2284</v>
      </c>
      <c r="G173" s="88" t="s">
        <v>2256</v>
      </c>
      <c r="H173" s="89" t="s">
        <v>2794</v>
      </c>
      <c r="I173" s="89" t="s">
        <v>2795</v>
      </c>
      <c r="J173" s="89" t="s">
        <v>2796</v>
      </c>
      <c r="K173" s="88" t="s">
        <v>2256</v>
      </c>
      <c r="L173" s="90">
        <v>9000</v>
      </c>
    </row>
    <row r="174" spans="1:12" x14ac:dyDescent="0.3">
      <c r="A174" s="88" t="s">
        <v>2809</v>
      </c>
      <c r="B174" s="88" t="s">
        <v>2269</v>
      </c>
      <c r="C174" s="88" t="s">
        <v>2810</v>
      </c>
      <c r="D174" s="88" t="s">
        <v>2811</v>
      </c>
      <c r="E174" s="88" t="s">
        <v>2254</v>
      </c>
      <c r="F174" s="88" t="s">
        <v>2284</v>
      </c>
      <c r="G174" s="88" t="s">
        <v>2256</v>
      </c>
      <c r="H174" s="89" t="s">
        <v>2794</v>
      </c>
      <c r="I174" s="89" t="s">
        <v>2795</v>
      </c>
      <c r="J174" s="89" t="s">
        <v>2796</v>
      </c>
      <c r="K174" s="88" t="s">
        <v>2256</v>
      </c>
      <c r="L174" s="90">
        <v>9000</v>
      </c>
    </row>
    <row r="175" spans="1:12" x14ac:dyDescent="0.3">
      <c r="A175" s="88" t="s">
        <v>2812</v>
      </c>
      <c r="B175" s="88" t="s">
        <v>2269</v>
      </c>
      <c r="C175" s="88" t="s">
        <v>2813</v>
      </c>
      <c r="D175" s="88" t="s">
        <v>2814</v>
      </c>
      <c r="E175" s="88" t="s">
        <v>2254</v>
      </c>
      <c r="F175" s="88" t="s">
        <v>2284</v>
      </c>
      <c r="G175" s="88" t="s">
        <v>2256</v>
      </c>
      <c r="H175" s="89" t="s">
        <v>2794</v>
      </c>
      <c r="I175" s="89" t="s">
        <v>2795</v>
      </c>
      <c r="J175" s="89" t="s">
        <v>2796</v>
      </c>
      <c r="K175" s="88" t="s">
        <v>2256</v>
      </c>
      <c r="L175" s="90">
        <v>12000</v>
      </c>
    </row>
    <row r="176" spans="1:12" x14ac:dyDescent="0.3">
      <c r="A176" s="88" t="s">
        <v>2815</v>
      </c>
      <c r="B176" s="88" t="s">
        <v>2467</v>
      </c>
      <c r="C176" s="88" t="s">
        <v>2816</v>
      </c>
      <c r="D176" s="88" t="s">
        <v>2817</v>
      </c>
      <c r="E176" s="88" t="s">
        <v>2254</v>
      </c>
      <c r="F176" s="88" t="s">
        <v>2469</v>
      </c>
      <c r="G176" s="88" t="s">
        <v>2256</v>
      </c>
      <c r="H176" s="89" t="s">
        <v>2794</v>
      </c>
      <c r="I176" s="89" t="s">
        <v>2818</v>
      </c>
      <c r="J176" s="89" t="s">
        <v>2819</v>
      </c>
      <c r="K176" s="88" t="s">
        <v>2256</v>
      </c>
      <c r="L176" s="90">
        <v>0</v>
      </c>
    </row>
    <row r="177" spans="1:12" x14ac:dyDescent="0.3">
      <c r="A177" s="88" t="s">
        <v>2820</v>
      </c>
      <c r="B177" s="88" t="s">
        <v>2260</v>
      </c>
      <c r="C177" s="88" t="s">
        <v>2821</v>
      </c>
      <c r="D177" s="88" t="s">
        <v>2822</v>
      </c>
      <c r="E177" s="88" t="s">
        <v>2348</v>
      </c>
      <c r="F177" s="88" t="s">
        <v>2284</v>
      </c>
      <c r="G177" s="88" t="s">
        <v>2256</v>
      </c>
      <c r="H177" s="89" t="s">
        <v>2794</v>
      </c>
      <c r="I177" s="89" t="s">
        <v>2818</v>
      </c>
      <c r="J177" s="89" t="s">
        <v>2819</v>
      </c>
      <c r="K177" s="88" t="s">
        <v>2256</v>
      </c>
      <c r="L177" s="90">
        <v>0</v>
      </c>
    </row>
    <row r="178" spans="1:12" x14ac:dyDescent="0.3">
      <c r="A178" s="88" t="s">
        <v>2823</v>
      </c>
      <c r="B178" s="88" t="s">
        <v>2269</v>
      </c>
      <c r="C178" s="88" t="s">
        <v>2824</v>
      </c>
      <c r="D178" s="88" t="s">
        <v>2825</v>
      </c>
      <c r="E178" s="88" t="s">
        <v>2254</v>
      </c>
      <c r="F178" s="88" t="s">
        <v>2267</v>
      </c>
      <c r="G178" s="88" t="s">
        <v>2256</v>
      </c>
      <c r="H178" s="89" t="s">
        <v>2794</v>
      </c>
      <c r="I178" s="89" t="s">
        <v>2818</v>
      </c>
      <c r="J178" s="89" t="s">
        <v>2819</v>
      </c>
      <c r="K178" s="88" t="s">
        <v>2256</v>
      </c>
      <c r="L178" s="90">
        <v>28000</v>
      </c>
    </row>
    <row r="179" spans="1:12" x14ac:dyDescent="0.3">
      <c r="A179" s="88" t="s">
        <v>2826</v>
      </c>
      <c r="B179" s="88" t="s">
        <v>2269</v>
      </c>
      <c r="C179" s="88" t="s">
        <v>2827</v>
      </c>
      <c r="D179" s="88" t="s">
        <v>2828</v>
      </c>
      <c r="E179" s="88" t="s">
        <v>2348</v>
      </c>
      <c r="F179" s="88" t="s">
        <v>2255</v>
      </c>
      <c r="G179" s="88" t="s">
        <v>2256</v>
      </c>
      <c r="H179" s="89" t="s">
        <v>2794</v>
      </c>
      <c r="I179" s="89" t="s">
        <v>2818</v>
      </c>
      <c r="J179" s="89" t="s">
        <v>2819</v>
      </c>
      <c r="K179" s="88" t="s">
        <v>2256</v>
      </c>
      <c r="L179" s="90">
        <v>2000</v>
      </c>
    </row>
    <row r="180" spans="1:12" x14ac:dyDescent="0.3">
      <c r="A180" s="88" t="s">
        <v>2829</v>
      </c>
      <c r="B180" s="88" t="s">
        <v>2251</v>
      </c>
      <c r="C180" s="88" t="s">
        <v>2830</v>
      </c>
      <c r="D180" s="88" t="s">
        <v>2831</v>
      </c>
      <c r="E180" s="88" t="s">
        <v>2254</v>
      </c>
      <c r="F180" s="88" t="s">
        <v>2284</v>
      </c>
      <c r="G180" s="88" t="s">
        <v>2256</v>
      </c>
      <c r="H180" s="89" t="s">
        <v>2794</v>
      </c>
      <c r="I180" s="89" t="s">
        <v>2818</v>
      </c>
      <c r="J180" s="89" t="s">
        <v>2819</v>
      </c>
      <c r="K180" s="88" t="s">
        <v>2256</v>
      </c>
      <c r="L180" s="90">
        <v>14000</v>
      </c>
    </row>
    <row r="181" spans="1:12" x14ac:dyDescent="0.3">
      <c r="A181" s="88" t="s">
        <v>2832</v>
      </c>
      <c r="B181" s="88" t="s">
        <v>2260</v>
      </c>
      <c r="C181" s="88" t="s">
        <v>2833</v>
      </c>
      <c r="D181" s="88" t="s">
        <v>2833</v>
      </c>
      <c r="E181" s="88" t="s">
        <v>2254</v>
      </c>
      <c r="F181" s="88" t="s">
        <v>2304</v>
      </c>
      <c r="G181" s="88" t="s">
        <v>2256</v>
      </c>
      <c r="H181" s="89" t="s">
        <v>2794</v>
      </c>
      <c r="I181" s="89" t="s">
        <v>2818</v>
      </c>
      <c r="J181" s="89" t="s">
        <v>2819</v>
      </c>
      <c r="K181" s="88" t="s">
        <v>2256</v>
      </c>
      <c r="L181" s="90">
        <v>15000</v>
      </c>
    </row>
    <row r="182" spans="1:12" x14ac:dyDescent="0.3">
      <c r="A182" s="88" t="s">
        <v>2834</v>
      </c>
      <c r="B182" s="88" t="s">
        <v>2251</v>
      </c>
      <c r="C182" s="88" t="s">
        <v>2835</v>
      </c>
      <c r="D182" s="88" t="s">
        <v>2836</v>
      </c>
      <c r="E182" s="88" t="s">
        <v>2254</v>
      </c>
      <c r="F182" s="88" t="s">
        <v>2255</v>
      </c>
      <c r="G182" s="88" t="s">
        <v>2256</v>
      </c>
      <c r="H182" s="89" t="s">
        <v>2794</v>
      </c>
      <c r="I182" s="89" t="s">
        <v>2818</v>
      </c>
      <c r="J182" s="89" t="s">
        <v>2819</v>
      </c>
      <c r="K182" s="88" t="s">
        <v>2256</v>
      </c>
      <c r="L182" s="90">
        <v>1000</v>
      </c>
    </row>
    <row r="183" spans="1:12" x14ac:dyDescent="0.3">
      <c r="A183" s="88" t="s">
        <v>2837</v>
      </c>
      <c r="B183" s="88" t="s">
        <v>2269</v>
      </c>
      <c r="C183" s="88" t="s">
        <v>2838</v>
      </c>
      <c r="D183" s="88" t="s">
        <v>2839</v>
      </c>
      <c r="E183" s="88" t="s">
        <v>2254</v>
      </c>
      <c r="F183" s="88" t="s">
        <v>2267</v>
      </c>
      <c r="G183" s="88" t="s">
        <v>2256</v>
      </c>
      <c r="H183" s="89" t="s">
        <v>2794</v>
      </c>
      <c r="I183" s="89" t="s">
        <v>2818</v>
      </c>
      <c r="J183" s="89" t="s">
        <v>2819</v>
      </c>
      <c r="K183" s="88" t="s">
        <v>2256</v>
      </c>
      <c r="L183" s="90">
        <v>0</v>
      </c>
    </row>
    <row r="184" spans="1:12" x14ac:dyDescent="0.3">
      <c r="A184" s="88" t="s">
        <v>2840</v>
      </c>
      <c r="B184" s="88" t="s">
        <v>2260</v>
      </c>
      <c r="C184" s="88" t="s">
        <v>2841</v>
      </c>
      <c r="D184" s="88" t="s">
        <v>2842</v>
      </c>
      <c r="E184" s="88" t="s">
        <v>2254</v>
      </c>
      <c r="F184" s="88" t="s">
        <v>2284</v>
      </c>
      <c r="G184" s="88" t="s">
        <v>2256</v>
      </c>
      <c r="H184" s="89" t="s">
        <v>2794</v>
      </c>
      <c r="I184" s="89" t="s">
        <v>2818</v>
      </c>
      <c r="J184" s="89" t="s">
        <v>2819</v>
      </c>
      <c r="K184" s="88" t="s">
        <v>2256</v>
      </c>
      <c r="L184" s="90">
        <v>4000</v>
      </c>
    </row>
    <row r="185" spans="1:12" x14ac:dyDescent="0.3">
      <c r="A185" s="88" t="s">
        <v>2843</v>
      </c>
      <c r="B185" s="88" t="s">
        <v>2269</v>
      </c>
      <c r="C185" s="88" t="s">
        <v>2844</v>
      </c>
      <c r="D185" s="88" t="s">
        <v>2845</v>
      </c>
      <c r="E185" s="88" t="s">
        <v>2348</v>
      </c>
      <c r="F185" s="88" t="s">
        <v>2255</v>
      </c>
      <c r="G185" s="88" t="s">
        <v>2256</v>
      </c>
      <c r="H185" s="89" t="s">
        <v>2794</v>
      </c>
      <c r="I185" s="89" t="s">
        <v>2818</v>
      </c>
      <c r="J185" s="89" t="s">
        <v>2819</v>
      </c>
      <c r="K185" s="88" t="s">
        <v>2256</v>
      </c>
      <c r="L185" s="90">
        <v>28000</v>
      </c>
    </row>
    <row r="186" spans="1:12" x14ac:dyDescent="0.3">
      <c r="A186" s="88" t="s">
        <v>2846</v>
      </c>
      <c r="B186" s="88" t="s">
        <v>2269</v>
      </c>
      <c r="C186" s="88" t="s">
        <v>2847</v>
      </c>
      <c r="D186" s="88" t="s">
        <v>2848</v>
      </c>
      <c r="E186" s="88" t="s">
        <v>2348</v>
      </c>
      <c r="F186" s="88" t="s">
        <v>2284</v>
      </c>
      <c r="G186" s="88" t="s">
        <v>2256</v>
      </c>
      <c r="H186" s="89" t="s">
        <v>2794</v>
      </c>
      <c r="I186" s="89" t="s">
        <v>2818</v>
      </c>
      <c r="J186" s="89" t="s">
        <v>2819</v>
      </c>
      <c r="K186" s="88" t="s">
        <v>2256</v>
      </c>
      <c r="L186" s="90">
        <v>12000</v>
      </c>
    </row>
    <row r="187" spans="1:12" x14ac:dyDescent="0.3">
      <c r="A187" s="88" t="s">
        <v>2849</v>
      </c>
      <c r="B187" s="88" t="s">
        <v>2251</v>
      </c>
      <c r="C187" s="88" t="s">
        <v>2850</v>
      </c>
      <c r="D187" s="88" t="s">
        <v>2851</v>
      </c>
      <c r="E187" s="88" t="s">
        <v>2254</v>
      </c>
      <c r="F187" s="88" t="s">
        <v>2255</v>
      </c>
      <c r="G187" s="88" t="s">
        <v>2256</v>
      </c>
      <c r="H187" s="89" t="s">
        <v>2794</v>
      </c>
      <c r="I187" s="89" t="s">
        <v>2852</v>
      </c>
      <c r="J187" s="89" t="s">
        <v>2852</v>
      </c>
      <c r="K187" s="88" t="s">
        <v>2256</v>
      </c>
      <c r="L187" s="90">
        <v>0</v>
      </c>
    </row>
    <row r="188" spans="1:12" x14ac:dyDescent="0.3">
      <c r="A188" s="88" t="s">
        <v>2853</v>
      </c>
      <c r="B188" s="88" t="s">
        <v>2251</v>
      </c>
      <c r="C188" s="88" t="s">
        <v>2854</v>
      </c>
      <c r="D188" s="88" t="s">
        <v>2855</v>
      </c>
      <c r="E188" s="88" t="s">
        <v>2254</v>
      </c>
      <c r="F188" s="88" t="s">
        <v>2255</v>
      </c>
      <c r="G188" s="88" t="s">
        <v>2256</v>
      </c>
      <c r="H188" s="89" t="s">
        <v>2794</v>
      </c>
      <c r="I188" s="89" t="s">
        <v>2852</v>
      </c>
      <c r="J188" s="89" t="s">
        <v>2852</v>
      </c>
      <c r="K188" s="88" t="s">
        <v>2256</v>
      </c>
      <c r="L188" s="90">
        <v>0</v>
      </c>
    </row>
    <row r="189" spans="1:12" x14ac:dyDescent="0.3">
      <c r="A189" s="88" t="s">
        <v>2856</v>
      </c>
      <c r="B189" s="88" t="s">
        <v>2251</v>
      </c>
      <c r="C189" s="88" t="s">
        <v>2857</v>
      </c>
      <c r="D189" s="88" t="s">
        <v>2858</v>
      </c>
      <c r="E189" s="88" t="s">
        <v>2254</v>
      </c>
      <c r="F189" s="88" t="s">
        <v>2255</v>
      </c>
      <c r="G189" s="88" t="s">
        <v>2256</v>
      </c>
      <c r="H189" s="89" t="s">
        <v>2794</v>
      </c>
      <c r="I189" s="89" t="s">
        <v>2852</v>
      </c>
      <c r="J189" s="89" t="s">
        <v>2852</v>
      </c>
      <c r="K189" s="88" t="s">
        <v>2256</v>
      </c>
      <c r="L189" s="90">
        <v>0</v>
      </c>
    </row>
    <row r="190" spans="1:12" x14ac:dyDescent="0.3">
      <c r="A190" s="88" t="s">
        <v>2859</v>
      </c>
      <c r="B190" s="88" t="s">
        <v>2269</v>
      </c>
      <c r="C190" s="88" t="s">
        <v>2860</v>
      </c>
      <c r="D190" s="88" t="s">
        <v>2861</v>
      </c>
      <c r="E190" s="88" t="s">
        <v>2295</v>
      </c>
      <c r="F190" s="88" t="s">
        <v>2284</v>
      </c>
      <c r="G190" s="88" t="s">
        <v>2256</v>
      </c>
      <c r="H190" s="89" t="s">
        <v>2794</v>
      </c>
      <c r="I190" s="89" t="s">
        <v>2852</v>
      </c>
      <c r="J190" s="89" t="s">
        <v>2852</v>
      </c>
      <c r="K190" s="88" t="s">
        <v>2256</v>
      </c>
      <c r="L190" s="90">
        <v>135000</v>
      </c>
    </row>
    <row r="191" spans="1:12" x14ac:dyDescent="0.3">
      <c r="A191" s="88" t="s">
        <v>2862</v>
      </c>
      <c r="B191" s="88" t="s">
        <v>2269</v>
      </c>
      <c r="C191" s="88" t="s">
        <v>2863</v>
      </c>
      <c r="D191" s="88" t="s">
        <v>2864</v>
      </c>
      <c r="E191" s="88" t="s">
        <v>2254</v>
      </c>
      <c r="F191" s="88" t="s">
        <v>2267</v>
      </c>
      <c r="G191" s="88" t="s">
        <v>2256</v>
      </c>
      <c r="H191" s="89" t="s">
        <v>2794</v>
      </c>
      <c r="I191" s="89" t="s">
        <v>2852</v>
      </c>
      <c r="J191" s="89" t="s">
        <v>2852</v>
      </c>
      <c r="K191" s="88" t="s">
        <v>2256</v>
      </c>
      <c r="L191" s="90">
        <v>135000</v>
      </c>
    </row>
    <row r="192" spans="1:12" x14ac:dyDescent="0.3">
      <c r="A192" s="88" t="s">
        <v>2865</v>
      </c>
      <c r="B192" s="88" t="s">
        <v>2264</v>
      </c>
      <c r="C192" s="88" t="s">
        <v>2866</v>
      </c>
      <c r="D192" s="88" t="s">
        <v>2866</v>
      </c>
      <c r="E192" s="88" t="s">
        <v>2254</v>
      </c>
      <c r="F192" s="88" t="s">
        <v>2267</v>
      </c>
      <c r="G192" s="88" t="s">
        <v>2256</v>
      </c>
      <c r="H192" s="89" t="s">
        <v>2794</v>
      </c>
      <c r="I192" s="89" t="s">
        <v>2852</v>
      </c>
      <c r="J192" s="89" t="s">
        <v>2852</v>
      </c>
      <c r="K192" s="88" t="s">
        <v>2256</v>
      </c>
      <c r="L192" s="90">
        <v>0</v>
      </c>
    </row>
    <row r="193" spans="1:12" x14ac:dyDescent="0.3">
      <c r="A193" s="88" t="s">
        <v>2867</v>
      </c>
      <c r="B193" s="88" t="s">
        <v>2269</v>
      </c>
      <c r="C193" s="88" t="s">
        <v>2868</v>
      </c>
      <c r="D193" s="88" t="s">
        <v>2869</v>
      </c>
      <c r="E193" s="88" t="s">
        <v>2254</v>
      </c>
      <c r="F193" s="88" t="s">
        <v>2267</v>
      </c>
      <c r="G193" s="88" t="s">
        <v>2256</v>
      </c>
      <c r="H193" s="89" t="s">
        <v>2794</v>
      </c>
      <c r="I193" s="89" t="s">
        <v>2852</v>
      </c>
      <c r="J193" s="89" t="s">
        <v>2852</v>
      </c>
      <c r="K193" s="88" t="s">
        <v>2256</v>
      </c>
      <c r="L193" s="90">
        <v>0</v>
      </c>
    </row>
    <row r="194" spans="1:12" x14ac:dyDescent="0.3">
      <c r="A194" s="88" t="s">
        <v>2870</v>
      </c>
      <c r="B194" s="88" t="s">
        <v>2269</v>
      </c>
      <c r="C194" s="88" t="s">
        <v>2871</v>
      </c>
      <c r="D194" s="88" t="s">
        <v>2872</v>
      </c>
      <c r="E194" s="88" t="s">
        <v>2348</v>
      </c>
      <c r="F194" s="88" t="s">
        <v>2284</v>
      </c>
      <c r="G194" s="88" t="s">
        <v>2256</v>
      </c>
      <c r="H194" s="89" t="s">
        <v>2794</v>
      </c>
      <c r="I194" s="89" t="s">
        <v>2873</v>
      </c>
      <c r="J194" s="89" t="s">
        <v>2874</v>
      </c>
      <c r="K194" s="88" t="s">
        <v>2256</v>
      </c>
      <c r="L194" s="90">
        <v>24000</v>
      </c>
    </row>
    <row r="195" spans="1:12" x14ac:dyDescent="0.3">
      <c r="A195" s="88" t="s">
        <v>2875</v>
      </c>
      <c r="B195" s="88" t="s">
        <v>2251</v>
      </c>
      <c r="C195" s="88" t="s">
        <v>2876</v>
      </c>
      <c r="D195" s="88" t="s">
        <v>2877</v>
      </c>
      <c r="E195" s="88" t="s">
        <v>2254</v>
      </c>
      <c r="F195" s="88" t="s">
        <v>2255</v>
      </c>
      <c r="G195" s="88" t="s">
        <v>2256</v>
      </c>
      <c r="H195" s="89" t="s">
        <v>2794</v>
      </c>
      <c r="I195" s="89" t="s">
        <v>2873</v>
      </c>
      <c r="J195" s="89" t="s">
        <v>2874</v>
      </c>
      <c r="K195" s="88" t="s">
        <v>2256</v>
      </c>
      <c r="L195" s="90">
        <v>25000</v>
      </c>
    </row>
    <row r="196" spans="1:12" x14ac:dyDescent="0.3">
      <c r="A196" s="88" t="s">
        <v>2878</v>
      </c>
      <c r="B196" s="88" t="s">
        <v>2251</v>
      </c>
      <c r="C196" s="88" t="s">
        <v>2879</v>
      </c>
      <c r="D196" s="88" t="s">
        <v>2880</v>
      </c>
      <c r="E196" s="88" t="s">
        <v>2254</v>
      </c>
      <c r="F196" s="88" t="s">
        <v>2255</v>
      </c>
      <c r="G196" s="88" t="s">
        <v>2256</v>
      </c>
      <c r="H196" s="89" t="s">
        <v>2794</v>
      </c>
      <c r="I196" s="89" t="s">
        <v>2873</v>
      </c>
      <c r="J196" s="89" t="s">
        <v>2874</v>
      </c>
      <c r="K196" s="88" t="s">
        <v>2256</v>
      </c>
      <c r="L196" s="90">
        <v>24000</v>
      </c>
    </row>
    <row r="197" spans="1:12" x14ac:dyDescent="0.3">
      <c r="A197" s="88" t="s">
        <v>2881</v>
      </c>
      <c r="B197" s="88" t="s">
        <v>2269</v>
      </c>
      <c r="C197" s="88" t="s">
        <v>2882</v>
      </c>
      <c r="D197" s="88" t="s">
        <v>2883</v>
      </c>
      <c r="E197" s="88" t="s">
        <v>2254</v>
      </c>
      <c r="F197" s="88" t="s">
        <v>2267</v>
      </c>
      <c r="G197" s="88" t="s">
        <v>2256</v>
      </c>
      <c r="H197" s="89" t="s">
        <v>2794</v>
      </c>
      <c r="I197" s="89" t="s">
        <v>2873</v>
      </c>
      <c r="J197" s="89" t="s">
        <v>2874</v>
      </c>
      <c r="K197" s="88" t="s">
        <v>2256</v>
      </c>
      <c r="L197" s="90">
        <v>20000</v>
      </c>
    </row>
    <row r="198" spans="1:12" x14ac:dyDescent="0.3">
      <c r="A198" s="88" t="s">
        <v>2884</v>
      </c>
      <c r="B198" s="88" t="s">
        <v>2449</v>
      </c>
      <c r="C198" s="88" t="s">
        <v>2885</v>
      </c>
      <c r="D198" s="88" t="s">
        <v>2886</v>
      </c>
      <c r="E198" s="88" t="s">
        <v>2254</v>
      </c>
      <c r="F198" s="88" t="s">
        <v>2267</v>
      </c>
      <c r="G198" s="88" t="s">
        <v>2256</v>
      </c>
      <c r="H198" s="89" t="s">
        <v>2794</v>
      </c>
      <c r="I198" s="89" t="s">
        <v>2873</v>
      </c>
      <c r="J198" s="89" t="s">
        <v>2874</v>
      </c>
      <c r="K198" s="88" t="s">
        <v>2256</v>
      </c>
      <c r="L198" s="90">
        <v>23000</v>
      </c>
    </row>
    <row r="199" spans="1:12" x14ac:dyDescent="0.3">
      <c r="A199" s="88" t="s">
        <v>2887</v>
      </c>
      <c r="B199" s="88" t="s">
        <v>2264</v>
      </c>
      <c r="C199" s="88" t="s">
        <v>2888</v>
      </c>
      <c r="D199" s="88" t="s">
        <v>2889</v>
      </c>
      <c r="E199" s="88" t="s">
        <v>2254</v>
      </c>
      <c r="F199" s="88" t="s">
        <v>2267</v>
      </c>
      <c r="G199" s="88" t="s">
        <v>2256</v>
      </c>
      <c r="H199" s="89" t="s">
        <v>2794</v>
      </c>
      <c r="I199" s="89" t="s">
        <v>2873</v>
      </c>
      <c r="J199" s="89" t="s">
        <v>2874</v>
      </c>
      <c r="K199" s="88" t="s">
        <v>2256</v>
      </c>
      <c r="L199" s="90">
        <v>27000</v>
      </c>
    </row>
    <row r="200" spans="1:12" x14ac:dyDescent="0.3">
      <c r="A200" s="88" t="s">
        <v>2890</v>
      </c>
      <c r="B200" s="88" t="s">
        <v>2322</v>
      </c>
      <c r="C200" s="88" t="s">
        <v>2891</v>
      </c>
      <c r="D200" s="88" t="s">
        <v>2892</v>
      </c>
      <c r="E200" s="88" t="s">
        <v>2254</v>
      </c>
      <c r="F200" s="88" t="s">
        <v>2262</v>
      </c>
      <c r="G200" s="88" t="s">
        <v>2256</v>
      </c>
      <c r="H200" s="89" t="s">
        <v>2794</v>
      </c>
      <c r="I200" s="89" t="s">
        <v>2873</v>
      </c>
      <c r="J200" s="89" t="s">
        <v>2874</v>
      </c>
      <c r="K200" s="88" t="s">
        <v>2256</v>
      </c>
      <c r="L200" s="90">
        <v>0</v>
      </c>
    </row>
    <row r="201" spans="1:12" x14ac:dyDescent="0.3">
      <c r="A201" s="88" t="s">
        <v>2893</v>
      </c>
      <c r="B201" s="88" t="s">
        <v>2251</v>
      </c>
      <c r="C201" s="88" t="s">
        <v>2894</v>
      </c>
      <c r="D201" s="88" t="s">
        <v>2892</v>
      </c>
      <c r="E201" s="88" t="s">
        <v>2254</v>
      </c>
      <c r="F201" s="88" t="s">
        <v>2255</v>
      </c>
      <c r="G201" s="88" t="s">
        <v>2256</v>
      </c>
      <c r="H201" s="89" t="s">
        <v>2794</v>
      </c>
      <c r="I201" s="89" t="s">
        <v>2873</v>
      </c>
      <c r="J201" s="89" t="s">
        <v>2874</v>
      </c>
      <c r="K201" s="88" t="s">
        <v>2256</v>
      </c>
      <c r="L201" s="90">
        <v>25000</v>
      </c>
    </row>
    <row r="202" spans="1:12" x14ac:dyDescent="0.3">
      <c r="A202" s="88" t="s">
        <v>2895</v>
      </c>
      <c r="B202" s="88" t="s">
        <v>2896</v>
      </c>
      <c r="C202" s="88" t="s">
        <v>2897</v>
      </c>
      <c r="D202" s="88" t="s">
        <v>2898</v>
      </c>
      <c r="E202" s="88" t="s">
        <v>2254</v>
      </c>
      <c r="F202" s="88" t="s">
        <v>2363</v>
      </c>
      <c r="G202" s="88" t="s">
        <v>2256</v>
      </c>
      <c r="H202" s="89" t="s">
        <v>2794</v>
      </c>
      <c r="I202" s="89" t="s">
        <v>2873</v>
      </c>
      <c r="J202" s="89" t="s">
        <v>2874</v>
      </c>
      <c r="K202" s="88" t="s">
        <v>2256</v>
      </c>
      <c r="L202" s="90">
        <v>0</v>
      </c>
    </row>
    <row r="203" spans="1:12" x14ac:dyDescent="0.3">
      <c r="A203" s="88" t="s">
        <v>2899</v>
      </c>
      <c r="B203" s="88" t="s">
        <v>2264</v>
      </c>
      <c r="C203" s="88" t="s">
        <v>2900</v>
      </c>
      <c r="D203" s="88" t="s">
        <v>2901</v>
      </c>
      <c r="E203" s="88" t="s">
        <v>2254</v>
      </c>
      <c r="F203" s="88" t="s">
        <v>2267</v>
      </c>
      <c r="G203" s="88" t="s">
        <v>2256</v>
      </c>
      <c r="H203" s="89" t="s">
        <v>2794</v>
      </c>
      <c r="I203" s="89" t="s">
        <v>2873</v>
      </c>
      <c r="J203" s="89" t="s">
        <v>2874</v>
      </c>
      <c r="K203" s="88" t="s">
        <v>2256</v>
      </c>
      <c r="L203" s="90">
        <v>20000</v>
      </c>
    </row>
    <row r="204" spans="1:12" x14ac:dyDescent="0.3">
      <c r="A204" s="88" t="s">
        <v>2902</v>
      </c>
      <c r="B204" s="88" t="s">
        <v>2269</v>
      </c>
      <c r="C204" s="88" t="s">
        <v>2903</v>
      </c>
      <c r="D204" s="88" t="s">
        <v>2903</v>
      </c>
      <c r="E204" s="88" t="s">
        <v>2348</v>
      </c>
      <c r="F204" s="88" t="s">
        <v>2267</v>
      </c>
      <c r="G204" s="88" t="s">
        <v>2256</v>
      </c>
      <c r="H204" s="89" t="s">
        <v>2794</v>
      </c>
      <c r="I204" s="89" t="s">
        <v>2873</v>
      </c>
      <c r="J204" s="89" t="s">
        <v>2874</v>
      </c>
      <c r="K204" s="88" t="s">
        <v>2256</v>
      </c>
      <c r="L204" s="90">
        <v>23000</v>
      </c>
    </row>
    <row r="205" spans="1:12" x14ac:dyDescent="0.3">
      <c r="A205" s="88" t="s">
        <v>2904</v>
      </c>
      <c r="B205" s="88" t="s">
        <v>2269</v>
      </c>
      <c r="C205" s="88" t="s">
        <v>2905</v>
      </c>
      <c r="D205" s="88" t="s">
        <v>2906</v>
      </c>
      <c r="E205" s="88" t="s">
        <v>2348</v>
      </c>
      <c r="F205" s="88" t="s">
        <v>2284</v>
      </c>
      <c r="G205" s="88" t="s">
        <v>2256</v>
      </c>
      <c r="H205" s="89" t="s">
        <v>2794</v>
      </c>
      <c r="I205" s="89" t="s">
        <v>2873</v>
      </c>
      <c r="J205" s="89" t="s">
        <v>2874</v>
      </c>
      <c r="K205" s="88" t="s">
        <v>2256</v>
      </c>
      <c r="L205" s="90">
        <v>25000</v>
      </c>
    </row>
    <row r="206" spans="1:12" x14ac:dyDescent="0.3">
      <c r="A206" s="88" t="s">
        <v>2907</v>
      </c>
      <c r="B206" s="88" t="s">
        <v>2269</v>
      </c>
      <c r="C206" s="88" t="s">
        <v>2908</v>
      </c>
      <c r="D206" s="88" t="s">
        <v>2909</v>
      </c>
      <c r="E206" s="88" t="s">
        <v>2254</v>
      </c>
      <c r="F206" s="88" t="s">
        <v>2284</v>
      </c>
      <c r="G206" s="88" t="s">
        <v>2256</v>
      </c>
      <c r="H206" s="89" t="s">
        <v>2794</v>
      </c>
      <c r="I206" s="89" t="s">
        <v>2873</v>
      </c>
      <c r="J206" s="89" t="s">
        <v>2874</v>
      </c>
      <c r="K206" s="88" t="s">
        <v>2256</v>
      </c>
      <c r="L206" s="90">
        <v>24000</v>
      </c>
    </row>
    <row r="207" spans="1:12" x14ac:dyDescent="0.3">
      <c r="A207" s="88" t="s">
        <v>2910</v>
      </c>
      <c r="B207" s="88" t="s">
        <v>2269</v>
      </c>
      <c r="C207" s="88" t="s">
        <v>2911</v>
      </c>
      <c r="D207" s="88" t="s">
        <v>2912</v>
      </c>
      <c r="E207" s="88" t="s">
        <v>2348</v>
      </c>
      <c r="F207" s="88" t="s">
        <v>2284</v>
      </c>
      <c r="G207" s="88" t="s">
        <v>2256</v>
      </c>
      <c r="H207" s="89" t="s">
        <v>2794</v>
      </c>
      <c r="I207" s="89" t="s">
        <v>2873</v>
      </c>
      <c r="J207" s="89" t="s">
        <v>2913</v>
      </c>
      <c r="K207" s="88" t="s">
        <v>2256</v>
      </c>
      <c r="L207" s="90">
        <v>40</v>
      </c>
    </row>
    <row r="208" spans="1:12" x14ac:dyDescent="0.3">
      <c r="A208" s="88" t="s">
        <v>2914</v>
      </c>
      <c r="B208" s="88" t="s">
        <v>2269</v>
      </c>
      <c r="C208" s="88" t="s">
        <v>2915</v>
      </c>
      <c r="D208" s="88" t="s">
        <v>2916</v>
      </c>
      <c r="E208" s="88" t="s">
        <v>2348</v>
      </c>
      <c r="F208" s="88" t="s">
        <v>2284</v>
      </c>
      <c r="G208" s="88" t="s">
        <v>2256</v>
      </c>
      <c r="H208" s="89" t="s">
        <v>2794</v>
      </c>
      <c r="I208" s="89" t="s">
        <v>2873</v>
      </c>
      <c r="J208" s="89" t="s">
        <v>2913</v>
      </c>
      <c r="K208" s="88" t="s">
        <v>2256</v>
      </c>
      <c r="L208" s="90">
        <v>60</v>
      </c>
    </row>
    <row r="209" spans="1:12" x14ac:dyDescent="0.3">
      <c r="A209" s="88" t="s">
        <v>2917</v>
      </c>
      <c r="B209" s="88" t="s">
        <v>2251</v>
      </c>
      <c r="C209" s="88" t="s">
        <v>2918</v>
      </c>
      <c r="D209" s="88" t="s">
        <v>2919</v>
      </c>
      <c r="E209" s="88" t="s">
        <v>2348</v>
      </c>
      <c r="F209" s="88" t="s">
        <v>2284</v>
      </c>
      <c r="G209" s="88" t="s">
        <v>2256</v>
      </c>
      <c r="H209" s="89" t="s">
        <v>2794</v>
      </c>
      <c r="I209" s="89" t="s">
        <v>2873</v>
      </c>
      <c r="J209" s="89" t="s">
        <v>2913</v>
      </c>
      <c r="K209" s="88" t="s">
        <v>2256</v>
      </c>
      <c r="L209" s="90">
        <v>45</v>
      </c>
    </row>
    <row r="210" spans="1:12" x14ac:dyDescent="0.3">
      <c r="A210" s="88" t="s">
        <v>2920</v>
      </c>
      <c r="B210" s="88" t="s">
        <v>2251</v>
      </c>
      <c r="C210" s="88" t="s">
        <v>2921</v>
      </c>
      <c r="D210" s="88" t="s">
        <v>2922</v>
      </c>
      <c r="E210" s="88" t="s">
        <v>2254</v>
      </c>
      <c r="F210" s="88" t="s">
        <v>2255</v>
      </c>
      <c r="G210" s="88" t="s">
        <v>2256</v>
      </c>
      <c r="H210" s="89" t="s">
        <v>2794</v>
      </c>
      <c r="I210" s="89" t="s">
        <v>2923</v>
      </c>
      <c r="J210" s="89" t="s">
        <v>2924</v>
      </c>
      <c r="K210" s="88" t="s">
        <v>2256</v>
      </c>
      <c r="L210" s="90">
        <v>6500</v>
      </c>
    </row>
    <row r="211" spans="1:12" x14ac:dyDescent="0.3">
      <c r="A211" s="88" t="s">
        <v>2925</v>
      </c>
      <c r="B211" s="88" t="s">
        <v>2467</v>
      </c>
      <c r="C211" s="88" t="s">
        <v>2926</v>
      </c>
      <c r="D211" s="88" t="s">
        <v>2926</v>
      </c>
      <c r="E211" s="88" t="s">
        <v>2254</v>
      </c>
      <c r="F211" s="88" t="s">
        <v>2469</v>
      </c>
      <c r="G211" s="88" t="s">
        <v>2256</v>
      </c>
      <c r="H211" s="89" t="s">
        <v>2794</v>
      </c>
      <c r="I211" s="89" t="s">
        <v>2923</v>
      </c>
      <c r="J211" s="89" t="s">
        <v>2924</v>
      </c>
      <c r="K211" s="88" t="s">
        <v>2256</v>
      </c>
      <c r="L211" s="90">
        <v>20000</v>
      </c>
    </row>
    <row r="212" spans="1:12" x14ac:dyDescent="0.3">
      <c r="A212" s="88" t="s">
        <v>2927</v>
      </c>
      <c r="B212" s="88" t="s">
        <v>2467</v>
      </c>
      <c r="C212" s="88" t="s">
        <v>2928</v>
      </c>
      <c r="D212" s="88" t="s">
        <v>2928</v>
      </c>
      <c r="E212" s="88" t="s">
        <v>2254</v>
      </c>
      <c r="F212" s="88" t="s">
        <v>2469</v>
      </c>
      <c r="G212" s="88" t="s">
        <v>2256</v>
      </c>
      <c r="H212" s="89" t="s">
        <v>2794</v>
      </c>
      <c r="I212" s="89" t="s">
        <v>2923</v>
      </c>
      <c r="J212" s="89" t="s">
        <v>2924</v>
      </c>
      <c r="K212" s="88" t="s">
        <v>2256</v>
      </c>
      <c r="L212" s="90">
        <v>20000</v>
      </c>
    </row>
    <row r="213" spans="1:12" x14ac:dyDescent="0.3">
      <c r="A213" s="88" t="s">
        <v>2929</v>
      </c>
      <c r="B213" s="88" t="s">
        <v>2467</v>
      </c>
      <c r="C213" s="88" t="s">
        <v>2930</v>
      </c>
      <c r="D213" s="88" t="s">
        <v>2930</v>
      </c>
      <c r="E213" s="88" t="s">
        <v>2254</v>
      </c>
      <c r="F213" s="88" t="s">
        <v>2469</v>
      </c>
      <c r="G213" s="88" t="s">
        <v>2256</v>
      </c>
      <c r="H213" s="89" t="s">
        <v>2794</v>
      </c>
      <c r="I213" s="89" t="s">
        <v>2923</v>
      </c>
      <c r="J213" s="89" t="s">
        <v>2924</v>
      </c>
      <c r="K213" s="88" t="s">
        <v>2256</v>
      </c>
      <c r="L213" s="90">
        <v>0</v>
      </c>
    </row>
    <row r="214" spans="1:12" x14ac:dyDescent="0.3">
      <c r="A214" s="88" t="s">
        <v>2931</v>
      </c>
      <c r="B214" s="88" t="s">
        <v>2251</v>
      </c>
      <c r="C214" s="88" t="s">
        <v>2932</v>
      </c>
      <c r="D214" s="88" t="s">
        <v>2933</v>
      </c>
      <c r="E214" s="88" t="s">
        <v>2254</v>
      </c>
      <c r="F214" s="88" t="s">
        <v>2255</v>
      </c>
      <c r="G214" s="88" t="s">
        <v>2256</v>
      </c>
      <c r="H214" s="89" t="s">
        <v>2794</v>
      </c>
      <c r="I214" s="89" t="s">
        <v>2923</v>
      </c>
      <c r="J214" s="89" t="s">
        <v>2934</v>
      </c>
      <c r="K214" s="88" t="s">
        <v>2256</v>
      </c>
      <c r="L214" s="90">
        <v>2000</v>
      </c>
    </row>
    <row r="215" spans="1:12" x14ac:dyDescent="0.3">
      <c r="A215" s="88" t="s">
        <v>2935</v>
      </c>
      <c r="B215" s="88" t="s">
        <v>2269</v>
      </c>
      <c r="C215" s="88" t="s">
        <v>2936</v>
      </c>
      <c r="D215" s="88" t="s">
        <v>2937</v>
      </c>
      <c r="E215" s="88" t="s">
        <v>2254</v>
      </c>
      <c r="F215" s="88" t="s">
        <v>2284</v>
      </c>
      <c r="G215" s="88" t="s">
        <v>2256</v>
      </c>
      <c r="H215" s="89" t="s">
        <v>2794</v>
      </c>
      <c r="I215" s="89" t="s">
        <v>2923</v>
      </c>
      <c r="J215" s="89" t="s">
        <v>2934</v>
      </c>
      <c r="K215" s="88" t="s">
        <v>2256</v>
      </c>
      <c r="L215" s="90">
        <v>1500</v>
      </c>
    </row>
    <row r="216" spans="1:12" x14ac:dyDescent="0.3">
      <c r="A216" s="88" t="s">
        <v>2938</v>
      </c>
      <c r="B216" s="88" t="s">
        <v>2260</v>
      </c>
      <c r="C216" s="88" t="s">
        <v>2939</v>
      </c>
      <c r="D216" s="88" t="s">
        <v>2940</v>
      </c>
      <c r="E216" s="88" t="s">
        <v>2254</v>
      </c>
      <c r="F216" s="88" t="s">
        <v>2284</v>
      </c>
      <c r="G216" s="88" t="s">
        <v>2256</v>
      </c>
      <c r="H216" s="89" t="s">
        <v>2794</v>
      </c>
      <c r="I216" s="89" t="s">
        <v>2923</v>
      </c>
      <c r="J216" s="89" t="s">
        <v>2934</v>
      </c>
      <c r="K216" s="88" t="s">
        <v>2256</v>
      </c>
      <c r="L216" s="90">
        <v>2000</v>
      </c>
    </row>
    <row r="217" spans="1:12" x14ac:dyDescent="0.3">
      <c r="A217" s="88" t="s">
        <v>2941</v>
      </c>
      <c r="B217" s="88" t="s">
        <v>2269</v>
      </c>
      <c r="C217" s="88" t="s">
        <v>2942</v>
      </c>
      <c r="D217" s="88" t="s">
        <v>2943</v>
      </c>
      <c r="E217" s="88" t="s">
        <v>2348</v>
      </c>
      <c r="F217" s="88" t="s">
        <v>2284</v>
      </c>
      <c r="G217" s="88" t="s">
        <v>2256</v>
      </c>
      <c r="H217" s="89" t="s">
        <v>2794</v>
      </c>
      <c r="I217" s="89" t="s">
        <v>2923</v>
      </c>
      <c r="J217" s="89" t="s">
        <v>2944</v>
      </c>
      <c r="K217" s="88" t="s">
        <v>2256</v>
      </c>
      <c r="L217" s="90">
        <v>0</v>
      </c>
    </row>
    <row r="218" spans="1:12" x14ac:dyDescent="0.3">
      <c r="A218" s="88" t="s">
        <v>2945</v>
      </c>
      <c r="B218" s="88" t="s">
        <v>2264</v>
      </c>
      <c r="C218" s="88" t="s">
        <v>2946</v>
      </c>
      <c r="D218" s="88" t="s">
        <v>2946</v>
      </c>
      <c r="E218" s="88" t="s">
        <v>2254</v>
      </c>
      <c r="F218" s="88" t="s">
        <v>2267</v>
      </c>
      <c r="G218" s="88" t="s">
        <v>2256</v>
      </c>
      <c r="H218" s="89" t="s">
        <v>2794</v>
      </c>
      <c r="I218" s="89" t="s">
        <v>2947</v>
      </c>
      <c r="J218" s="89" t="s">
        <v>2948</v>
      </c>
      <c r="K218" s="88" t="s">
        <v>2256</v>
      </c>
      <c r="L218" s="90">
        <v>0</v>
      </c>
    </row>
    <row r="219" spans="1:12" x14ac:dyDescent="0.3">
      <c r="A219" s="88" t="s">
        <v>2949</v>
      </c>
      <c r="B219" s="88" t="s">
        <v>2264</v>
      </c>
      <c r="C219" s="88" t="s">
        <v>2950</v>
      </c>
      <c r="D219" s="88" t="s">
        <v>2950</v>
      </c>
      <c r="E219" s="88" t="s">
        <v>2254</v>
      </c>
      <c r="F219" s="88" t="s">
        <v>2267</v>
      </c>
      <c r="G219" s="88" t="s">
        <v>2256</v>
      </c>
      <c r="H219" s="89" t="s">
        <v>2794</v>
      </c>
      <c r="I219" s="89" t="s">
        <v>2947</v>
      </c>
      <c r="J219" s="89" t="s">
        <v>2948</v>
      </c>
      <c r="K219" s="88" t="s">
        <v>2256</v>
      </c>
      <c r="L219" s="90">
        <v>0</v>
      </c>
    </row>
    <row r="220" spans="1:12" x14ac:dyDescent="0.3">
      <c r="A220" s="88" t="s">
        <v>2951</v>
      </c>
      <c r="B220" s="88" t="s">
        <v>2467</v>
      </c>
      <c r="C220" s="88" t="s">
        <v>2952</v>
      </c>
      <c r="D220" s="88" t="s">
        <v>2952</v>
      </c>
      <c r="E220" s="88" t="s">
        <v>2254</v>
      </c>
      <c r="F220" s="88" t="s">
        <v>2469</v>
      </c>
      <c r="G220" s="88" t="s">
        <v>2256</v>
      </c>
      <c r="H220" s="89" t="s">
        <v>2794</v>
      </c>
      <c r="I220" s="89" t="s">
        <v>2947</v>
      </c>
      <c r="J220" s="89" t="s">
        <v>2953</v>
      </c>
      <c r="K220" s="88" t="s">
        <v>2256</v>
      </c>
      <c r="L220" s="90">
        <v>40000</v>
      </c>
    </row>
    <row r="221" spans="1:12" x14ac:dyDescent="0.3">
      <c r="A221" s="88" t="s">
        <v>2954</v>
      </c>
      <c r="B221" s="88" t="s">
        <v>2467</v>
      </c>
      <c r="C221" s="88" t="s">
        <v>2955</v>
      </c>
      <c r="D221" s="88" t="s">
        <v>2955</v>
      </c>
      <c r="E221" s="88" t="s">
        <v>2254</v>
      </c>
      <c r="F221" s="88" t="s">
        <v>2469</v>
      </c>
      <c r="G221" s="88" t="s">
        <v>2256</v>
      </c>
      <c r="H221" s="89" t="s">
        <v>2794</v>
      </c>
      <c r="I221" s="89" t="s">
        <v>2947</v>
      </c>
      <c r="J221" s="89" t="s">
        <v>2953</v>
      </c>
      <c r="K221" s="88" t="s">
        <v>2256</v>
      </c>
      <c r="L221" s="90">
        <v>40000</v>
      </c>
    </row>
    <row r="222" spans="1:12" x14ac:dyDescent="0.3">
      <c r="A222" s="88" t="s">
        <v>2956</v>
      </c>
      <c r="B222" s="88" t="s">
        <v>2264</v>
      </c>
      <c r="C222" s="88" t="s">
        <v>2957</v>
      </c>
      <c r="D222" s="88" t="s">
        <v>2957</v>
      </c>
      <c r="E222" s="88" t="s">
        <v>2254</v>
      </c>
      <c r="F222" s="88" t="s">
        <v>2267</v>
      </c>
      <c r="G222" s="88" t="s">
        <v>2256</v>
      </c>
      <c r="H222" s="89" t="s">
        <v>2958</v>
      </c>
      <c r="I222" s="89" t="s">
        <v>2959</v>
      </c>
      <c r="J222" s="89" t="s">
        <v>2960</v>
      </c>
      <c r="K222" s="88" t="s">
        <v>2256</v>
      </c>
      <c r="L222" s="90">
        <v>0</v>
      </c>
    </row>
    <row r="223" spans="1:12" x14ac:dyDescent="0.3">
      <c r="A223" s="88" t="s">
        <v>2961</v>
      </c>
      <c r="B223" s="88" t="s">
        <v>2269</v>
      </c>
      <c r="C223" s="88" t="s">
        <v>2962</v>
      </c>
      <c r="D223" s="88" t="s">
        <v>2963</v>
      </c>
      <c r="E223" s="88" t="s">
        <v>2254</v>
      </c>
      <c r="F223" s="88" t="s">
        <v>2267</v>
      </c>
      <c r="G223" s="88" t="s">
        <v>2256</v>
      </c>
      <c r="H223" s="89" t="s">
        <v>2958</v>
      </c>
      <c r="I223" s="89" t="s">
        <v>2959</v>
      </c>
      <c r="J223" s="89" t="s">
        <v>2964</v>
      </c>
      <c r="K223" s="88" t="s">
        <v>2256</v>
      </c>
      <c r="L223" s="90">
        <v>0</v>
      </c>
    </row>
    <row r="224" spans="1:12" x14ac:dyDescent="0.3">
      <c r="A224" s="88" t="s">
        <v>2965</v>
      </c>
      <c r="B224" s="88" t="s">
        <v>2269</v>
      </c>
      <c r="C224" s="88" t="s">
        <v>2966</v>
      </c>
      <c r="D224" s="88" t="s">
        <v>2967</v>
      </c>
      <c r="E224" s="88" t="s">
        <v>2254</v>
      </c>
      <c r="F224" s="88" t="s">
        <v>2284</v>
      </c>
      <c r="G224" s="88" t="s">
        <v>2256</v>
      </c>
      <c r="H224" s="89" t="s">
        <v>2958</v>
      </c>
      <c r="I224" s="89" t="s">
        <v>2968</v>
      </c>
      <c r="J224" s="89" t="s">
        <v>2969</v>
      </c>
      <c r="K224" s="88" t="s">
        <v>2256</v>
      </c>
      <c r="L224" s="90">
        <v>400</v>
      </c>
    </row>
    <row r="225" spans="1:12" x14ac:dyDescent="0.3">
      <c r="A225" s="88" t="s">
        <v>2970</v>
      </c>
      <c r="B225" s="88" t="s">
        <v>2269</v>
      </c>
      <c r="C225" s="88" t="s">
        <v>2971</v>
      </c>
      <c r="D225" s="88" t="s">
        <v>2972</v>
      </c>
      <c r="E225" s="88" t="s">
        <v>2254</v>
      </c>
      <c r="F225" s="88" t="s">
        <v>2267</v>
      </c>
      <c r="G225" s="88" t="s">
        <v>2256</v>
      </c>
      <c r="H225" s="89" t="s">
        <v>2958</v>
      </c>
      <c r="I225" s="89" t="s">
        <v>2968</v>
      </c>
      <c r="J225" s="89" t="s">
        <v>2969</v>
      </c>
      <c r="K225" s="88" t="s">
        <v>2256</v>
      </c>
      <c r="L225" s="90">
        <v>0</v>
      </c>
    </row>
    <row r="226" spans="1:12" x14ac:dyDescent="0.3">
      <c r="A226" s="88" t="s">
        <v>2973</v>
      </c>
      <c r="B226" s="88" t="s">
        <v>2269</v>
      </c>
      <c r="C226" s="88" t="s">
        <v>2971</v>
      </c>
      <c r="D226" s="88" t="s">
        <v>2972</v>
      </c>
      <c r="E226" s="88" t="s">
        <v>2254</v>
      </c>
      <c r="F226" s="88" t="s">
        <v>2267</v>
      </c>
      <c r="G226" s="88" t="s">
        <v>2256</v>
      </c>
      <c r="H226" s="89" t="s">
        <v>2958</v>
      </c>
      <c r="I226" s="89" t="s">
        <v>2968</v>
      </c>
      <c r="J226" s="89" t="s">
        <v>2969</v>
      </c>
      <c r="K226" s="88" t="s">
        <v>2256</v>
      </c>
      <c r="L226" s="90">
        <v>0</v>
      </c>
    </row>
    <row r="227" spans="1:12" x14ac:dyDescent="0.3">
      <c r="A227" s="88" t="s">
        <v>2974</v>
      </c>
      <c r="B227" s="88" t="s">
        <v>2269</v>
      </c>
      <c r="C227" s="88" t="s">
        <v>2975</v>
      </c>
      <c r="D227" s="88" t="s">
        <v>2976</v>
      </c>
      <c r="E227" s="88" t="s">
        <v>2254</v>
      </c>
      <c r="F227" s="88" t="s">
        <v>2267</v>
      </c>
      <c r="G227" s="88" t="s">
        <v>2256</v>
      </c>
      <c r="H227" s="89" t="s">
        <v>2958</v>
      </c>
      <c r="I227" s="89" t="s">
        <v>2968</v>
      </c>
      <c r="J227" s="89" t="s">
        <v>2969</v>
      </c>
      <c r="K227" s="88" t="s">
        <v>2256</v>
      </c>
      <c r="L227" s="90">
        <v>800</v>
      </c>
    </row>
    <row r="228" spans="1:12" x14ac:dyDescent="0.3">
      <c r="A228" s="88" t="s">
        <v>2977</v>
      </c>
      <c r="B228" s="88" t="s">
        <v>2251</v>
      </c>
      <c r="C228" s="88" t="s">
        <v>2978</v>
      </c>
      <c r="D228" s="88" t="s">
        <v>2979</v>
      </c>
      <c r="E228" s="88" t="s">
        <v>2254</v>
      </c>
      <c r="F228" s="88" t="s">
        <v>2255</v>
      </c>
      <c r="G228" s="88" t="s">
        <v>2256</v>
      </c>
      <c r="H228" s="89" t="s">
        <v>2958</v>
      </c>
      <c r="I228" s="89" t="s">
        <v>2968</v>
      </c>
      <c r="J228" s="89" t="s">
        <v>2969</v>
      </c>
      <c r="K228" s="88" t="s">
        <v>2256</v>
      </c>
      <c r="L228" s="90">
        <v>0</v>
      </c>
    </row>
    <row r="229" spans="1:12" x14ac:dyDescent="0.3">
      <c r="A229" s="88" t="s">
        <v>2980</v>
      </c>
      <c r="B229" s="88" t="s">
        <v>2269</v>
      </c>
      <c r="C229" s="88" t="s">
        <v>2981</v>
      </c>
      <c r="D229" s="88" t="s">
        <v>2982</v>
      </c>
      <c r="E229" s="88" t="s">
        <v>2254</v>
      </c>
      <c r="F229" s="88" t="s">
        <v>2267</v>
      </c>
      <c r="G229" s="88" t="s">
        <v>2256</v>
      </c>
      <c r="H229" s="89" t="s">
        <v>2958</v>
      </c>
      <c r="I229" s="89" t="s">
        <v>2968</v>
      </c>
      <c r="J229" s="89" t="s">
        <v>2969</v>
      </c>
      <c r="K229" s="88" t="s">
        <v>2256</v>
      </c>
      <c r="L229" s="90">
        <v>0</v>
      </c>
    </row>
    <row r="230" spans="1:12" x14ac:dyDescent="0.3">
      <c r="A230" s="88" t="s">
        <v>2983</v>
      </c>
      <c r="B230" s="88" t="s">
        <v>2269</v>
      </c>
      <c r="C230" s="88" t="s">
        <v>2984</v>
      </c>
      <c r="D230" s="88" t="s">
        <v>2985</v>
      </c>
      <c r="E230" s="88" t="s">
        <v>2254</v>
      </c>
      <c r="F230" s="88" t="s">
        <v>2255</v>
      </c>
      <c r="G230" s="88" t="s">
        <v>2256</v>
      </c>
      <c r="H230" s="89" t="s">
        <v>2986</v>
      </c>
      <c r="I230" s="89" t="s">
        <v>2987</v>
      </c>
      <c r="J230" s="89" t="s">
        <v>2988</v>
      </c>
      <c r="K230" s="88" t="s">
        <v>2256</v>
      </c>
      <c r="L230" s="90">
        <v>8000</v>
      </c>
    </row>
    <row r="231" spans="1:12" x14ac:dyDescent="0.3">
      <c r="A231" s="88" t="s">
        <v>2989</v>
      </c>
      <c r="B231" s="88" t="s">
        <v>2251</v>
      </c>
      <c r="C231" s="88" t="s">
        <v>2990</v>
      </c>
      <c r="D231" s="88" t="s">
        <v>2991</v>
      </c>
      <c r="E231" s="88" t="s">
        <v>2254</v>
      </c>
      <c r="F231" s="88" t="s">
        <v>2255</v>
      </c>
      <c r="G231" s="88" t="s">
        <v>2256</v>
      </c>
      <c r="H231" s="89" t="s">
        <v>2986</v>
      </c>
      <c r="I231" s="89" t="s">
        <v>2987</v>
      </c>
      <c r="J231" s="89" t="s">
        <v>2988</v>
      </c>
      <c r="K231" s="88" t="s">
        <v>2256</v>
      </c>
      <c r="L231" s="90">
        <v>15500</v>
      </c>
    </row>
    <row r="232" spans="1:12" x14ac:dyDescent="0.3">
      <c r="A232" s="88" t="s">
        <v>2992</v>
      </c>
      <c r="B232" s="88" t="s">
        <v>2251</v>
      </c>
      <c r="C232" s="88" t="s">
        <v>2993</v>
      </c>
      <c r="D232" s="88" t="s">
        <v>2994</v>
      </c>
      <c r="E232" s="88" t="s">
        <v>2254</v>
      </c>
      <c r="F232" s="88" t="s">
        <v>2255</v>
      </c>
      <c r="G232" s="88" t="s">
        <v>2256</v>
      </c>
      <c r="H232" s="89" t="s">
        <v>2986</v>
      </c>
      <c r="I232" s="89" t="s">
        <v>2987</v>
      </c>
      <c r="J232" s="89" t="s">
        <v>2988</v>
      </c>
      <c r="K232" s="88" t="s">
        <v>2256</v>
      </c>
      <c r="L232" s="90">
        <v>15500</v>
      </c>
    </row>
    <row r="233" spans="1:12" x14ac:dyDescent="0.3">
      <c r="A233" s="88" t="s">
        <v>2995</v>
      </c>
      <c r="B233" s="88" t="s">
        <v>2251</v>
      </c>
      <c r="C233" s="88" t="s">
        <v>2996</v>
      </c>
      <c r="D233" s="88" t="s">
        <v>2997</v>
      </c>
      <c r="E233" s="88" t="s">
        <v>2254</v>
      </c>
      <c r="F233" s="88" t="s">
        <v>2255</v>
      </c>
      <c r="G233" s="88" t="s">
        <v>2256</v>
      </c>
      <c r="H233" s="89" t="s">
        <v>2986</v>
      </c>
      <c r="I233" s="89" t="s">
        <v>2987</v>
      </c>
      <c r="J233" s="89" t="s">
        <v>2988</v>
      </c>
      <c r="K233" s="88" t="s">
        <v>2256</v>
      </c>
      <c r="L233" s="90">
        <v>0</v>
      </c>
    </row>
    <row r="234" spans="1:12" x14ac:dyDescent="0.3">
      <c r="A234" s="88" t="s">
        <v>2998</v>
      </c>
      <c r="B234" s="88" t="s">
        <v>2260</v>
      </c>
      <c r="C234" s="88" t="s">
        <v>2999</v>
      </c>
      <c r="D234" s="88" t="s">
        <v>3000</v>
      </c>
      <c r="E234" s="88" t="s">
        <v>2254</v>
      </c>
      <c r="F234" s="88" t="s">
        <v>2255</v>
      </c>
      <c r="G234" s="88" t="s">
        <v>2256</v>
      </c>
      <c r="H234" s="89" t="s">
        <v>2986</v>
      </c>
      <c r="I234" s="89" t="s">
        <v>3001</v>
      </c>
      <c r="J234" s="89" t="s">
        <v>3002</v>
      </c>
      <c r="K234" s="88" t="s">
        <v>2256</v>
      </c>
      <c r="L234" s="90">
        <v>270000</v>
      </c>
    </row>
    <row r="235" spans="1:12" x14ac:dyDescent="0.3">
      <c r="A235" s="88" t="s">
        <v>3003</v>
      </c>
      <c r="B235" s="88" t="s">
        <v>2896</v>
      </c>
      <c r="C235" s="88" t="s">
        <v>3004</v>
      </c>
      <c r="D235" s="88" t="s">
        <v>3005</v>
      </c>
      <c r="E235" s="88" t="s">
        <v>2254</v>
      </c>
      <c r="F235" s="88" t="s">
        <v>2363</v>
      </c>
      <c r="G235" s="88" t="s">
        <v>2256</v>
      </c>
      <c r="H235" s="89" t="s">
        <v>2986</v>
      </c>
      <c r="I235" s="89" t="s">
        <v>3001</v>
      </c>
      <c r="J235" s="89" t="s">
        <v>3002</v>
      </c>
      <c r="K235" s="88" t="s">
        <v>2256</v>
      </c>
      <c r="L235" s="90">
        <v>0</v>
      </c>
    </row>
    <row r="236" spans="1:12" x14ac:dyDescent="0.3">
      <c r="A236" s="88" t="s">
        <v>3006</v>
      </c>
      <c r="B236" s="88" t="s">
        <v>2260</v>
      </c>
      <c r="C236" s="88" t="s">
        <v>3007</v>
      </c>
      <c r="D236" s="88" t="s">
        <v>3005</v>
      </c>
      <c r="E236" s="88" t="s">
        <v>2254</v>
      </c>
      <c r="F236" s="88" t="s">
        <v>2255</v>
      </c>
      <c r="G236" s="88" t="s">
        <v>2256</v>
      </c>
      <c r="H236" s="89" t="s">
        <v>2986</v>
      </c>
      <c r="I236" s="89" t="s">
        <v>3001</v>
      </c>
      <c r="J236" s="89" t="s">
        <v>3002</v>
      </c>
      <c r="K236" s="88" t="s">
        <v>2256</v>
      </c>
      <c r="L236" s="90">
        <v>100000</v>
      </c>
    </row>
    <row r="237" spans="1:12" x14ac:dyDescent="0.3">
      <c r="A237" s="88" t="s">
        <v>3008</v>
      </c>
      <c r="B237" s="88" t="s">
        <v>2269</v>
      </c>
      <c r="C237" s="88" t="s">
        <v>3009</v>
      </c>
      <c r="D237" s="88" t="s">
        <v>3010</v>
      </c>
      <c r="E237" s="88" t="s">
        <v>2254</v>
      </c>
      <c r="F237" s="88" t="s">
        <v>2267</v>
      </c>
      <c r="G237" s="88" t="s">
        <v>2256</v>
      </c>
      <c r="H237" s="89" t="s">
        <v>2986</v>
      </c>
      <c r="I237" s="89" t="s">
        <v>3001</v>
      </c>
      <c r="J237" s="89" t="s">
        <v>3010</v>
      </c>
      <c r="K237" s="88" t="s">
        <v>2256</v>
      </c>
      <c r="L237" s="90">
        <v>0</v>
      </c>
    </row>
    <row r="238" spans="1:12" x14ac:dyDescent="0.3">
      <c r="A238" s="88" t="s">
        <v>3011</v>
      </c>
      <c r="B238" s="88" t="s">
        <v>2251</v>
      </c>
      <c r="C238" s="88" t="s">
        <v>3012</v>
      </c>
      <c r="D238" s="88" t="s">
        <v>3013</v>
      </c>
      <c r="E238" s="88" t="s">
        <v>2254</v>
      </c>
      <c r="F238" s="88" t="s">
        <v>2255</v>
      </c>
      <c r="G238" s="88" t="s">
        <v>2256</v>
      </c>
      <c r="H238" s="89" t="s">
        <v>2986</v>
      </c>
      <c r="I238" s="89" t="s">
        <v>3014</v>
      </c>
      <c r="J238" s="89" t="s">
        <v>3014</v>
      </c>
      <c r="K238" s="88" t="s">
        <v>2256</v>
      </c>
      <c r="L238" s="90">
        <v>70000</v>
      </c>
    </row>
    <row r="239" spans="1:12" x14ac:dyDescent="0.3">
      <c r="A239" s="88" t="s">
        <v>3015</v>
      </c>
      <c r="B239" s="88" t="s">
        <v>2251</v>
      </c>
      <c r="C239" s="88" t="s">
        <v>3016</v>
      </c>
      <c r="D239" s="88" t="s">
        <v>3017</v>
      </c>
      <c r="E239" s="88" t="s">
        <v>2254</v>
      </c>
      <c r="F239" s="88" t="s">
        <v>2255</v>
      </c>
      <c r="G239" s="88" t="s">
        <v>2256</v>
      </c>
      <c r="H239" s="89" t="s">
        <v>2986</v>
      </c>
      <c r="I239" s="89" t="s">
        <v>3014</v>
      </c>
      <c r="J239" s="89" t="s">
        <v>3014</v>
      </c>
      <c r="K239" s="88" t="s">
        <v>2256</v>
      </c>
      <c r="L239" s="90">
        <v>80000</v>
      </c>
    </row>
    <row r="240" spans="1:12" x14ac:dyDescent="0.3">
      <c r="A240" s="88" t="s">
        <v>3018</v>
      </c>
      <c r="B240" s="88" t="s">
        <v>2269</v>
      </c>
      <c r="C240" s="88" t="s">
        <v>3019</v>
      </c>
      <c r="D240" s="88" t="s">
        <v>3020</v>
      </c>
      <c r="E240" s="88" t="s">
        <v>2254</v>
      </c>
      <c r="F240" s="88" t="s">
        <v>2267</v>
      </c>
      <c r="G240" s="88" t="s">
        <v>2256</v>
      </c>
      <c r="H240" s="89" t="s">
        <v>2986</v>
      </c>
      <c r="I240" s="89" t="s">
        <v>3014</v>
      </c>
      <c r="J240" s="89" t="s">
        <v>3014</v>
      </c>
      <c r="K240" s="88" t="s">
        <v>2256</v>
      </c>
      <c r="L240" s="90">
        <v>0</v>
      </c>
    </row>
    <row r="241" spans="1:12" x14ac:dyDescent="0.3">
      <c r="A241" s="88" t="s">
        <v>3021</v>
      </c>
      <c r="B241" s="88" t="s">
        <v>2449</v>
      </c>
      <c r="C241" s="88" t="s">
        <v>3022</v>
      </c>
      <c r="D241" s="88" t="s">
        <v>3023</v>
      </c>
      <c r="E241" s="88" t="s">
        <v>2254</v>
      </c>
      <c r="F241" s="88" t="s">
        <v>2267</v>
      </c>
      <c r="G241" s="88" t="s">
        <v>2256</v>
      </c>
      <c r="H241" s="89" t="s">
        <v>2986</v>
      </c>
      <c r="I241" s="89" t="s">
        <v>3024</v>
      </c>
      <c r="J241" s="89" t="s">
        <v>3025</v>
      </c>
      <c r="K241" s="88" t="s">
        <v>2256</v>
      </c>
      <c r="L241" s="90">
        <v>3000</v>
      </c>
    </row>
    <row r="242" spans="1:12" x14ac:dyDescent="0.3">
      <c r="A242" s="88" t="s">
        <v>3026</v>
      </c>
      <c r="B242" s="88" t="s">
        <v>2251</v>
      </c>
      <c r="C242" s="88" t="s">
        <v>3027</v>
      </c>
      <c r="D242" s="88" t="s">
        <v>3023</v>
      </c>
      <c r="E242" s="88" t="s">
        <v>2254</v>
      </c>
      <c r="F242" s="88" t="s">
        <v>2255</v>
      </c>
      <c r="G242" s="88" t="s">
        <v>2256</v>
      </c>
      <c r="H242" s="89" t="s">
        <v>2986</v>
      </c>
      <c r="I242" s="89" t="s">
        <v>3024</v>
      </c>
      <c r="J242" s="89" t="s">
        <v>3025</v>
      </c>
      <c r="K242" s="88" t="s">
        <v>2256</v>
      </c>
      <c r="L242" s="90">
        <v>1500</v>
      </c>
    </row>
    <row r="243" spans="1:12" x14ac:dyDescent="0.3">
      <c r="A243" s="88" t="s">
        <v>3028</v>
      </c>
      <c r="B243" s="88" t="s">
        <v>2441</v>
      </c>
      <c r="C243" s="88" t="s">
        <v>3029</v>
      </c>
      <c r="D243" s="88" t="s">
        <v>3024</v>
      </c>
      <c r="E243" s="88" t="s">
        <v>2254</v>
      </c>
      <c r="F243" s="88" t="s">
        <v>2267</v>
      </c>
      <c r="G243" s="88" t="s">
        <v>2256</v>
      </c>
      <c r="H243" s="89" t="s">
        <v>2986</v>
      </c>
      <c r="I243" s="89" t="s">
        <v>3024</v>
      </c>
      <c r="J243" s="89" t="s">
        <v>3030</v>
      </c>
      <c r="K243" s="88" t="s">
        <v>2256</v>
      </c>
      <c r="L243" s="90">
        <v>0</v>
      </c>
    </row>
    <row r="244" spans="1:12" x14ac:dyDescent="0.3">
      <c r="A244" s="88" t="s">
        <v>3031</v>
      </c>
      <c r="B244" s="88" t="s">
        <v>2269</v>
      </c>
      <c r="C244" s="88" t="s">
        <v>3032</v>
      </c>
      <c r="D244" s="88" t="s">
        <v>3033</v>
      </c>
      <c r="E244" s="88" t="s">
        <v>2254</v>
      </c>
      <c r="F244" s="88" t="s">
        <v>2267</v>
      </c>
      <c r="G244" s="88" t="s">
        <v>2256</v>
      </c>
      <c r="H244" s="89" t="s">
        <v>2986</v>
      </c>
      <c r="I244" s="89" t="s">
        <v>3024</v>
      </c>
      <c r="J244" s="89" t="s">
        <v>3030</v>
      </c>
      <c r="K244" s="88" t="s">
        <v>2256</v>
      </c>
      <c r="L244" s="90">
        <v>0</v>
      </c>
    </row>
    <row r="245" spans="1:12" x14ac:dyDescent="0.3">
      <c r="A245" s="88" t="s">
        <v>3034</v>
      </c>
      <c r="B245" s="88" t="s">
        <v>2441</v>
      </c>
      <c r="C245" s="88" t="s">
        <v>3035</v>
      </c>
      <c r="D245" s="88" t="s">
        <v>3035</v>
      </c>
      <c r="E245" s="88" t="s">
        <v>2254</v>
      </c>
      <c r="F245" s="88" t="s">
        <v>2267</v>
      </c>
      <c r="G245" s="88" t="s">
        <v>2256</v>
      </c>
      <c r="H245" s="89" t="s">
        <v>2986</v>
      </c>
      <c r="I245" s="89" t="s">
        <v>3036</v>
      </c>
      <c r="J245" s="89" t="s">
        <v>3037</v>
      </c>
      <c r="K245" s="88" t="s">
        <v>2256</v>
      </c>
      <c r="L245" s="90">
        <v>0</v>
      </c>
    </row>
    <row r="246" spans="1:12" x14ac:dyDescent="0.3">
      <c r="A246" s="88" t="s">
        <v>3038</v>
      </c>
      <c r="B246" s="88" t="s">
        <v>2449</v>
      </c>
      <c r="C246" s="88" t="s">
        <v>3039</v>
      </c>
      <c r="D246" s="88" t="s">
        <v>3036</v>
      </c>
      <c r="E246" s="88" t="s">
        <v>2254</v>
      </c>
      <c r="F246" s="88" t="s">
        <v>2267</v>
      </c>
      <c r="G246" s="88" t="s">
        <v>2256</v>
      </c>
      <c r="H246" s="89" t="s">
        <v>2986</v>
      </c>
      <c r="I246" s="89" t="s">
        <v>3036</v>
      </c>
      <c r="J246" s="89" t="s">
        <v>3037</v>
      </c>
      <c r="K246" s="88" t="s">
        <v>2256</v>
      </c>
      <c r="L246" s="90">
        <v>0</v>
      </c>
    </row>
    <row r="247" spans="1:12" x14ac:dyDescent="0.3">
      <c r="A247" s="88" t="s">
        <v>3040</v>
      </c>
      <c r="B247" s="88" t="s">
        <v>2251</v>
      </c>
      <c r="C247" s="88" t="s">
        <v>3041</v>
      </c>
      <c r="D247" s="88" t="s">
        <v>3036</v>
      </c>
      <c r="E247" s="88" t="s">
        <v>2254</v>
      </c>
      <c r="F247" s="88" t="s">
        <v>2255</v>
      </c>
      <c r="G247" s="88" t="s">
        <v>2256</v>
      </c>
      <c r="H247" s="89" t="s">
        <v>2986</v>
      </c>
      <c r="I247" s="89" t="s">
        <v>3036</v>
      </c>
      <c r="J247" s="89" t="s">
        <v>3037</v>
      </c>
      <c r="K247" s="88" t="s">
        <v>2256</v>
      </c>
      <c r="L247" s="90">
        <v>0</v>
      </c>
    </row>
    <row r="248" spans="1:12" x14ac:dyDescent="0.3">
      <c r="A248" s="88" t="s">
        <v>3042</v>
      </c>
      <c r="B248" s="88" t="s">
        <v>2269</v>
      </c>
      <c r="C248" s="88" t="s">
        <v>3043</v>
      </c>
      <c r="D248" s="88" t="s">
        <v>3044</v>
      </c>
      <c r="E248" s="88" t="s">
        <v>2254</v>
      </c>
      <c r="F248" s="88" t="s">
        <v>2267</v>
      </c>
      <c r="G248" s="88" t="s">
        <v>2256</v>
      </c>
      <c r="H248" s="89" t="s">
        <v>2986</v>
      </c>
      <c r="I248" s="89" t="s">
        <v>3036</v>
      </c>
      <c r="J248" s="89" t="s">
        <v>3037</v>
      </c>
      <c r="K248" s="88" t="s">
        <v>2256</v>
      </c>
      <c r="L248" s="90">
        <v>0</v>
      </c>
    </row>
    <row r="249" spans="1:12" x14ac:dyDescent="0.3">
      <c r="A249" s="88" t="s">
        <v>3045</v>
      </c>
      <c r="B249" s="88" t="s">
        <v>2251</v>
      </c>
      <c r="C249" s="88" t="s">
        <v>3046</v>
      </c>
      <c r="D249" s="88" t="s">
        <v>3046</v>
      </c>
      <c r="E249" s="88" t="s">
        <v>2254</v>
      </c>
      <c r="F249" s="88" t="s">
        <v>2255</v>
      </c>
      <c r="G249" s="88" t="s">
        <v>2660</v>
      </c>
      <c r="H249" s="89" t="s">
        <v>2660</v>
      </c>
      <c r="I249" s="89" t="s">
        <v>3047</v>
      </c>
      <c r="J249" s="89" t="s">
        <v>3048</v>
      </c>
      <c r="K249" s="88" t="s">
        <v>2660</v>
      </c>
      <c r="L249" s="90">
        <v>0</v>
      </c>
    </row>
    <row r="250" spans="1:12" x14ac:dyDescent="0.3">
      <c r="A250" s="88" t="s">
        <v>3049</v>
      </c>
      <c r="B250" s="88" t="s">
        <v>2269</v>
      </c>
      <c r="C250" s="88" t="s">
        <v>3050</v>
      </c>
      <c r="D250" s="88" t="s">
        <v>3050</v>
      </c>
      <c r="E250" s="88" t="s">
        <v>2254</v>
      </c>
      <c r="F250" s="88" t="s">
        <v>2267</v>
      </c>
      <c r="G250" s="88" t="s">
        <v>2660</v>
      </c>
      <c r="H250" s="89" t="s">
        <v>2660</v>
      </c>
      <c r="I250" s="89" t="s">
        <v>3047</v>
      </c>
      <c r="J250" s="89" t="s">
        <v>3048</v>
      </c>
      <c r="K250" s="88" t="s">
        <v>2660</v>
      </c>
      <c r="L250" s="90">
        <v>0</v>
      </c>
    </row>
    <row r="251" spans="1:12" x14ac:dyDescent="0.3">
      <c r="A251" s="88" t="s">
        <v>3051</v>
      </c>
      <c r="B251" s="88" t="s">
        <v>2467</v>
      </c>
      <c r="C251" s="88" t="s">
        <v>3052</v>
      </c>
      <c r="D251" s="88" t="s">
        <v>3052</v>
      </c>
      <c r="E251" s="88" t="s">
        <v>2254</v>
      </c>
      <c r="F251" s="88" t="s">
        <v>2469</v>
      </c>
      <c r="G251" s="88" t="s">
        <v>2660</v>
      </c>
      <c r="H251" s="89" t="s">
        <v>2660</v>
      </c>
      <c r="I251" s="89" t="s">
        <v>3047</v>
      </c>
      <c r="J251" s="89" t="s">
        <v>3048</v>
      </c>
      <c r="K251" s="88" t="s">
        <v>2660</v>
      </c>
      <c r="L251" s="90">
        <v>0</v>
      </c>
    </row>
    <row r="252" spans="1:12" x14ac:dyDescent="0.3">
      <c r="A252" s="91" t="s">
        <v>3053</v>
      </c>
      <c r="B252" s="88" t="s">
        <v>2269</v>
      </c>
      <c r="C252" s="91" t="s">
        <v>3054</v>
      </c>
      <c r="D252" s="88" t="s">
        <v>3054</v>
      </c>
      <c r="E252" s="88" t="s">
        <v>2254</v>
      </c>
      <c r="F252" s="88" t="s">
        <v>2267</v>
      </c>
      <c r="G252" s="88" t="s">
        <v>2660</v>
      </c>
      <c r="H252" s="88" t="s">
        <v>2660</v>
      </c>
      <c r="I252" s="88" t="s">
        <v>3047</v>
      </c>
      <c r="J252" s="88" t="s">
        <v>3048</v>
      </c>
      <c r="K252" s="88" t="s">
        <v>2660</v>
      </c>
      <c r="L252" s="90">
        <v>149880</v>
      </c>
    </row>
    <row r="253" spans="1:12" x14ac:dyDescent="0.3">
      <c r="A253" s="88" t="s">
        <v>3055</v>
      </c>
      <c r="B253" s="88" t="s">
        <v>2269</v>
      </c>
      <c r="C253" s="88" t="s">
        <v>3056</v>
      </c>
      <c r="D253" s="88" t="s">
        <v>3057</v>
      </c>
      <c r="E253" s="88" t="s">
        <v>2254</v>
      </c>
      <c r="F253" s="88" t="s">
        <v>2255</v>
      </c>
      <c r="G253" s="88" t="s">
        <v>2660</v>
      </c>
      <c r="H253" s="89" t="s">
        <v>2660</v>
      </c>
      <c r="I253" s="89" t="s">
        <v>3047</v>
      </c>
      <c r="J253" s="89" t="s">
        <v>3058</v>
      </c>
      <c r="K253" s="88" t="s">
        <v>2660</v>
      </c>
      <c r="L253" s="90">
        <v>80000</v>
      </c>
    </row>
    <row r="254" spans="1:12" x14ac:dyDescent="0.3">
      <c r="A254" s="88" t="s">
        <v>3059</v>
      </c>
      <c r="B254" s="88" t="s">
        <v>2260</v>
      </c>
      <c r="C254" s="88" t="s">
        <v>3060</v>
      </c>
      <c r="D254" s="88" t="s">
        <v>3060</v>
      </c>
      <c r="E254" s="88" t="s">
        <v>2254</v>
      </c>
      <c r="F254" s="88" t="s">
        <v>2267</v>
      </c>
      <c r="G254" s="88" t="s">
        <v>2256</v>
      </c>
      <c r="H254" s="89" t="s">
        <v>2660</v>
      </c>
      <c r="I254" s="89" t="s">
        <v>3047</v>
      </c>
      <c r="J254" s="89" t="s">
        <v>3061</v>
      </c>
      <c r="K254" s="88" t="s">
        <v>2660</v>
      </c>
      <c r="L254" s="90">
        <v>45000</v>
      </c>
    </row>
    <row r="255" spans="1:12" x14ac:dyDescent="0.3">
      <c r="A255" s="88" t="s">
        <v>3062</v>
      </c>
      <c r="B255" s="88" t="s">
        <v>2269</v>
      </c>
      <c r="C255" s="88" t="s">
        <v>3063</v>
      </c>
      <c r="D255" s="88" t="s">
        <v>3064</v>
      </c>
      <c r="E255" s="88" t="s">
        <v>2254</v>
      </c>
      <c r="F255" s="88" t="s">
        <v>2284</v>
      </c>
      <c r="G255" s="88" t="s">
        <v>2660</v>
      </c>
      <c r="H255" s="89" t="s">
        <v>2660</v>
      </c>
      <c r="I255" s="89" t="s">
        <v>3047</v>
      </c>
      <c r="J255" s="89" t="s">
        <v>3065</v>
      </c>
      <c r="K255" s="88" t="s">
        <v>2660</v>
      </c>
      <c r="L255" s="90">
        <v>1500</v>
      </c>
    </row>
    <row r="256" spans="1:12" x14ac:dyDescent="0.3">
      <c r="A256" s="88" t="s">
        <v>3066</v>
      </c>
      <c r="B256" s="88" t="s">
        <v>2260</v>
      </c>
      <c r="C256" s="88" t="s">
        <v>3067</v>
      </c>
      <c r="D256" s="88" t="s">
        <v>3068</v>
      </c>
      <c r="E256" s="88" t="s">
        <v>2254</v>
      </c>
      <c r="F256" s="88" t="s">
        <v>2284</v>
      </c>
      <c r="G256" s="88" t="s">
        <v>2256</v>
      </c>
      <c r="H256" s="89" t="s">
        <v>2660</v>
      </c>
      <c r="I256" s="89" t="s">
        <v>3047</v>
      </c>
      <c r="J256" s="89" t="s">
        <v>3065</v>
      </c>
      <c r="K256" s="88" t="s">
        <v>2660</v>
      </c>
      <c r="L256" s="90">
        <v>1500</v>
      </c>
    </row>
    <row r="257" spans="1:12" x14ac:dyDescent="0.3">
      <c r="A257" s="88" t="s">
        <v>3069</v>
      </c>
      <c r="B257" s="88" t="s">
        <v>2251</v>
      </c>
      <c r="C257" s="88" t="s">
        <v>3070</v>
      </c>
      <c r="D257" s="88" t="s">
        <v>3071</v>
      </c>
      <c r="E257" s="88" t="s">
        <v>2254</v>
      </c>
      <c r="F257" s="88" t="s">
        <v>2255</v>
      </c>
      <c r="G257" s="88" t="s">
        <v>2660</v>
      </c>
      <c r="H257" s="89" t="s">
        <v>2660</v>
      </c>
      <c r="I257" s="89" t="s">
        <v>3072</v>
      </c>
      <c r="J257" s="89" t="s">
        <v>3073</v>
      </c>
      <c r="K257" s="88" t="s">
        <v>2660</v>
      </c>
      <c r="L257" s="90">
        <v>130000</v>
      </c>
    </row>
    <row r="258" spans="1:12" x14ac:dyDescent="0.3">
      <c r="A258" s="88" t="s">
        <v>3074</v>
      </c>
      <c r="B258" s="88" t="s">
        <v>2269</v>
      </c>
      <c r="C258" s="88" t="s">
        <v>3075</v>
      </c>
      <c r="D258" s="88" t="s">
        <v>3071</v>
      </c>
      <c r="E258" s="88" t="s">
        <v>2254</v>
      </c>
      <c r="F258" s="88" t="s">
        <v>2267</v>
      </c>
      <c r="G258" s="88" t="s">
        <v>2660</v>
      </c>
      <c r="H258" s="89" t="s">
        <v>2660</v>
      </c>
      <c r="I258" s="89" t="s">
        <v>3072</v>
      </c>
      <c r="J258" s="89" t="s">
        <v>3073</v>
      </c>
      <c r="K258" s="88" t="s">
        <v>2660</v>
      </c>
      <c r="L258" s="90">
        <v>70000</v>
      </c>
    </row>
    <row r="259" spans="1:12" x14ac:dyDescent="0.3">
      <c r="A259" s="88" t="s">
        <v>3076</v>
      </c>
      <c r="B259" s="88" t="s">
        <v>2269</v>
      </c>
      <c r="C259" s="88" t="s">
        <v>3077</v>
      </c>
      <c r="D259" s="88" t="s">
        <v>3078</v>
      </c>
      <c r="E259" s="88" t="s">
        <v>2254</v>
      </c>
      <c r="F259" s="88" t="s">
        <v>2267</v>
      </c>
      <c r="G259" s="88" t="s">
        <v>2660</v>
      </c>
      <c r="H259" s="89" t="s">
        <v>2660</v>
      </c>
      <c r="I259" s="89" t="s">
        <v>3072</v>
      </c>
      <c r="J259" s="89" t="s">
        <v>3073</v>
      </c>
      <c r="K259" s="88" t="s">
        <v>2660</v>
      </c>
      <c r="L259" s="90">
        <v>0</v>
      </c>
    </row>
    <row r="260" spans="1:12" x14ac:dyDescent="0.3">
      <c r="A260" s="88" t="s">
        <v>3079</v>
      </c>
      <c r="B260" s="88" t="s">
        <v>2269</v>
      </c>
      <c r="C260" s="88" t="s">
        <v>3080</v>
      </c>
      <c r="D260" s="88" t="s">
        <v>3081</v>
      </c>
      <c r="E260" s="88" t="s">
        <v>2254</v>
      </c>
      <c r="F260" s="88" t="s">
        <v>2284</v>
      </c>
      <c r="G260" s="88" t="s">
        <v>2660</v>
      </c>
      <c r="H260" s="89" t="s">
        <v>2660</v>
      </c>
      <c r="I260" s="89" t="s">
        <v>3082</v>
      </c>
      <c r="J260" s="89" t="s">
        <v>3083</v>
      </c>
      <c r="K260" s="88" t="s">
        <v>2660</v>
      </c>
      <c r="L260" s="90">
        <v>200</v>
      </c>
    </row>
    <row r="261" spans="1:12" x14ac:dyDescent="0.3">
      <c r="A261" s="88" t="s">
        <v>3084</v>
      </c>
      <c r="B261" s="88" t="s">
        <v>2269</v>
      </c>
      <c r="C261" s="88" t="s">
        <v>3085</v>
      </c>
      <c r="D261" s="88" t="s">
        <v>3086</v>
      </c>
      <c r="E261" s="88" t="s">
        <v>2254</v>
      </c>
      <c r="F261" s="88" t="s">
        <v>2284</v>
      </c>
      <c r="G261" s="88" t="s">
        <v>2660</v>
      </c>
      <c r="H261" s="89" t="s">
        <v>2660</v>
      </c>
      <c r="I261" s="89" t="s">
        <v>3082</v>
      </c>
      <c r="J261" s="89" t="s">
        <v>3083</v>
      </c>
      <c r="K261" s="88" t="s">
        <v>2660</v>
      </c>
      <c r="L261" s="90">
        <v>200</v>
      </c>
    </row>
    <row r="262" spans="1:12" x14ac:dyDescent="0.3">
      <c r="A262" s="88" t="s">
        <v>3087</v>
      </c>
      <c r="B262" s="88" t="s">
        <v>2269</v>
      </c>
      <c r="C262" s="88" t="s">
        <v>3088</v>
      </c>
      <c r="D262" s="88" t="s">
        <v>3089</v>
      </c>
      <c r="E262" s="88" t="s">
        <v>2254</v>
      </c>
      <c r="F262" s="88" t="s">
        <v>2284</v>
      </c>
      <c r="G262" s="88" t="s">
        <v>2660</v>
      </c>
      <c r="H262" s="89" t="s">
        <v>2660</v>
      </c>
      <c r="I262" s="89" t="s">
        <v>3082</v>
      </c>
      <c r="J262" s="89" t="s">
        <v>3083</v>
      </c>
      <c r="K262" s="88" t="s">
        <v>2660</v>
      </c>
      <c r="L262" s="90">
        <v>200</v>
      </c>
    </row>
    <row r="263" spans="1:12" x14ac:dyDescent="0.3">
      <c r="A263" s="88" t="s">
        <v>3090</v>
      </c>
      <c r="B263" s="88" t="s">
        <v>2264</v>
      </c>
      <c r="C263" s="88" t="s">
        <v>3091</v>
      </c>
      <c r="D263" s="88" t="s">
        <v>3091</v>
      </c>
      <c r="E263" s="88" t="s">
        <v>2254</v>
      </c>
      <c r="F263" s="88" t="s">
        <v>2267</v>
      </c>
      <c r="G263" s="88" t="s">
        <v>2660</v>
      </c>
      <c r="H263" s="89" t="s">
        <v>2660</v>
      </c>
      <c r="I263" s="89" t="s">
        <v>3082</v>
      </c>
      <c r="J263" s="89" t="s">
        <v>3083</v>
      </c>
      <c r="K263" s="88" t="s">
        <v>2660</v>
      </c>
      <c r="L263" s="90">
        <v>0</v>
      </c>
    </row>
    <row r="264" spans="1:12" x14ac:dyDescent="0.3">
      <c r="A264" s="88" t="s">
        <v>3092</v>
      </c>
      <c r="B264" s="88" t="s">
        <v>2269</v>
      </c>
      <c r="C264" s="88" t="s">
        <v>3093</v>
      </c>
      <c r="D264" s="88" t="s">
        <v>3094</v>
      </c>
      <c r="E264" s="88" t="s">
        <v>2254</v>
      </c>
      <c r="F264" s="88" t="s">
        <v>2284</v>
      </c>
      <c r="G264" s="88" t="s">
        <v>2660</v>
      </c>
      <c r="H264" s="89" t="s">
        <v>2660</v>
      </c>
      <c r="I264" s="89" t="s">
        <v>3095</v>
      </c>
      <c r="J264" s="89" t="s">
        <v>3096</v>
      </c>
      <c r="K264" s="88" t="s">
        <v>2660</v>
      </c>
      <c r="L264" s="90">
        <v>10000</v>
      </c>
    </row>
    <row r="265" spans="1:12" x14ac:dyDescent="0.3">
      <c r="A265" s="88" t="s">
        <v>3097</v>
      </c>
      <c r="B265" s="88" t="s">
        <v>2251</v>
      </c>
      <c r="C265" s="88" t="s">
        <v>3098</v>
      </c>
      <c r="D265" s="88" t="s">
        <v>3099</v>
      </c>
      <c r="E265" s="88" t="s">
        <v>2254</v>
      </c>
      <c r="F265" s="88" t="s">
        <v>2255</v>
      </c>
      <c r="G265" s="88" t="s">
        <v>2660</v>
      </c>
      <c r="H265" s="89" t="s">
        <v>2660</v>
      </c>
      <c r="I265" s="89" t="s">
        <v>3095</v>
      </c>
      <c r="J265" s="89" t="s">
        <v>3096</v>
      </c>
      <c r="K265" s="88" t="s">
        <v>2660</v>
      </c>
      <c r="L265" s="90">
        <v>2000</v>
      </c>
    </row>
    <row r="266" spans="1:12" x14ac:dyDescent="0.3">
      <c r="A266" s="88" t="s">
        <v>3100</v>
      </c>
      <c r="B266" s="88" t="s">
        <v>2269</v>
      </c>
      <c r="C266" s="88" t="s">
        <v>3101</v>
      </c>
      <c r="D266" s="88" t="s">
        <v>3102</v>
      </c>
      <c r="E266" s="88" t="s">
        <v>2254</v>
      </c>
      <c r="F266" s="88" t="s">
        <v>2267</v>
      </c>
      <c r="G266" s="88" t="s">
        <v>2660</v>
      </c>
      <c r="H266" s="89" t="s">
        <v>2660</v>
      </c>
      <c r="I266" s="89" t="s">
        <v>3095</v>
      </c>
      <c r="J266" s="89" t="s">
        <v>3096</v>
      </c>
      <c r="K266" s="88" t="s">
        <v>2660</v>
      </c>
      <c r="L266" s="90">
        <v>0</v>
      </c>
    </row>
    <row r="267" spans="1:12" x14ac:dyDescent="0.3">
      <c r="A267" s="88" t="s">
        <v>3103</v>
      </c>
      <c r="B267" s="88" t="s">
        <v>2269</v>
      </c>
      <c r="C267" s="88" t="s">
        <v>3104</v>
      </c>
      <c r="D267" s="88" t="s">
        <v>3105</v>
      </c>
      <c r="E267" s="88" t="s">
        <v>2254</v>
      </c>
      <c r="F267" s="88" t="s">
        <v>2284</v>
      </c>
      <c r="G267" s="88" t="s">
        <v>2660</v>
      </c>
      <c r="H267" s="89" t="s">
        <v>2660</v>
      </c>
      <c r="I267" s="89" t="s">
        <v>3095</v>
      </c>
      <c r="J267" s="89" t="s">
        <v>3096</v>
      </c>
      <c r="K267" s="88" t="s">
        <v>2660</v>
      </c>
      <c r="L267" s="90">
        <v>6000</v>
      </c>
    </row>
    <row r="268" spans="1:12" x14ac:dyDescent="0.3">
      <c r="A268" s="88" t="s">
        <v>3106</v>
      </c>
      <c r="B268" s="88" t="s">
        <v>2449</v>
      </c>
      <c r="C268" s="88" t="s">
        <v>3107</v>
      </c>
      <c r="D268" s="88" t="s">
        <v>3108</v>
      </c>
      <c r="E268" s="88" t="s">
        <v>2254</v>
      </c>
      <c r="F268" s="88" t="s">
        <v>2267</v>
      </c>
      <c r="G268" s="88" t="s">
        <v>2660</v>
      </c>
      <c r="H268" s="89" t="s">
        <v>2660</v>
      </c>
      <c r="I268" s="89" t="s">
        <v>3109</v>
      </c>
      <c r="J268" s="89" t="s">
        <v>3110</v>
      </c>
      <c r="K268" s="88" t="s">
        <v>2660</v>
      </c>
      <c r="L268" s="90">
        <v>27000</v>
      </c>
    </row>
    <row r="269" spans="1:12" x14ac:dyDescent="0.3">
      <c r="A269" s="88" t="s">
        <v>3111</v>
      </c>
      <c r="B269" s="88" t="s">
        <v>2251</v>
      </c>
      <c r="C269" s="88" t="s">
        <v>3112</v>
      </c>
      <c r="D269" s="88" t="s">
        <v>3108</v>
      </c>
      <c r="E269" s="88" t="s">
        <v>2254</v>
      </c>
      <c r="F269" s="88" t="s">
        <v>2255</v>
      </c>
      <c r="G269" s="88" t="s">
        <v>2660</v>
      </c>
      <c r="H269" s="89" t="s">
        <v>2660</v>
      </c>
      <c r="I269" s="89" t="s">
        <v>3109</v>
      </c>
      <c r="J269" s="89" t="s">
        <v>3110</v>
      </c>
      <c r="K269" s="88" t="s">
        <v>2660</v>
      </c>
      <c r="L269" s="90">
        <v>66000</v>
      </c>
    </row>
    <row r="270" spans="1:12" x14ac:dyDescent="0.3">
      <c r="A270" s="88" t="s">
        <v>3113</v>
      </c>
      <c r="B270" s="88" t="s">
        <v>2251</v>
      </c>
      <c r="C270" s="88" t="s">
        <v>3114</v>
      </c>
      <c r="D270" s="88" t="s">
        <v>3115</v>
      </c>
      <c r="E270" s="88" t="s">
        <v>2254</v>
      </c>
      <c r="F270" s="88" t="s">
        <v>2255</v>
      </c>
      <c r="G270" s="88" t="s">
        <v>2256</v>
      </c>
      <c r="H270" s="89" t="s">
        <v>2660</v>
      </c>
      <c r="I270" s="89" t="s">
        <v>3109</v>
      </c>
      <c r="J270" s="89" t="s">
        <v>3110</v>
      </c>
      <c r="K270" s="88" t="s">
        <v>2660</v>
      </c>
      <c r="L270" s="90">
        <v>5000</v>
      </c>
    </row>
    <row r="271" spans="1:12" x14ac:dyDescent="0.3">
      <c r="A271" s="88" t="s">
        <v>3116</v>
      </c>
      <c r="B271" s="88" t="s">
        <v>2251</v>
      </c>
      <c r="C271" s="88" t="s">
        <v>3117</v>
      </c>
      <c r="D271" s="88" t="s">
        <v>3118</v>
      </c>
      <c r="E271" s="88" t="s">
        <v>2254</v>
      </c>
      <c r="F271" s="88" t="s">
        <v>2255</v>
      </c>
      <c r="G271" s="88" t="s">
        <v>2660</v>
      </c>
      <c r="H271" s="89" t="s">
        <v>2660</v>
      </c>
      <c r="I271" s="89" t="s">
        <v>3109</v>
      </c>
      <c r="J271" s="89" t="s">
        <v>3110</v>
      </c>
      <c r="K271" s="88" t="s">
        <v>2660</v>
      </c>
      <c r="L271" s="90">
        <v>15000</v>
      </c>
    </row>
    <row r="272" spans="1:12" x14ac:dyDescent="0.3">
      <c r="A272" s="88" t="s">
        <v>3119</v>
      </c>
      <c r="B272" s="88" t="s">
        <v>2251</v>
      </c>
      <c r="C272" s="88" t="s">
        <v>3120</v>
      </c>
      <c r="D272" s="88" t="s">
        <v>3121</v>
      </c>
      <c r="E272" s="88" t="s">
        <v>2254</v>
      </c>
      <c r="F272" s="88" t="s">
        <v>2255</v>
      </c>
      <c r="G272" s="88" t="s">
        <v>2256</v>
      </c>
      <c r="H272" s="89" t="s">
        <v>2660</v>
      </c>
      <c r="I272" s="89" t="s">
        <v>3122</v>
      </c>
      <c r="J272" s="89" t="s">
        <v>3123</v>
      </c>
      <c r="K272" s="88" t="s">
        <v>2660</v>
      </c>
      <c r="L272" s="90">
        <v>30000</v>
      </c>
    </row>
    <row r="273" spans="1:12" x14ac:dyDescent="0.3">
      <c r="A273" s="88" t="s">
        <v>3124</v>
      </c>
      <c r="B273" s="88" t="s">
        <v>2269</v>
      </c>
      <c r="C273" s="88" t="s">
        <v>3125</v>
      </c>
      <c r="D273" s="88" t="s">
        <v>3125</v>
      </c>
      <c r="E273" s="88" t="s">
        <v>2254</v>
      </c>
      <c r="F273" s="88" t="s">
        <v>2267</v>
      </c>
      <c r="G273" s="88" t="s">
        <v>2256</v>
      </c>
      <c r="H273" s="89" t="s">
        <v>2660</v>
      </c>
      <c r="I273" s="89" t="s">
        <v>3122</v>
      </c>
      <c r="J273" s="89" t="s">
        <v>3123</v>
      </c>
      <c r="K273" s="88" t="s">
        <v>2660</v>
      </c>
      <c r="L273" s="90">
        <v>0</v>
      </c>
    </row>
    <row r="274" spans="1:12" x14ac:dyDescent="0.3">
      <c r="A274" s="88" t="s">
        <v>3126</v>
      </c>
      <c r="B274" s="88" t="s">
        <v>2449</v>
      </c>
      <c r="C274" s="88" t="s">
        <v>3127</v>
      </c>
      <c r="D274" s="88" t="s">
        <v>3128</v>
      </c>
      <c r="E274" s="88" t="s">
        <v>2254</v>
      </c>
      <c r="F274" s="88" t="s">
        <v>2267</v>
      </c>
      <c r="G274" s="88" t="s">
        <v>2256</v>
      </c>
      <c r="H274" s="89" t="s">
        <v>2660</v>
      </c>
      <c r="I274" s="89" t="s">
        <v>3122</v>
      </c>
      <c r="J274" s="89" t="s">
        <v>3123</v>
      </c>
      <c r="K274" s="88" t="s">
        <v>2660</v>
      </c>
      <c r="L274" s="90">
        <v>0</v>
      </c>
    </row>
    <row r="275" spans="1:12" x14ac:dyDescent="0.3">
      <c r="A275" s="88" t="s">
        <v>3129</v>
      </c>
      <c r="B275" s="88" t="s">
        <v>2269</v>
      </c>
      <c r="C275" s="88" t="s">
        <v>3130</v>
      </c>
      <c r="D275" s="88" t="s">
        <v>3131</v>
      </c>
      <c r="E275" s="88" t="s">
        <v>2254</v>
      </c>
      <c r="F275" s="88" t="s">
        <v>2267</v>
      </c>
      <c r="G275" s="88" t="s">
        <v>2660</v>
      </c>
      <c r="H275" s="89" t="s">
        <v>2660</v>
      </c>
      <c r="I275" s="89" t="s">
        <v>3122</v>
      </c>
      <c r="J275" s="89" t="s">
        <v>3132</v>
      </c>
      <c r="K275" s="88" t="s">
        <v>2660</v>
      </c>
      <c r="L275" s="90">
        <v>260000</v>
      </c>
    </row>
    <row r="276" spans="1:12" x14ac:dyDescent="0.3">
      <c r="A276" s="88" t="s">
        <v>3133</v>
      </c>
      <c r="B276" s="88" t="s">
        <v>2260</v>
      </c>
      <c r="C276" s="88" t="s">
        <v>3134</v>
      </c>
      <c r="D276" s="88" t="s">
        <v>3134</v>
      </c>
      <c r="E276" s="88" t="s">
        <v>2254</v>
      </c>
      <c r="F276" s="88" t="s">
        <v>2267</v>
      </c>
      <c r="G276" s="88" t="s">
        <v>2256</v>
      </c>
      <c r="H276" s="89" t="s">
        <v>2660</v>
      </c>
      <c r="I276" s="89" t="s">
        <v>3122</v>
      </c>
      <c r="J276" s="89" t="s">
        <v>3132</v>
      </c>
      <c r="K276" s="88" t="s">
        <v>2660</v>
      </c>
      <c r="L276" s="90">
        <v>380000</v>
      </c>
    </row>
    <row r="277" spans="1:12" x14ac:dyDescent="0.3">
      <c r="A277" s="88" t="s">
        <v>3135</v>
      </c>
      <c r="B277" s="88" t="s">
        <v>2269</v>
      </c>
      <c r="C277" s="88" t="s">
        <v>3136</v>
      </c>
      <c r="D277" s="88" t="s">
        <v>3137</v>
      </c>
      <c r="E277" s="88" t="s">
        <v>2254</v>
      </c>
      <c r="F277" s="88" t="s">
        <v>2267</v>
      </c>
      <c r="G277" s="88" t="s">
        <v>2660</v>
      </c>
      <c r="H277" s="89" t="s">
        <v>2660</v>
      </c>
      <c r="I277" s="89" t="s">
        <v>3122</v>
      </c>
      <c r="J277" s="89" t="s">
        <v>3132</v>
      </c>
      <c r="K277" s="88" t="s">
        <v>2660</v>
      </c>
      <c r="L277" s="90">
        <v>0</v>
      </c>
    </row>
    <row r="278" spans="1:12" x14ac:dyDescent="0.3">
      <c r="A278" s="88" t="s">
        <v>3138</v>
      </c>
      <c r="B278" s="88" t="s">
        <v>2269</v>
      </c>
      <c r="C278" s="88" t="s">
        <v>3139</v>
      </c>
      <c r="D278" s="88" t="s">
        <v>3140</v>
      </c>
      <c r="E278" s="88" t="s">
        <v>2254</v>
      </c>
      <c r="F278" s="88" t="s">
        <v>2267</v>
      </c>
      <c r="G278" s="88" t="s">
        <v>2660</v>
      </c>
      <c r="H278" s="89" t="s">
        <v>2660</v>
      </c>
      <c r="I278" s="89" t="s">
        <v>3122</v>
      </c>
      <c r="J278" s="89" t="s">
        <v>3141</v>
      </c>
      <c r="K278" s="88" t="s">
        <v>2660</v>
      </c>
      <c r="L278" s="90">
        <v>10000</v>
      </c>
    </row>
    <row r="279" spans="1:12" x14ac:dyDescent="0.3">
      <c r="A279" s="88" t="s">
        <v>3142</v>
      </c>
      <c r="B279" s="88" t="s">
        <v>2269</v>
      </c>
      <c r="C279" s="88" t="s">
        <v>3143</v>
      </c>
      <c r="D279" s="88" t="s">
        <v>3144</v>
      </c>
      <c r="E279" s="88" t="s">
        <v>2254</v>
      </c>
      <c r="F279" s="88" t="s">
        <v>2284</v>
      </c>
      <c r="G279" s="88" t="s">
        <v>2660</v>
      </c>
      <c r="H279" s="89" t="s">
        <v>2660</v>
      </c>
      <c r="I279" s="89" t="s">
        <v>3145</v>
      </c>
      <c r="J279" s="89" t="s">
        <v>3146</v>
      </c>
      <c r="K279" s="88" t="s">
        <v>2660</v>
      </c>
      <c r="L279" s="90">
        <v>900</v>
      </c>
    </row>
    <row r="280" spans="1:12" x14ac:dyDescent="0.3">
      <c r="A280" s="88" t="s">
        <v>3147</v>
      </c>
      <c r="B280" s="88" t="s">
        <v>2449</v>
      </c>
      <c r="C280" s="88" t="s">
        <v>3148</v>
      </c>
      <c r="D280" s="88" t="s">
        <v>3144</v>
      </c>
      <c r="E280" s="88" t="s">
        <v>2254</v>
      </c>
      <c r="F280" s="88" t="s">
        <v>2267</v>
      </c>
      <c r="G280" s="88" t="s">
        <v>2660</v>
      </c>
      <c r="H280" s="89" t="s">
        <v>2660</v>
      </c>
      <c r="I280" s="89" t="s">
        <v>3145</v>
      </c>
      <c r="J280" s="89" t="s">
        <v>3146</v>
      </c>
      <c r="K280" s="88" t="s">
        <v>2660</v>
      </c>
      <c r="L280" s="90">
        <v>0</v>
      </c>
    </row>
    <row r="281" spans="1:12" x14ac:dyDescent="0.3">
      <c r="A281" s="88" t="s">
        <v>3149</v>
      </c>
      <c r="B281" s="88" t="s">
        <v>2269</v>
      </c>
      <c r="C281" s="88" t="s">
        <v>3150</v>
      </c>
      <c r="D281" s="88" t="s">
        <v>3151</v>
      </c>
      <c r="E281" s="88" t="s">
        <v>2254</v>
      </c>
      <c r="F281" s="88" t="s">
        <v>2267</v>
      </c>
      <c r="G281" s="88" t="s">
        <v>2660</v>
      </c>
      <c r="H281" s="89" t="s">
        <v>2660</v>
      </c>
      <c r="I281" s="89" t="s">
        <v>3145</v>
      </c>
      <c r="J281" s="89" t="s">
        <v>3146</v>
      </c>
      <c r="K281" s="88" t="s">
        <v>2660</v>
      </c>
      <c r="L281" s="90">
        <v>500</v>
      </c>
    </row>
    <row r="282" spans="1:12" x14ac:dyDescent="0.3">
      <c r="A282" s="88" t="s">
        <v>3152</v>
      </c>
      <c r="B282" s="88" t="s">
        <v>2467</v>
      </c>
      <c r="C282" s="88" t="s">
        <v>3153</v>
      </c>
      <c r="D282" s="88" t="s">
        <v>3151</v>
      </c>
      <c r="E282" s="88" t="s">
        <v>2560</v>
      </c>
      <c r="F282" s="88" t="s">
        <v>2782</v>
      </c>
      <c r="G282" s="88" t="s">
        <v>2660</v>
      </c>
      <c r="H282" s="89" t="s">
        <v>2660</v>
      </c>
      <c r="I282" s="89" t="s">
        <v>3145</v>
      </c>
      <c r="J282" s="89" t="s">
        <v>3146</v>
      </c>
      <c r="K282" s="88" t="s">
        <v>2660</v>
      </c>
      <c r="L282" s="90">
        <v>0</v>
      </c>
    </row>
    <row r="283" spans="1:12" x14ac:dyDescent="0.3">
      <c r="A283" s="88" t="s">
        <v>3154</v>
      </c>
      <c r="B283" s="88" t="s">
        <v>2269</v>
      </c>
      <c r="C283" s="88" t="s">
        <v>3155</v>
      </c>
      <c r="D283" s="88" t="s">
        <v>3151</v>
      </c>
      <c r="E283" s="88" t="s">
        <v>2254</v>
      </c>
      <c r="F283" s="88" t="s">
        <v>2284</v>
      </c>
      <c r="G283" s="88" t="s">
        <v>2660</v>
      </c>
      <c r="H283" s="89" t="s">
        <v>2660</v>
      </c>
      <c r="I283" s="89" t="s">
        <v>3145</v>
      </c>
      <c r="J283" s="89" t="s">
        <v>3146</v>
      </c>
      <c r="K283" s="88" t="s">
        <v>2660</v>
      </c>
      <c r="L283" s="90">
        <v>100</v>
      </c>
    </row>
    <row r="284" spans="1:12" x14ac:dyDescent="0.3">
      <c r="A284" s="88" t="s">
        <v>3156</v>
      </c>
      <c r="B284" s="88" t="s">
        <v>2269</v>
      </c>
      <c r="C284" s="88" t="s">
        <v>3155</v>
      </c>
      <c r="D284" s="88" t="s">
        <v>3151</v>
      </c>
      <c r="E284" s="88" t="s">
        <v>2254</v>
      </c>
      <c r="F284" s="88" t="s">
        <v>2284</v>
      </c>
      <c r="G284" s="88" t="s">
        <v>2660</v>
      </c>
      <c r="H284" s="89" t="s">
        <v>2660</v>
      </c>
      <c r="I284" s="89" t="s">
        <v>3145</v>
      </c>
      <c r="J284" s="89" t="s">
        <v>3146</v>
      </c>
      <c r="K284" s="88" t="s">
        <v>2660</v>
      </c>
      <c r="L284" s="90">
        <v>500</v>
      </c>
    </row>
    <row r="285" spans="1:12" x14ac:dyDescent="0.3">
      <c r="A285" s="88" t="s">
        <v>3157</v>
      </c>
      <c r="B285" s="88" t="s">
        <v>2269</v>
      </c>
      <c r="C285" s="88" t="s">
        <v>3158</v>
      </c>
      <c r="D285" s="88" t="s">
        <v>3159</v>
      </c>
      <c r="E285" s="88" t="s">
        <v>2254</v>
      </c>
      <c r="F285" s="88" t="s">
        <v>2267</v>
      </c>
      <c r="G285" s="88" t="s">
        <v>2660</v>
      </c>
      <c r="H285" s="89" t="s">
        <v>2660</v>
      </c>
      <c r="I285" s="89" t="s">
        <v>3145</v>
      </c>
      <c r="J285" s="89" t="s">
        <v>3146</v>
      </c>
      <c r="K285" s="88" t="s">
        <v>2660</v>
      </c>
      <c r="L285" s="90">
        <v>900</v>
      </c>
    </row>
    <row r="286" spans="1:12" x14ac:dyDescent="0.3">
      <c r="A286" s="88" t="s">
        <v>3160</v>
      </c>
      <c r="B286" s="88" t="s">
        <v>2269</v>
      </c>
      <c r="C286" s="88" t="s">
        <v>3161</v>
      </c>
      <c r="D286" s="88" t="s">
        <v>3162</v>
      </c>
      <c r="E286" s="88" t="s">
        <v>2254</v>
      </c>
      <c r="F286" s="88" t="s">
        <v>2284</v>
      </c>
      <c r="G286" s="88" t="s">
        <v>2256</v>
      </c>
      <c r="H286" s="89" t="s">
        <v>2660</v>
      </c>
      <c r="I286" s="89" t="s">
        <v>3145</v>
      </c>
      <c r="J286" s="89" t="s">
        <v>3146</v>
      </c>
      <c r="K286" s="88" t="s">
        <v>2660</v>
      </c>
      <c r="L286" s="90">
        <v>150</v>
      </c>
    </row>
    <row r="287" spans="1:12" x14ac:dyDescent="0.3">
      <c r="A287" s="88" t="s">
        <v>3163</v>
      </c>
      <c r="B287" s="88" t="s">
        <v>2251</v>
      </c>
      <c r="C287" s="88" t="s">
        <v>3164</v>
      </c>
      <c r="D287" s="88" t="s">
        <v>3165</v>
      </c>
      <c r="E287" s="88" t="s">
        <v>2254</v>
      </c>
      <c r="F287" s="88" t="s">
        <v>2267</v>
      </c>
      <c r="G287" s="88" t="s">
        <v>2660</v>
      </c>
      <c r="H287" s="89" t="s">
        <v>2660</v>
      </c>
      <c r="I287" s="89" t="s">
        <v>3145</v>
      </c>
      <c r="J287" s="89" t="s">
        <v>3146</v>
      </c>
      <c r="K287" s="88" t="s">
        <v>2660</v>
      </c>
      <c r="L287" s="90">
        <v>1000</v>
      </c>
    </row>
    <row r="288" spans="1:12" x14ac:dyDescent="0.3">
      <c r="A288" s="88" t="s">
        <v>3166</v>
      </c>
      <c r="B288" s="88" t="s">
        <v>2260</v>
      </c>
      <c r="C288" s="88" t="s">
        <v>3167</v>
      </c>
      <c r="D288" s="88" t="s">
        <v>3168</v>
      </c>
      <c r="E288" s="88" t="s">
        <v>2254</v>
      </c>
      <c r="F288" s="88" t="s">
        <v>2284</v>
      </c>
      <c r="G288" s="88" t="s">
        <v>2256</v>
      </c>
      <c r="H288" s="89" t="s">
        <v>2660</v>
      </c>
      <c r="I288" s="89" t="s">
        <v>3145</v>
      </c>
      <c r="J288" s="89" t="s">
        <v>3146</v>
      </c>
      <c r="K288" s="88" t="s">
        <v>2660</v>
      </c>
      <c r="L288" s="90">
        <v>0</v>
      </c>
    </row>
    <row r="289" spans="1:12" x14ac:dyDescent="0.3">
      <c r="A289" s="88" t="s">
        <v>3169</v>
      </c>
      <c r="B289" s="88" t="s">
        <v>2251</v>
      </c>
      <c r="C289" s="88" t="s">
        <v>3170</v>
      </c>
      <c r="D289" s="88" t="s">
        <v>3170</v>
      </c>
      <c r="E289" s="88" t="s">
        <v>2254</v>
      </c>
      <c r="F289" s="88" t="s">
        <v>2255</v>
      </c>
      <c r="G289" s="88" t="s">
        <v>2660</v>
      </c>
      <c r="H289" s="89" t="s">
        <v>2660</v>
      </c>
      <c r="I289" s="89" t="s">
        <v>3145</v>
      </c>
      <c r="J289" s="89" t="s">
        <v>3146</v>
      </c>
      <c r="K289" s="88" t="s">
        <v>2660</v>
      </c>
      <c r="L289" s="90">
        <v>150</v>
      </c>
    </row>
    <row r="290" spans="1:12" x14ac:dyDescent="0.3">
      <c r="A290" s="88" t="s">
        <v>3171</v>
      </c>
      <c r="B290" s="88" t="s">
        <v>2467</v>
      </c>
      <c r="C290" s="88" t="s">
        <v>3172</v>
      </c>
      <c r="D290" s="88" t="s">
        <v>3173</v>
      </c>
      <c r="E290" s="88" t="s">
        <v>3174</v>
      </c>
      <c r="F290" s="88" t="s">
        <v>3175</v>
      </c>
      <c r="G290" s="88" t="s">
        <v>2660</v>
      </c>
      <c r="H290" s="89" t="s">
        <v>2660</v>
      </c>
      <c r="I290" s="89" t="s">
        <v>3145</v>
      </c>
      <c r="J290" s="89" t="s">
        <v>3146</v>
      </c>
      <c r="K290" s="88" t="s">
        <v>2660</v>
      </c>
      <c r="L290" s="90">
        <v>150</v>
      </c>
    </row>
    <row r="291" spans="1:12" x14ac:dyDescent="0.3">
      <c r="A291" s="88" t="s">
        <v>3176</v>
      </c>
      <c r="B291" s="88" t="s">
        <v>2269</v>
      </c>
      <c r="C291" s="88" t="s">
        <v>3177</v>
      </c>
      <c r="D291" s="88" t="s">
        <v>3178</v>
      </c>
      <c r="E291" s="88" t="s">
        <v>2254</v>
      </c>
      <c r="F291" s="88" t="s">
        <v>2267</v>
      </c>
      <c r="G291" s="88" t="s">
        <v>2660</v>
      </c>
      <c r="H291" s="89" t="s">
        <v>2660</v>
      </c>
      <c r="I291" s="89" t="s">
        <v>3145</v>
      </c>
      <c r="J291" s="89" t="s">
        <v>3146</v>
      </c>
      <c r="K291" s="88" t="s">
        <v>2660</v>
      </c>
      <c r="L291" s="90">
        <v>150</v>
      </c>
    </row>
    <row r="292" spans="1:12" x14ac:dyDescent="0.3">
      <c r="A292" s="88" t="s">
        <v>3179</v>
      </c>
      <c r="B292" s="88" t="s">
        <v>2260</v>
      </c>
      <c r="C292" s="88" t="s">
        <v>3180</v>
      </c>
      <c r="D292" s="88" t="s">
        <v>3181</v>
      </c>
      <c r="E292" s="88" t="s">
        <v>2254</v>
      </c>
      <c r="F292" s="88" t="s">
        <v>2284</v>
      </c>
      <c r="G292" s="88" t="s">
        <v>2660</v>
      </c>
      <c r="H292" s="89" t="s">
        <v>2660</v>
      </c>
      <c r="I292" s="89" t="s">
        <v>3145</v>
      </c>
      <c r="J292" s="89" t="s">
        <v>3146</v>
      </c>
      <c r="K292" s="88" t="s">
        <v>2660</v>
      </c>
      <c r="L292" s="90">
        <v>0</v>
      </c>
    </row>
    <row r="293" spans="1:12" x14ac:dyDescent="0.3">
      <c r="A293" s="88" t="s">
        <v>3182</v>
      </c>
      <c r="B293" s="88" t="s">
        <v>2251</v>
      </c>
      <c r="C293" s="88" t="s">
        <v>3183</v>
      </c>
      <c r="D293" s="88" t="s">
        <v>3184</v>
      </c>
      <c r="E293" s="88" t="s">
        <v>2254</v>
      </c>
      <c r="F293" s="88" t="s">
        <v>2255</v>
      </c>
      <c r="G293" s="88" t="s">
        <v>2256</v>
      </c>
      <c r="H293" s="89" t="s">
        <v>2660</v>
      </c>
      <c r="I293" s="89" t="s">
        <v>3145</v>
      </c>
      <c r="J293" s="89" t="s">
        <v>3185</v>
      </c>
      <c r="K293" s="88" t="s">
        <v>2660</v>
      </c>
      <c r="L293" s="90">
        <v>14000</v>
      </c>
    </row>
    <row r="294" spans="1:12" x14ac:dyDescent="0.3">
      <c r="A294" s="88" t="s">
        <v>3186</v>
      </c>
      <c r="B294" s="88" t="s">
        <v>2251</v>
      </c>
      <c r="C294" s="88" t="s">
        <v>3187</v>
      </c>
      <c r="D294" s="88" t="s">
        <v>3188</v>
      </c>
      <c r="E294" s="88" t="s">
        <v>2254</v>
      </c>
      <c r="F294" s="88" t="s">
        <v>2255</v>
      </c>
      <c r="G294" s="88" t="s">
        <v>2660</v>
      </c>
      <c r="H294" s="89" t="s">
        <v>2660</v>
      </c>
      <c r="I294" s="89" t="s">
        <v>3145</v>
      </c>
      <c r="J294" s="89" t="s">
        <v>3185</v>
      </c>
      <c r="K294" s="88" t="s">
        <v>2660</v>
      </c>
      <c r="L294" s="90">
        <v>190000</v>
      </c>
    </row>
    <row r="295" spans="1:12" x14ac:dyDescent="0.3">
      <c r="A295" s="88" t="s">
        <v>3189</v>
      </c>
      <c r="B295" s="88" t="s">
        <v>2260</v>
      </c>
      <c r="C295" s="88" t="s">
        <v>3190</v>
      </c>
      <c r="D295" s="88" t="s">
        <v>3188</v>
      </c>
      <c r="E295" s="88" t="s">
        <v>2254</v>
      </c>
      <c r="F295" s="88" t="s">
        <v>2267</v>
      </c>
      <c r="G295" s="88" t="s">
        <v>2660</v>
      </c>
      <c r="H295" s="89" t="s">
        <v>2660</v>
      </c>
      <c r="I295" s="89" t="s">
        <v>3145</v>
      </c>
      <c r="J295" s="89" t="s">
        <v>3185</v>
      </c>
      <c r="K295" s="88" t="s">
        <v>2660</v>
      </c>
      <c r="L295" s="90">
        <v>95000</v>
      </c>
    </row>
    <row r="296" spans="1:12" x14ac:dyDescent="0.3">
      <c r="A296" s="88" t="s">
        <v>3191</v>
      </c>
      <c r="B296" s="88" t="s">
        <v>2467</v>
      </c>
      <c r="C296" s="88" t="s">
        <v>3192</v>
      </c>
      <c r="D296" s="88" t="s">
        <v>3193</v>
      </c>
      <c r="E296" s="88" t="s">
        <v>2738</v>
      </c>
      <c r="F296" s="88" t="s">
        <v>2469</v>
      </c>
      <c r="G296" s="88" t="s">
        <v>2660</v>
      </c>
      <c r="H296" s="89" t="s">
        <v>2660</v>
      </c>
      <c r="I296" s="89" t="s">
        <v>3145</v>
      </c>
      <c r="J296" s="89" t="s">
        <v>3185</v>
      </c>
      <c r="K296" s="88" t="s">
        <v>2660</v>
      </c>
      <c r="L296" s="90">
        <v>0</v>
      </c>
    </row>
    <row r="297" spans="1:12" x14ac:dyDescent="0.3">
      <c r="A297" s="88" t="s">
        <v>3194</v>
      </c>
      <c r="B297" s="88" t="s">
        <v>2260</v>
      </c>
      <c r="C297" s="88" t="s">
        <v>3195</v>
      </c>
      <c r="D297" s="88" t="s">
        <v>3193</v>
      </c>
      <c r="E297" s="88" t="s">
        <v>2254</v>
      </c>
      <c r="F297" s="88" t="s">
        <v>2267</v>
      </c>
      <c r="G297" s="88" t="s">
        <v>2660</v>
      </c>
      <c r="H297" s="89" t="s">
        <v>2660</v>
      </c>
      <c r="I297" s="89" t="s">
        <v>3145</v>
      </c>
      <c r="J297" s="89" t="s">
        <v>3185</v>
      </c>
      <c r="K297" s="88" t="s">
        <v>2660</v>
      </c>
      <c r="L297" s="90">
        <v>35000</v>
      </c>
    </row>
    <row r="298" spans="1:12" x14ac:dyDescent="0.3">
      <c r="A298" s="88" t="s">
        <v>3196</v>
      </c>
      <c r="B298" s="88" t="s">
        <v>2896</v>
      </c>
      <c r="C298" s="88" t="s">
        <v>3197</v>
      </c>
      <c r="D298" s="88" t="s">
        <v>3198</v>
      </c>
      <c r="E298" s="88" t="s">
        <v>2254</v>
      </c>
      <c r="F298" s="88" t="s">
        <v>2363</v>
      </c>
      <c r="G298" s="88" t="s">
        <v>2660</v>
      </c>
      <c r="H298" s="89" t="s">
        <v>2660</v>
      </c>
      <c r="I298" s="89" t="s">
        <v>3145</v>
      </c>
      <c r="J298" s="89" t="s">
        <v>3185</v>
      </c>
      <c r="K298" s="88" t="s">
        <v>2660</v>
      </c>
      <c r="L298" s="90">
        <v>0</v>
      </c>
    </row>
    <row r="299" spans="1:12" x14ac:dyDescent="0.3">
      <c r="A299" s="88" t="s">
        <v>3199</v>
      </c>
      <c r="B299" s="88" t="s">
        <v>2260</v>
      </c>
      <c r="C299" s="88" t="s">
        <v>3200</v>
      </c>
      <c r="D299" s="88" t="s">
        <v>3201</v>
      </c>
      <c r="E299" s="88" t="s">
        <v>2254</v>
      </c>
      <c r="F299" s="88" t="s">
        <v>2267</v>
      </c>
      <c r="G299" s="88" t="s">
        <v>2660</v>
      </c>
      <c r="H299" s="89" t="s">
        <v>2660</v>
      </c>
      <c r="I299" s="89" t="s">
        <v>3145</v>
      </c>
      <c r="J299" s="89" t="s">
        <v>3185</v>
      </c>
      <c r="K299" s="88" t="s">
        <v>2660</v>
      </c>
      <c r="L299" s="90">
        <v>45000</v>
      </c>
    </row>
    <row r="300" spans="1:12" x14ac:dyDescent="0.3">
      <c r="A300" s="88" t="s">
        <v>3202</v>
      </c>
      <c r="B300" s="88" t="s">
        <v>2449</v>
      </c>
      <c r="C300" s="88" t="s">
        <v>3203</v>
      </c>
      <c r="D300" s="88" t="s">
        <v>3204</v>
      </c>
      <c r="E300" s="88" t="s">
        <v>2254</v>
      </c>
      <c r="F300" s="88" t="s">
        <v>2267</v>
      </c>
      <c r="G300" s="88" t="s">
        <v>2660</v>
      </c>
      <c r="H300" s="89" t="s">
        <v>2660</v>
      </c>
      <c r="I300" s="89" t="s">
        <v>3145</v>
      </c>
      <c r="J300" s="89" t="s">
        <v>3185</v>
      </c>
      <c r="K300" s="88" t="s">
        <v>2660</v>
      </c>
      <c r="L300" s="90">
        <v>0</v>
      </c>
    </row>
    <row r="301" spans="1:12" x14ac:dyDescent="0.3">
      <c r="A301" s="88" t="s">
        <v>3205</v>
      </c>
      <c r="B301" s="88" t="s">
        <v>2322</v>
      </c>
      <c r="C301" s="88" t="s">
        <v>3206</v>
      </c>
      <c r="D301" s="88" t="s">
        <v>3207</v>
      </c>
      <c r="E301" s="88" t="s">
        <v>2254</v>
      </c>
      <c r="F301" s="88" t="s">
        <v>2262</v>
      </c>
      <c r="G301" s="88" t="s">
        <v>2660</v>
      </c>
      <c r="H301" s="89" t="s">
        <v>2660</v>
      </c>
      <c r="I301" s="89" t="s">
        <v>3145</v>
      </c>
      <c r="J301" s="89" t="s">
        <v>3185</v>
      </c>
      <c r="K301" s="88" t="s">
        <v>2660</v>
      </c>
      <c r="L301" s="90">
        <v>0</v>
      </c>
    </row>
    <row r="302" spans="1:12" x14ac:dyDescent="0.3">
      <c r="A302" s="88" t="s">
        <v>3208</v>
      </c>
      <c r="B302" s="88" t="s">
        <v>2269</v>
      </c>
      <c r="C302" s="88" t="s">
        <v>3209</v>
      </c>
      <c r="D302" s="88" t="s">
        <v>3207</v>
      </c>
      <c r="E302" s="88" t="s">
        <v>2254</v>
      </c>
      <c r="F302" s="88" t="s">
        <v>2255</v>
      </c>
      <c r="G302" s="88" t="s">
        <v>2660</v>
      </c>
      <c r="H302" s="89" t="s">
        <v>2660</v>
      </c>
      <c r="I302" s="89" t="s">
        <v>3145</v>
      </c>
      <c r="J302" s="89" t="s">
        <v>3185</v>
      </c>
      <c r="K302" s="88" t="s">
        <v>2660</v>
      </c>
      <c r="L302" s="90">
        <v>5000</v>
      </c>
    </row>
    <row r="303" spans="1:12" x14ac:dyDescent="0.3">
      <c r="A303" s="88" t="s">
        <v>3210</v>
      </c>
      <c r="B303" s="88" t="s">
        <v>2467</v>
      </c>
      <c r="C303" s="88" t="s">
        <v>3211</v>
      </c>
      <c r="D303" s="88" t="s">
        <v>3207</v>
      </c>
      <c r="E303" s="88" t="s">
        <v>2738</v>
      </c>
      <c r="F303" s="88" t="s">
        <v>2469</v>
      </c>
      <c r="G303" s="88" t="s">
        <v>2660</v>
      </c>
      <c r="H303" s="89" t="s">
        <v>2660</v>
      </c>
      <c r="I303" s="89" t="s">
        <v>3145</v>
      </c>
      <c r="J303" s="89" t="s">
        <v>3185</v>
      </c>
      <c r="K303" s="88" t="s">
        <v>2660</v>
      </c>
      <c r="L303" s="90">
        <v>0</v>
      </c>
    </row>
    <row r="304" spans="1:12" x14ac:dyDescent="0.3">
      <c r="A304" s="88" t="s">
        <v>3212</v>
      </c>
      <c r="B304" s="88" t="s">
        <v>2251</v>
      </c>
      <c r="C304" s="88" t="s">
        <v>3213</v>
      </c>
      <c r="D304" s="88" t="s">
        <v>3214</v>
      </c>
      <c r="E304" s="88" t="s">
        <v>2254</v>
      </c>
      <c r="F304" s="88" t="s">
        <v>2255</v>
      </c>
      <c r="G304" s="88" t="s">
        <v>2660</v>
      </c>
      <c r="H304" s="89" t="s">
        <v>2660</v>
      </c>
      <c r="I304" s="89" t="s">
        <v>3145</v>
      </c>
      <c r="J304" s="89" t="s">
        <v>3185</v>
      </c>
      <c r="K304" s="88" t="s">
        <v>2660</v>
      </c>
      <c r="L304" s="90">
        <v>0</v>
      </c>
    </row>
    <row r="305" spans="1:12" x14ac:dyDescent="0.3">
      <c r="A305" s="88" t="s">
        <v>3215</v>
      </c>
      <c r="B305" s="88" t="s">
        <v>2251</v>
      </c>
      <c r="C305" s="88" t="s">
        <v>3216</v>
      </c>
      <c r="D305" s="88" t="s">
        <v>3217</v>
      </c>
      <c r="E305" s="88" t="s">
        <v>2254</v>
      </c>
      <c r="F305" s="88" t="s">
        <v>2255</v>
      </c>
      <c r="G305" s="88" t="s">
        <v>2660</v>
      </c>
      <c r="H305" s="89" t="s">
        <v>2660</v>
      </c>
      <c r="I305" s="89" t="s">
        <v>3145</v>
      </c>
      <c r="J305" s="89" t="s">
        <v>3185</v>
      </c>
      <c r="K305" s="88" t="s">
        <v>2660</v>
      </c>
      <c r="L305" s="90">
        <v>0</v>
      </c>
    </row>
    <row r="306" spans="1:12" x14ac:dyDescent="0.3">
      <c r="A306" s="88" t="s">
        <v>3218</v>
      </c>
      <c r="B306" s="88" t="s">
        <v>2449</v>
      </c>
      <c r="C306" s="88" t="s">
        <v>3219</v>
      </c>
      <c r="D306" s="88" t="s">
        <v>3220</v>
      </c>
      <c r="E306" s="88" t="s">
        <v>2254</v>
      </c>
      <c r="F306" s="88" t="s">
        <v>2267</v>
      </c>
      <c r="G306" s="88" t="s">
        <v>2660</v>
      </c>
      <c r="H306" s="89" t="s">
        <v>2660</v>
      </c>
      <c r="I306" s="89" t="s">
        <v>3145</v>
      </c>
      <c r="J306" s="89" t="s">
        <v>3185</v>
      </c>
      <c r="K306" s="88" t="s">
        <v>2660</v>
      </c>
      <c r="L306" s="90">
        <v>2000</v>
      </c>
    </row>
    <row r="307" spans="1:12" x14ac:dyDescent="0.3">
      <c r="A307" s="88" t="s">
        <v>3221</v>
      </c>
      <c r="B307" s="88" t="s">
        <v>2449</v>
      </c>
      <c r="C307" s="88" t="s">
        <v>3222</v>
      </c>
      <c r="D307" s="88" t="s">
        <v>3223</v>
      </c>
      <c r="E307" s="88" t="s">
        <v>2254</v>
      </c>
      <c r="F307" s="88" t="s">
        <v>2267</v>
      </c>
      <c r="G307" s="88" t="s">
        <v>2660</v>
      </c>
      <c r="H307" s="89" t="s">
        <v>2660</v>
      </c>
      <c r="I307" s="89" t="s">
        <v>3145</v>
      </c>
      <c r="J307" s="89" t="s">
        <v>3185</v>
      </c>
      <c r="K307" s="88" t="s">
        <v>2660</v>
      </c>
      <c r="L307" s="90">
        <v>5500</v>
      </c>
    </row>
    <row r="308" spans="1:12" x14ac:dyDescent="0.3">
      <c r="A308" s="88" t="s">
        <v>3224</v>
      </c>
      <c r="B308" s="88" t="s">
        <v>2251</v>
      </c>
      <c r="C308" s="88" t="s">
        <v>3225</v>
      </c>
      <c r="D308" s="88" t="s">
        <v>3226</v>
      </c>
      <c r="E308" s="88" t="s">
        <v>2254</v>
      </c>
      <c r="F308" s="88" t="s">
        <v>2255</v>
      </c>
      <c r="G308" s="88" t="s">
        <v>2660</v>
      </c>
      <c r="H308" s="89" t="s">
        <v>2660</v>
      </c>
      <c r="I308" s="89" t="s">
        <v>3145</v>
      </c>
      <c r="J308" s="89" t="s">
        <v>3185</v>
      </c>
      <c r="K308" s="88" t="s">
        <v>2660</v>
      </c>
      <c r="L308" s="90">
        <v>0</v>
      </c>
    </row>
    <row r="309" spans="1:12" x14ac:dyDescent="0.3">
      <c r="A309" s="88" t="s">
        <v>3227</v>
      </c>
      <c r="B309" s="88" t="s">
        <v>2269</v>
      </c>
      <c r="C309" s="88" t="s">
        <v>3228</v>
      </c>
      <c r="D309" s="88" t="s">
        <v>3229</v>
      </c>
      <c r="E309" s="88" t="s">
        <v>2254</v>
      </c>
      <c r="F309" s="88" t="s">
        <v>2267</v>
      </c>
      <c r="G309" s="88" t="s">
        <v>2256</v>
      </c>
      <c r="H309" s="89" t="s">
        <v>2660</v>
      </c>
      <c r="I309" s="89" t="s">
        <v>3145</v>
      </c>
      <c r="J309" s="89" t="s">
        <v>3230</v>
      </c>
      <c r="K309" s="88" t="s">
        <v>2660</v>
      </c>
      <c r="L309" s="90">
        <v>6500</v>
      </c>
    </row>
    <row r="310" spans="1:12" x14ac:dyDescent="0.3">
      <c r="A310" s="88" t="s">
        <v>3231</v>
      </c>
      <c r="B310" s="88" t="s">
        <v>2269</v>
      </c>
      <c r="C310" s="88" t="s">
        <v>3232</v>
      </c>
      <c r="D310" s="88" t="s">
        <v>3233</v>
      </c>
      <c r="E310" s="88" t="s">
        <v>2254</v>
      </c>
      <c r="F310" s="88" t="s">
        <v>2284</v>
      </c>
      <c r="G310" s="88" t="s">
        <v>2660</v>
      </c>
      <c r="H310" s="89" t="s">
        <v>2660</v>
      </c>
      <c r="I310" s="89" t="s">
        <v>3234</v>
      </c>
      <c r="J310" s="89" t="s">
        <v>3235</v>
      </c>
      <c r="K310" s="88" t="s">
        <v>2660</v>
      </c>
      <c r="L310" s="90">
        <v>0</v>
      </c>
    </row>
    <row r="311" spans="1:12" x14ac:dyDescent="0.3">
      <c r="A311" s="88" t="s">
        <v>3236</v>
      </c>
      <c r="B311" s="88" t="s">
        <v>2269</v>
      </c>
      <c r="C311" s="88" t="s">
        <v>3237</v>
      </c>
      <c r="D311" s="88" t="s">
        <v>3238</v>
      </c>
      <c r="E311" s="88" t="s">
        <v>2254</v>
      </c>
      <c r="F311" s="88" t="s">
        <v>2267</v>
      </c>
      <c r="G311" s="88" t="s">
        <v>2660</v>
      </c>
      <c r="H311" s="89" t="s">
        <v>2660</v>
      </c>
      <c r="I311" s="89" t="s">
        <v>3234</v>
      </c>
      <c r="J311" s="89" t="s">
        <v>3235</v>
      </c>
      <c r="K311" s="88" t="s">
        <v>2660</v>
      </c>
      <c r="L311" s="90">
        <v>1000</v>
      </c>
    </row>
    <row r="312" spans="1:12" x14ac:dyDescent="0.3">
      <c r="A312" s="88" t="s">
        <v>3239</v>
      </c>
      <c r="B312" s="88" t="s">
        <v>2269</v>
      </c>
      <c r="C312" s="88" t="s">
        <v>3240</v>
      </c>
      <c r="D312" s="88" t="s">
        <v>3241</v>
      </c>
      <c r="E312" s="88" t="s">
        <v>2254</v>
      </c>
      <c r="F312" s="88" t="s">
        <v>2284</v>
      </c>
      <c r="G312" s="88" t="s">
        <v>2660</v>
      </c>
      <c r="H312" s="89" t="s">
        <v>2660</v>
      </c>
      <c r="I312" s="89" t="s">
        <v>3234</v>
      </c>
      <c r="J312" s="89" t="s">
        <v>3235</v>
      </c>
      <c r="K312" s="88" t="s">
        <v>2660</v>
      </c>
      <c r="L312" s="90">
        <v>1000</v>
      </c>
    </row>
    <row r="313" spans="1:12" x14ac:dyDescent="0.3">
      <c r="A313" s="88" t="s">
        <v>3242</v>
      </c>
      <c r="B313" s="88" t="s">
        <v>2264</v>
      </c>
      <c r="C313" s="88" t="s">
        <v>3243</v>
      </c>
      <c r="D313" s="88" t="s">
        <v>3244</v>
      </c>
      <c r="E313" s="88" t="s">
        <v>2254</v>
      </c>
      <c r="F313" s="88" t="s">
        <v>2284</v>
      </c>
      <c r="G313" s="88" t="s">
        <v>2660</v>
      </c>
      <c r="H313" s="89" t="s">
        <v>2660</v>
      </c>
      <c r="I313" s="89" t="s">
        <v>3234</v>
      </c>
      <c r="J313" s="89" t="s">
        <v>3235</v>
      </c>
      <c r="K313" s="88" t="s">
        <v>2660</v>
      </c>
      <c r="L313" s="90">
        <v>1000</v>
      </c>
    </row>
    <row r="314" spans="1:12" x14ac:dyDescent="0.3">
      <c r="A314" s="88" t="s">
        <v>3245</v>
      </c>
      <c r="B314" s="88" t="s">
        <v>2251</v>
      </c>
      <c r="C314" s="88" t="s">
        <v>3246</v>
      </c>
      <c r="D314" s="88" t="s">
        <v>3247</v>
      </c>
      <c r="E314" s="88" t="s">
        <v>2254</v>
      </c>
      <c r="F314" s="88" t="s">
        <v>2255</v>
      </c>
      <c r="G314" s="88" t="s">
        <v>2660</v>
      </c>
      <c r="H314" s="89" t="s">
        <v>2660</v>
      </c>
      <c r="I314" s="89" t="s">
        <v>3234</v>
      </c>
      <c r="J314" s="89" t="s">
        <v>3235</v>
      </c>
      <c r="K314" s="88" t="s">
        <v>2660</v>
      </c>
      <c r="L314" s="90">
        <v>8500</v>
      </c>
    </row>
    <row r="315" spans="1:12" x14ac:dyDescent="0.3">
      <c r="A315" s="88" t="s">
        <v>3248</v>
      </c>
      <c r="B315" s="88" t="s">
        <v>2251</v>
      </c>
      <c r="C315" s="88" t="s">
        <v>3249</v>
      </c>
      <c r="D315" s="88" t="s">
        <v>3250</v>
      </c>
      <c r="E315" s="88" t="s">
        <v>2254</v>
      </c>
      <c r="F315" s="88" t="s">
        <v>2255</v>
      </c>
      <c r="G315" s="88" t="s">
        <v>2660</v>
      </c>
      <c r="H315" s="89" t="s">
        <v>2660</v>
      </c>
      <c r="I315" s="89" t="s">
        <v>3234</v>
      </c>
      <c r="J315" s="89" t="s">
        <v>3235</v>
      </c>
      <c r="K315" s="88" t="s">
        <v>2660</v>
      </c>
      <c r="L315" s="90">
        <v>5000</v>
      </c>
    </row>
    <row r="316" spans="1:12" x14ac:dyDescent="0.3">
      <c r="A316" s="88" t="s">
        <v>3251</v>
      </c>
      <c r="B316" s="88" t="s">
        <v>2260</v>
      </c>
      <c r="C316" s="88" t="s">
        <v>3252</v>
      </c>
      <c r="D316" s="88" t="s">
        <v>3253</v>
      </c>
      <c r="E316" s="88" t="s">
        <v>2254</v>
      </c>
      <c r="F316" s="88" t="s">
        <v>2267</v>
      </c>
      <c r="G316" s="88" t="s">
        <v>2660</v>
      </c>
      <c r="H316" s="89" t="s">
        <v>2660</v>
      </c>
      <c r="I316" s="89" t="s">
        <v>3234</v>
      </c>
      <c r="J316" s="89" t="s">
        <v>3235</v>
      </c>
      <c r="K316" s="88" t="s">
        <v>2660</v>
      </c>
      <c r="L316" s="90">
        <v>3000</v>
      </c>
    </row>
    <row r="317" spans="1:12" x14ac:dyDescent="0.3">
      <c r="A317" s="88" t="s">
        <v>3254</v>
      </c>
      <c r="B317" s="88" t="s">
        <v>2896</v>
      </c>
      <c r="C317" s="88" t="s">
        <v>3255</v>
      </c>
      <c r="D317" s="88" t="s">
        <v>3256</v>
      </c>
      <c r="E317" s="88" t="s">
        <v>2254</v>
      </c>
      <c r="F317" s="88" t="s">
        <v>2363</v>
      </c>
      <c r="G317" s="88" t="s">
        <v>2660</v>
      </c>
      <c r="H317" s="89" t="s">
        <v>2660</v>
      </c>
      <c r="I317" s="89" t="s">
        <v>3257</v>
      </c>
      <c r="J317" s="89" t="s">
        <v>3258</v>
      </c>
      <c r="K317" s="88" t="s">
        <v>2660</v>
      </c>
      <c r="L317" s="90">
        <v>0</v>
      </c>
    </row>
    <row r="318" spans="1:12" x14ac:dyDescent="0.3">
      <c r="A318" s="88" t="s">
        <v>3259</v>
      </c>
      <c r="B318" s="88" t="s">
        <v>2251</v>
      </c>
      <c r="C318" s="88" t="s">
        <v>3260</v>
      </c>
      <c r="D318" s="88" t="s">
        <v>3256</v>
      </c>
      <c r="E318" s="88" t="s">
        <v>2254</v>
      </c>
      <c r="F318" s="88" t="s">
        <v>2255</v>
      </c>
      <c r="G318" s="88" t="s">
        <v>2660</v>
      </c>
      <c r="H318" s="89" t="s">
        <v>2660</v>
      </c>
      <c r="I318" s="89" t="s">
        <v>3257</v>
      </c>
      <c r="J318" s="89" t="s">
        <v>3258</v>
      </c>
      <c r="K318" s="88" t="s">
        <v>2660</v>
      </c>
      <c r="L318" s="90">
        <v>0</v>
      </c>
    </row>
    <row r="319" spans="1:12" x14ac:dyDescent="0.3">
      <c r="A319" s="88" t="s">
        <v>3261</v>
      </c>
      <c r="B319" s="88" t="s">
        <v>2269</v>
      </c>
      <c r="C319" s="88" t="s">
        <v>3262</v>
      </c>
      <c r="D319" s="88" t="s">
        <v>3263</v>
      </c>
      <c r="E319" s="88" t="s">
        <v>2254</v>
      </c>
      <c r="F319" s="88" t="s">
        <v>2267</v>
      </c>
      <c r="G319" s="88" t="s">
        <v>2660</v>
      </c>
      <c r="H319" s="89" t="s">
        <v>2660</v>
      </c>
      <c r="I319" s="89" t="s">
        <v>3257</v>
      </c>
      <c r="J319" s="89" t="s">
        <v>3258</v>
      </c>
      <c r="K319" s="88" t="s">
        <v>2660</v>
      </c>
      <c r="L319" s="90">
        <v>0</v>
      </c>
    </row>
    <row r="320" spans="1:12" x14ac:dyDescent="0.3">
      <c r="A320" s="88" t="s">
        <v>3264</v>
      </c>
      <c r="B320" s="88" t="s">
        <v>2251</v>
      </c>
      <c r="C320" s="88" t="s">
        <v>3265</v>
      </c>
      <c r="D320" s="88" t="s">
        <v>3266</v>
      </c>
      <c r="E320" s="88" t="s">
        <v>2254</v>
      </c>
      <c r="F320" s="88" t="s">
        <v>2255</v>
      </c>
      <c r="G320" s="88" t="s">
        <v>2660</v>
      </c>
      <c r="H320" s="89" t="s">
        <v>2660</v>
      </c>
      <c r="I320" s="89" t="s">
        <v>3267</v>
      </c>
      <c r="J320" s="89" t="s">
        <v>3268</v>
      </c>
      <c r="K320" s="88" t="s">
        <v>2660</v>
      </c>
      <c r="L320" s="90">
        <v>2500</v>
      </c>
    </row>
    <row r="321" spans="1:12" x14ac:dyDescent="0.3">
      <c r="A321" s="88" t="s">
        <v>3269</v>
      </c>
      <c r="B321" s="88" t="s">
        <v>2360</v>
      </c>
      <c r="C321" s="88" t="s">
        <v>3270</v>
      </c>
      <c r="D321" s="88" t="s">
        <v>3266</v>
      </c>
      <c r="E321" s="88" t="s">
        <v>2254</v>
      </c>
      <c r="F321" s="88" t="s">
        <v>2363</v>
      </c>
      <c r="G321" s="88" t="s">
        <v>2660</v>
      </c>
      <c r="H321" s="89" t="s">
        <v>2660</v>
      </c>
      <c r="I321" s="89" t="s">
        <v>3267</v>
      </c>
      <c r="J321" s="89" t="s">
        <v>3268</v>
      </c>
      <c r="K321" s="88" t="s">
        <v>2660</v>
      </c>
      <c r="L321" s="90">
        <v>4000</v>
      </c>
    </row>
    <row r="322" spans="1:12" x14ac:dyDescent="0.3">
      <c r="A322" s="88" t="s">
        <v>3271</v>
      </c>
      <c r="B322" s="88" t="s">
        <v>2449</v>
      </c>
      <c r="C322" s="88" t="s">
        <v>3272</v>
      </c>
      <c r="D322" s="88" t="s">
        <v>3273</v>
      </c>
      <c r="E322" s="88" t="s">
        <v>2254</v>
      </c>
      <c r="F322" s="88" t="s">
        <v>2267</v>
      </c>
      <c r="G322" s="88" t="s">
        <v>2660</v>
      </c>
      <c r="H322" s="89" t="s">
        <v>2660</v>
      </c>
      <c r="I322" s="89" t="s">
        <v>3267</v>
      </c>
      <c r="J322" s="89" t="s">
        <v>3268</v>
      </c>
      <c r="K322" s="88" t="s">
        <v>2660</v>
      </c>
      <c r="L322" s="90">
        <v>0</v>
      </c>
    </row>
    <row r="323" spans="1:12" x14ac:dyDescent="0.3">
      <c r="A323" s="88" t="s">
        <v>3274</v>
      </c>
      <c r="B323" s="88" t="s">
        <v>2360</v>
      </c>
      <c r="C323" s="88" t="s">
        <v>3275</v>
      </c>
      <c r="D323" s="88" t="s">
        <v>3273</v>
      </c>
      <c r="E323" s="88" t="s">
        <v>2254</v>
      </c>
      <c r="F323" s="88" t="s">
        <v>2363</v>
      </c>
      <c r="G323" s="88" t="s">
        <v>2660</v>
      </c>
      <c r="H323" s="89" t="s">
        <v>2660</v>
      </c>
      <c r="I323" s="89" t="s">
        <v>3267</v>
      </c>
      <c r="J323" s="89" t="s">
        <v>3268</v>
      </c>
      <c r="K323" s="88" t="s">
        <v>2660</v>
      </c>
      <c r="L323" s="90">
        <v>0</v>
      </c>
    </row>
    <row r="324" spans="1:12" x14ac:dyDescent="0.3">
      <c r="A324" s="88" t="s">
        <v>3276</v>
      </c>
      <c r="B324" s="88" t="s">
        <v>2269</v>
      </c>
      <c r="C324" s="88" t="s">
        <v>3277</v>
      </c>
      <c r="D324" s="88" t="s">
        <v>3278</v>
      </c>
      <c r="E324" s="88" t="s">
        <v>2254</v>
      </c>
      <c r="F324" s="88" t="s">
        <v>2267</v>
      </c>
      <c r="G324" s="88" t="s">
        <v>2660</v>
      </c>
      <c r="H324" s="89" t="s">
        <v>2660</v>
      </c>
      <c r="I324" s="89" t="s">
        <v>3267</v>
      </c>
      <c r="J324" s="89" t="s">
        <v>3268</v>
      </c>
      <c r="K324" s="88" t="s">
        <v>2660</v>
      </c>
      <c r="L324" s="90">
        <v>0</v>
      </c>
    </row>
    <row r="325" spans="1:12" x14ac:dyDescent="0.3">
      <c r="A325" s="88" t="s">
        <v>3279</v>
      </c>
      <c r="B325" s="88" t="s">
        <v>2264</v>
      </c>
      <c r="C325" s="88" t="s">
        <v>3280</v>
      </c>
      <c r="D325" s="88" t="s">
        <v>3280</v>
      </c>
      <c r="E325" s="88" t="s">
        <v>2254</v>
      </c>
      <c r="F325" s="88" t="s">
        <v>2267</v>
      </c>
      <c r="G325" s="88" t="s">
        <v>2256</v>
      </c>
      <c r="H325" s="89" t="s">
        <v>2660</v>
      </c>
      <c r="I325" s="89" t="s">
        <v>3267</v>
      </c>
      <c r="J325" s="89" t="s">
        <v>3268</v>
      </c>
      <c r="K325" s="88" t="s">
        <v>2660</v>
      </c>
      <c r="L325" s="90">
        <v>9000</v>
      </c>
    </row>
    <row r="326" spans="1:12" x14ac:dyDescent="0.3">
      <c r="A326" s="88" t="s">
        <v>3281</v>
      </c>
      <c r="B326" s="88" t="s">
        <v>2251</v>
      </c>
      <c r="C326" s="88" t="s">
        <v>3282</v>
      </c>
      <c r="D326" s="88" t="s">
        <v>3283</v>
      </c>
      <c r="E326" s="88" t="s">
        <v>2254</v>
      </c>
      <c r="F326" s="88" t="s">
        <v>3284</v>
      </c>
      <c r="G326" s="88" t="s">
        <v>2660</v>
      </c>
      <c r="H326" s="89" t="s">
        <v>2660</v>
      </c>
      <c r="I326" s="89" t="s">
        <v>3267</v>
      </c>
      <c r="J326" s="89" t="s">
        <v>3268</v>
      </c>
      <c r="K326" s="88" t="s">
        <v>2660</v>
      </c>
      <c r="L326" s="90">
        <v>2000</v>
      </c>
    </row>
    <row r="327" spans="1:12" x14ac:dyDescent="0.3">
      <c r="A327" s="88" t="s">
        <v>3285</v>
      </c>
      <c r="B327" s="88" t="s">
        <v>2269</v>
      </c>
      <c r="C327" s="88" t="s">
        <v>3286</v>
      </c>
      <c r="D327" s="88" t="s">
        <v>3287</v>
      </c>
      <c r="E327" s="88" t="s">
        <v>2254</v>
      </c>
      <c r="F327" s="88" t="s">
        <v>2267</v>
      </c>
      <c r="G327" s="88" t="s">
        <v>2660</v>
      </c>
      <c r="H327" s="89" t="s">
        <v>2660</v>
      </c>
      <c r="I327" s="89" t="s">
        <v>3267</v>
      </c>
      <c r="J327" s="89" t="s">
        <v>3268</v>
      </c>
      <c r="K327" s="88" t="s">
        <v>2660</v>
      </c>
      <c r="L327" s="90">
        <v>0</v>
      </c>
    </row>
    <row r="328" spans="1:12" x14ac:dyDescent="0.3">
      <c r="A328" s="88" t="s">
        <v>3288</v>
      </c>
      <c r="B328" s="88" t="s">
        <v>2360</v>
      </c>
      <c r="C328" s="88" t="s">
        <v>3289</v>
      </c>
      <c r="D328" s="88" t="s">
        <v>3290</v>
      </c>
      <c r="E328" s="88" t="s">
        <v>2254</v>
      </c>
      <c r="F328" s="88" t="s">
        <v>2363</v>
      </c>
      <c r="G328" s="88" t="s">
        <v>2660</v>
      </c>
      <c r="H328" s="89" t="s">
        <v>2660</v>
      </c>
      <c r="I328" s="89" t="s">
        <v>3267</v>
      </c>
      <c r="J328" s="89" t="s">
        <v>3268</v>
      </c>
      <c r="K328" s="88" t="s">
        <v>2660</v>
      </c>
      <c r="L328" s="90">
        <v>4000</v>
      </c>
    </row>
    <row r="329" spans="1:12" x14ac:dyDescent="0.3">
      <c r="A329" s="88" t="s">
        <v>3291</v>
      </c>
      <c r="B329" s="88" t="s">
        <v>2251</v>
      </c>
      <c r="C329" s="88" t="s">
        <v>3292</v>
      </c>
      <c r="D329" s="88" t="s">
        <v>3293</v>
      </c>
      <c r="E329" s="88" t="s">
        <v>2254</v>
      </c>
      <c r="F329" s="88" t="s">
        <v>2255</v>
      </c>
      <c r="G329" s="88" t="s">
        <v>2660</v>
      </c>
      <c r="H329" s="89" t="s">
        <v>2660</v>
      </c>
      <c r="I329" s="89" t="s">
        <v>3267</v>
      </c>
      <c r="J329" s="89" t="s">
        <v>3268</v>
      </c>
      <c r="K329" s="88" t="s">
        <v>2660</v>
      </c>
      <c r="L329" s="90">
        <v>0</v>
      </c>
    </row>
    <row r="330" spans="1:12" x14ac:dyDescent="0.3">
      <c r="A330" s="88" t="s">
        <v>3294</v>
      </c>
      <c r="B330" s="88" t="s">
        <v>2264</v>
      </c>
      <c r="C330" s="88" t="s">
        <v>3295</v>
      </c>
      <c r="D330" s="88" t="s">
        <v>3295</v>
      </c>
      <c r="E330" s="88" t="s">
        <v>2254</v>
      </c>
      <c r="F330" s="88" t="s">
        <v>2267</v>
      </c>
      <c r="G330" s="88" t="s">
        <v>2256</v>
      </c>
      <c r="H330" s="89" t="s">
        <v>2660</v>
      </c>
      <c r="I330" s="89" t="s">
        <v>3267</v>
      </c>
      <c r="J330" s="89" t="s">
        <v>3268</v>
      </c>
      <c r="K330" s="88" t="s">
        <v>2660</v>
      </c>
      <c r="L330" s="90">
        <v>0</v>
      </c>
    </row>
    <row r="331" spans="1:12" x14ac:dyDescent="0.3">
      <c r="A331" s="88" t="s">
        <v>3296</v>
      </c>
      <c r="B331" s="88" t="s">
        <v>2449</v>
      </c>
      <c r="C331" s="88" t="s">
        <v>3297</v>
      </c>
      <c r="D331" s="88" t="s">
        <v>3298</v>
      </c>
      <c r="E331" s="88" t="s">
        <v>2254</v>
      </c>
      <c r="F331" s="88" t="s">
        <v>2267</v>
      </c>
      <c r="G331" s="88" t="s">
        <v>2660</v>
      </c>
      <c r="H331" s="89" t="s">
        <v>2660</v>
      </c>
      <c r="I331" s="89" t="s">
        <v>3267</v>
      </c>
      <c r="J331" s="89" t="s">
        <v>3268</v>
      </c>
      <c r="K331" s="88" t="s">
        <v>2660</v>
      </c>
      <c r="L331" s="90">
        <v>0</v>
      </c>
    </row>
    <row r="332" spans="1:12" x14ac:dyDescent="0.3">
      <c r="A332" s="88" t="s">
        <v>3299</v>
      </c>
      <c r="B332" s="88" t="s">
        <v>2441</v>
      </c>
      <c r="C332" s="88" t="s">
        <v>3300</v>
      </c>
      <c r="D332" s="88" t="s">
        <v>3301</v>
      </c>
      <c r="E332" s="88" t="s">
        <v>2254</v>
      </c>
      <c r="F332" s="88" t="s">
        <v>2267</v>
      </c>
      <c r="G332" s="88" t="s">
        <v>2256</v>
      </c>
      <c r="H332" s="89" t="s">
        <v>2660</v>
      </c>
      <c r="I332" s="89" t="s">
        <v>3302</v>
      </c>
      <c r="J332" s="89" t="s">
        <v>3301</v>
      </c>
      <c r="K332" s="88" t="s">
        <v>2660</v>
      </c>
      <c r="L332" s="90">
        <v>25000</v>
      </c>
    </row>
    <row r="333" spans="1:12" x14ac:dyDescent="0.3">
      <c r="A333" s="88" t="s">
        <v>3303</v>
      </c>
      <c r="B333" s="88" t="s">
        <v>2309</v>
      </c>
      <c r="C333" s="88" t="s">
        <v>3304</v>
      </c>
      <c r="D333" s="88" t="s">
        <v>3305</v>
      </c>
      <c r="E333" s="88" t="s">
        <v>2254</v>
      </c>
      <c r="F333" s="88" t="s">
        <v>2267</v>
      </c>
      <c r="G333" s="88" t="s">
        <v>2660</v>
      </c>
      <c r="H333" s="89" t="s">
        <v>2660</v>
      </c>
      <c r="I333" s="89" t="s">
        <v>3302</v>
      </c>
      <c r="J333" s="89" t="s">
        <v>3301</v>
      </c>
      <c r="K333" s="88" t="s">
        <v>2660</v>
      </c>
      <c r="L333" s="90">
        <v>0</v>
      </c>
    </row>
    <row r="334" spans="1:12" x14ac:dyDescent="0.3">
      <c r="A334" s="88" t="s">
        <v>3306</v>
      </c>
      <c r="B334" s="88" t="s">
        <v>2269</v>
      </c>
      <c r="C334" s="88" t="s">
        <v>3307</v>
      </c>
      <c r="D334" s="88" t="s">
        <v>3308</v>
      </c>
      <c r="E334" s="88" t="s">
        <v>2254</v>
      </c>
      <c r="F334" s="88" t="s">
        <v>2284</v>
      </c>
      <c r="G334" s="88" t="s">
        <v>2660</v>
      </c>
      <c r="H334" s="89" t="s">
        <v>2660</v>
      </c>
      <c r="I334" s="89" t="s">
        <v>3309</v>
      </c>
      <c r="J334" s="89" t="s">
        <v>3310</v>
      </c>
      <c r="K334" s="88" t="s">
        <v>2660</v>
      </c>
      <c r="L334" s="90">
        <v>1500</v>
      </c>
    </row>
    <row r="335" spans="1:12" x14ac:dyDescent="0.3">
      <c r="A335" s="88" t="s">
        <v>3311</v>
      </c>
      <c r="B335" s="88" t="s">
        <v>2269</v>
      </c>
      <c r="C335" s="88" t="s">
        <v>3312</v>
      </c>
      <c r="D335" s="88" t="s">
        <v>3313</v>
      </c>
      <c r="E335" s="88" t="s">
        <v>2254</v>
      </c>
      <c r="F335" s="88" t="s">
        <v>2284</v>
      </c>
      <c r="G335" s="88" t="s">
        <v>2660</v>
      </c>
      <c r="H335" s="89" t="s">
        <v>2660</v>
      </c>
      <c r="I335" s="89" t="s">
        <v>3309</v>
      </c>
      <c r="J335" s="89" t="s">
        <v>3310</v>
      </c>
      <c r="K335" s="88" t="s">
        <v>2660</v>
      </c>
      <c r="L335" s="90">
        <v>5000</v>
      </c>
    </row>
    <row r="336" spans="1:12" x14ac:dyDescent="0.3">
      <c r="A336" s="88" t="s">
        <v>3314</v>
      </c>
      <c r="B336" s="88" t="s">
        <v>2269</v>
      </c>
      <c r="C336" s="88" t="s">
        <v>3315</v>
      </c>
      <c r="D336" s="88" t="s">
        <v>3316</v>
      </c>
      <c r="E336" s="88" t="s">
        <v>2254</v>
      </c>
      <c r="F336" s="88" t="s">
        <v>2284</v>
      </c>
      <c r="G336" s="88" t="s">
        <v>2660</v>
      </c>
      <c r="H336" s="89" t="s">
        <v>2660</v>
      </c>
      <c r="I336" s="89" t="s">
        <v>3309</v>
      </c>
      <c r="J336" s="89" t="s">
        <v>3310</v>
      </c>
      <c r="K336" s="88" t="s">
        <v>2660</v>
      </c>
      <c r="L336" s="90">
        <v>2000</v>
      </c>
    </row>
    <row r="337" spans="1:12" x14ac:dyDescent="0.3">
      <c r="A337" s="88" t="s">
        <v>3317</v>
      </c>
      <c r="B337" s="88" t="s">
        <v>2269</v>
      </c>
      <c r="C337" s="88" t="s">
        <v>3318</v>
      </c>
      <c r="D337" s="88" t="s">
        <v>3319</v>
      </c>
      <c r="E337" s="88" t="s">
        <v>2254</v>
      </c>
      <c r="F337" s="88" t="s">
        <v>2255</v>
      </c>
      <c r="G337" s="88" t="s">
        <v>2660</v>
      </c>
      <c r="H337" s="89" t="s">
        <v>2660</v>
      </c>
      <c r="I337" s="89" t="s">
        <v>3309</v>
      </c>
      <c r="J337" s="89" t="s">
        <v>3310</v>
      </c>
      <c r="K337" s="88" t="s">
        <v>2660</v>
      </c>
      <c r="L337" s="90">
        <v>15000</v>
      </c>
    </row>
    <row r="338" spans="1:12" x14ac:dyDescent="0.3">
      <c r="A338" s="88" t="s">
        <v>3320</v>
      </c>
      <c r="B338" s="88" t="s">
        <v>2269</v>
      </c>
      <c r="C338" s="88" t="s">
        <v>3321</v>
      </c>
      <c r="D338" s="88" t="s">
        <v>3322</v>
      </c>
      <c r="E338" s="88" t="s">
        <v>2254</v>
      </c>
      <c r="F338" s="88" t="s">
        <v>2284</v>
      </c>
      <c r="G338" s="88" t="s">
        <v>2660</v>
      </c>
      <c r="H338" s="89" t="s">
        <v>2660</v>
      </c>
      <c r="I338" s="89" t="s">
        <v>3309</v>
      </c>
      <c r="J338" s="89" t="s">
        <v>3310</v>
      </c>
      <c r="K338" s="88" t="s">
        <v>2660</v>
      </c>
      <c r="L338" s="90">
        <v>150</v>
      </c>
    </row>
    <row r="339" spans="1:12" x14ac:dyDescent="0.3">
      <c r="A339" s="88" t="s">
        <v>3323</v>
      </c>
      <c r="B339" s="88" t="s">
        <v>2269</v>
      </c>
      <c r="C339" s="88" t="s">
        <v>3324</v>
      </c>
      <c r="D339" s="88" t="s">
        <v>3325</v>
      </c>
      <c r="E339" s="88" t="s">
        <v>3174</v>
      </c>
      <c r="F339" s="88" t="s">
        <v>3175</v>
      </c>
      <c r="G339" s="88" t="s">
        <v>2660</v>
      </c>
      <c r="H339" s="89" t="s">
        <v>2660</v>
      </c>
      <c r="I339" s="89" t="s">
        <v>3309</v>
      </c>
      <c r="J339" s="89" t="s">
        <v>3325</v>
      </c>
      <c r="K339" s="88" t="s">
        <v>2660</v>
      </c>
      <c r="L339" s="90">
        <v>200</v>
      </c>
    </row>
    <row r="340" spans="1:12" x14ac:dyDescent="0.3">
      <c r="A340" s="88" t="s">
        <v>3326</v>
      </c>
      <c r="B340" s="88" t="s">
        <v>2269</v>
      </c>
      <c r="C340" s="88" t="s">
        <v>3327</v>
      </c>
      <c r="D340" s="88" t="s">
        <v>3327</v>
      </c>
      <c r="E340" s="88" t="s">
        <v>2254</v>
      </c>
      <c r="F340" s="88" t="s">
        <v>2267</v>
      </c>
      <c r="G340" s="88" t="s">
        <v>2660</v>
      </c>
      <c r="H340" s="89" t="s">
        <v>2660</v>
      </c>
      <c r="I340" s="89" t="s">
        <v>3309</v>
      </c>
      <c r="J340" s="89" t="s">
        <v>3325</v>
      </c>
      <c r="K340" s="88" t="s">
        <v>2660</v>
      </c>
      <c r="L340" s="90">
        <v>0</v>
      </c>
    </row>
    <row r="341" spans="1:12" x14ac:dyDescent="0.3">
      <c r="A341" s="88" t="s">
        <v>3328</v>
      </c>
      <c r="B341" s="88" t="s">
        <v>2269</v>
      </c>
      <c r="C341" s="88" t="s">
        <v>3329</v>
      </c>
      <c r="D341" s="88" t="s">
        <v>3330</v>
      </c>
      <c r="E341" s="88" t="s">
        <v>2254</v>
      </c>
      <c r="F341" s="88" t="s">
        <v>2267</v>
      </c>
      <c r="G341" s="88" t="s">
        <v>2256</v>
      </c>
      <c r="H341" s="89" t="s">
        <v>3331</v>
      </c>
      <c r="I341" s="89" t="s">
        <v>3332</v>
      </c>
      <c r="J341" s="89" t="s">
        <v>3333</v>
      </c>
      <c r="K341" s="88" t="s">
        <v>2256</v>
      </c>
      <c r="L341" s="90">
        <v>0</v>
      </c>
    </row>
    <row r="342" spans="1:12" x14ac:dyDescent="0.3">
      <c r="A342" s="88" t="s">
        <v>3334</v>
      </c>
      <c r="B342" s="88" t="s">
        <v>2264</v>
      </c>
      <c r="C342" s="88" t="s">
        <v>3335</v>
      </c>
      <c r="D342" s="88" t="s">
        <v>3336</v>
      </c>
      <c r="E342" s="88" t="s">
        <v>2254</v>
      </c>
      <c r="F342" s="88" t="s">
        <v>2267</v>
      </c>
      <c r="G342" s="88" t="s">
        <v>2256</v>
      </c>
      <c r="H342" s="89" t="s">
        <v>3331</v>
      </c>
      <c r="I342" s="89" t="s">
        <v>3332</v>
      </c>
      <c r="J342" s="89" t="s">
        <v>3333</v>
      </c>
      <c r="K342" s="88" t="s">
        <v>2256</v>
      </c>
      <c r="L342" s="90">
        <v>0</v>
      </c>
    </row>
    <row r="343" spans="1:12" x14ac:dyDescent="0.3">
      <c r="A343" s="88" t="s">
        <v>3337</v>
      </c>
      <c r="B343" s="88" t="s">
        <v>2269</v>
      </c>
      <c r="C343" s="88" t="s">
        <v>3338</v>
      </c>
      <c r="D343" s="88" t="s">
        <v>3339</v>
      </c>
      <c r="E343" s="88" t="s">
        <v>2254</v>
      </c>
      <c r="F343" s="88" t="s">
        <v>2267</v>
      </c>
      <c r="G343" s="88" t="s">
        <v>2256</v>
      </c>
      <c r="H343" s="89" t="s">
        <v>3331</v>
      </c>
      <c r="I343" s="89" t="s">
        <v>3332</v>
      </c>
      <c r="J343" s="89" t="s">
        <v>3333</v>
      </c>
      <c r="K343" s="88" t="s">
        <v>2256</v>
      </c>
      <c r="L343" s="90">
        <v>0</v>
      </c>
    </row>
    <row r="344" spans="1:12" x14ac:dyDescent="0.3">
      <c r="A344" s="88" t="s">
        <v>3340</v>
      </c>
      <c r="B344" s="88" t="s">
        <v>2251</v>
      </c>
      <c r="C344" s="88" t="s">
        <v>3341</v>
      </c>
      <c r="D344" s="88" t="s">
        <v>3342</v>
      </c>
      <c r="E344" s="88" t="s">
        <v>2254</v>
      </c>
      <c r="F344" s="88" t="s">
        <v>2255</v>
      </c>
      <c r="G344" s="88" t="s">
        <v>2256</v>
      </c>
      <c r="H344" s="89" t="s">
        <v>3331</v>
      </c>
      <c r="I344" s="89" t="s">
        <v>3332</v>
      </c>
      <c r="J344" s="89" t="s">
        <v>3333</v>
      </c>
      <c r="K344" s="88" t="s">
        <v>2256</v>
      </c>
      <c r="L344" s="90">
        <v>40000</v>
      </c>
    </row>
    <row r="345" spans="1:12" x14ac:dyDescent="0.3">
      <c r="A345" s="88" t="s">
        <v>3343</v>
      </c>
      <c r="B345" s="88" t="s">
        <v>2467</v>
      </c>
      <c r="C345" s="88" t="s">
        <v>3344</v>
      </c>
      <c r="D345" s="88" t="s">
        <v>3345</v>
      </c>
      <c r="E345" s="88" t="s">
        <v>2254</v>
      </c>
      <c r="F345" s="88" t="s">
        <v>2469</v>
      </c>
      <c r="G345" s="88" t="s">
        <v>2256</v>
      </c>
      <c r="H345" s="89" t="s">
        <v>3331</v>
      </c>
      <c r="I345" s="89" t="s">
        <v>3332</v>
      </c>
      <c r="J345" s="89" t="s">
        <v>3346</v>
      </c>
      <c r="K345" s="88" t="s">
        <v>2256</v>
      </c>
      <c r="L345" s="90">
        <v>5000</v>
      </c>
    </row>
    <row r="346" spans="1:12" x14ac:dyDescent="0.3">
      <c r="A346" s="88" t="s">
        <v>3347</v>
      </c>
      <c r="B346" s="88" t="s">
        <v>2269</v>
      </c>
      <c r="C346" s="88" t="s">
        <v>3348</v>
      </c>
      <c r="D346" s="88" t="s">
        <v>3345</v>
      </c>
      <c r="E346" s="88" t="s">
        <v>2254</v>
      </c>
      <c r="F346" s="88" t="s">
        <v>2267</v>
      </c>
      <c r="G346" s="88" t="s">
        <v>2256</v>
      </c>
      <c r="H346" s="89" t="s">
        <v>3331</v>
      </c>
      <c r="I346" s="89" t="s">
        <v>3332</v>
      </c>
      <c r="J346" s="89" t="s">
        <v>3346</v>
      </c>
      <c r="K346" s="88" t="s">
        <v>2256</v>
      </c>
      <c r="L346" s="90">
        <v>3000</v>
      </c>
    </row>
    <row r="347" spans="1:12" x14ac:dyDescent="0.3">
      <c r="A347" s="88" t="s">
        <v>3349</v>
      </c>
      <c r="B347" s="88" t="s">
        <v>2449</v>
      </c>
      <c r="C347" s="88" t="s">
        <v>3350</v>
      </c>
      <c r="D347" s="88" t="s">
        <v>3345</v>
      </c>
      <c r="E347" s="88" t="s">
        <v>2254</v>
      </c>
      <c r="F347" s="88" t="s">
        <v>2267</v>
      </c>
      <c r="G347" s="88" t="s">
        <v>2256</v>
      </c>
      <c r="H347" s="89" t="s">
        <v>3331</v>
      </c>
      <c r="I347" s="89" t="s">
        <v>3332</v>
      </c>
      <c r="J347" s="89" t="s">
        <v>3346</v>
      </c>
      <c r="K347" s="88" t="s">
        <v>2256</v>
      </c>
      <c r="L347" s="90">
        <v>6000</v>
      </c>
    </row>
    <row r="348" spans="1:12" x14ac:dyDescent="0.3">
      <c r="A348" s="88" t="s">
        <v>3351</v>
      </c>
      <c r="B348" s="88" t="s">
        <v>2449</v>
      </c>
      <c r="C348" s="88" t="s">
        <v>3352</v>
      </c>
      <c r="D348" s="88" t="s">
        <v>3353</v>
      </c>
      <c r="E348" s="88" t="s">
        <v>2254</v>
      </c>
      <c r="F348" s="88" t="s">
        <v>2267</v>
      </c>
      <c r="G348" s="88" t="s">
        <v>2256</v>
      </c>
      <c r="H348" s="89" t="s">
        <v>3331</v>
      </c>
      <c r="I348" s="89" t="s">
        <v>3332</v>
      </c>
      <c r="J348" s="89" t="s">
        <v>3346</v>
      </c>
      <c r="K348" s="88" t="s">
        <v>2256</v>
      </c>
      <c r="L348" s="90">
        <v>5000</v>
      </c>
    </row>
    <row r="349" spans="1:12" x14ac:dyDescent="0.3">
      <c r="A349" s="88" t="s">
        <v>3354</v>
      </c>
      <c r="B349" s="88" t="s">
        <v>2360</v>
      </c>
      <c r="C349" s="88" t="s">
        <v>3355</v>
      </c>
      <c r="D349" s="88" t="s">
        <v>3355</v>
      </c>
      <c r="E349" s="88" t="s">
        <v>2254</v>
      </c>
      <c r="F349" s="88" t="s">
        <v>2363</v>
      </c>
      <c r="G349" s="88" t="s">
        <v>2256</v>
      </c>
      <c r="H349" s="89" t="s">
        <v>3331</v>
      </c>
      <c r="I349" s="89" t="s">
        <v>3332</v>
      </c>
      <c r="J349" s="89" t="s">
        <v>3346</v>
      </c>
      <c r="K349" s="88" t="s">
        <v>2256</v>
      </c>
      <c r="L349" s="90">
        <v>0</v>
      </c>
    </row>
    <row r="350" spans="1:12" x14ac:dyDescent="0.3">
      <c r="A350" s="88" t="s">
        <v>3356</v>
      </c>
      <c r="B350" s="88" t="s">
        <v>2467</v>
      </c>
      <c r="C350" s="88" t="s">
        <v>3357</v>
      </c>
      <c r="D350" s="88" t="s">
        <v>3358</v>
      </c>
      <c r="E350" s="88" t="s">
        <v>2254</v>
      </c>
      <c r="F350" s="88" t="s">
        <v>2469</v>
      </c>
      <c r="G350" s="88" t="s">
        <v>2256</v>
      </c>
      <c r="H350" s="89" t="s">
        <v>3331</v>
      </c>
      <c r="I350" s="89" t="s">
        <v>3332</v>
      </c>
      <c r="J350" s="89" t="s">
        <v>3346</v>
      </c>
      <c r="K350" s="88" t="s">
        <v>2256</v>
      </c>
      <c r="L350" s="90">
        <v>6000</v>
      </c>
    </row>
    <row r="351" spans="1:12" x14ac:dyDescent="0.3">
      <c r="A351" s="88" t="s">
        <v>3359</v>
      </c>
      <c r="B351" s="88" t="s">
        <v>2269</v>
      </c>
      <c r="C351" s="88" t="s">
        <v>3360</v>
      </c>
      <c r="D351" s="88" t="s">
        <v>3358</v>
      </c>
      <c r="E351" s="88" t="s">
        <v>2254</v>
      </c>
      <c r="F351" s="88" t="s">
        <v>2267</v>
      </c>
      <c r="G351" s="88" t="s">
        <v>2256</v>
      </c>
      <c r="H351" s="89" t="s">
        <v>3331</v>
      </c>
      <c r="I351" s="89" t="s">
        <v>3332</v>
      </c>
      <c r="J351" s="89" t="s">
        <v>3346</v>
      </c>
      <c r="K351" s="88" t="s">
        <v>2256</v>
      </c>
      <c r="L351" s="90">
        <v>4000</v>
      </c>
    </row>
    <row r="352" spans="1:12" x14ac:dyDescent="0.3">
      <c r="A352" s="88" t="s">
        <v>3361</v>
      </c>
      <c r="B352" s="88" t="s">
        <v>2251</v>
      </c>
      <c r="C352" s="88" t="s">
        <v>3362</v>
      </c>
      <c r="D352" s="88" t="s">
        <v>3358</v>
      </c>
      <c r="E352" s="88" t="s">
        <v>2254</v>
      </c>
      <c r="F352" s="88" t="s">
        <v>2255</v>
      </c>
      <c r="G352" s="88" t="s">
        <v>2256</v>
      </c>
      <c r="H352" s="89" t="s">
        <v>3331</v>
      </c>
      <c r="I352" s="89" t="s">
        <v>3332</v>
      </c>
      <c r="J352" s="89" t="s">
        <v>3346</v>
      </c>
      <c r="K352" s="88" t="s">
        <v>2256</v>
      </c>
      <c r="L352" s="90">
        <v>6000</v>
      </c>
    </row>
    <row r="353" spans="1:12" x14ac:dyDescent="0.3">
      <c r="A353" s="88" t="s">
        <v>3363</v>
      </c>
      <c r="B353" s="88" t="s">
        <v>2269</v>
      </c>
      <c r="C353" s="88" t="s">
        <v>3364</v>
      </c>
      <c r="D353" s="88" t="s">
        <v>3358</v>
      </c>
      <c r="E353" s="88" t="s">
        <v>2254</v>
      </c>
      <c r="F353" s="88" t="s">
        <v>2267</v>
      </c>
      <c r="G353" s="88" t="s">
        <v>2256</v>
      </c>
      <c r="H353" s="89" t="s">
        <v>3331</v>
      </c>
      <c r="I353" s="89" t="s">
        <v>3332</v>
      </c>
      <c r="J353" s="89" t="s">
        <v>3346</v>
      </c>
      <c r="K353" s="88" t="s">
        <v>2256</v>
      </c>
      <c r="L353" s="90">
        <v>2000</v>
      </c>
    </row>
    <row r="354" spans="1:12" x14ac:dyDescent="0.3">
      <c r="A354" s="88" t="s">
        <v>3365</v>
      </c>
      <c r="B354" s="88" t="s">
        <v>2467</v>
      </c>
      <c r="C354" s="88" t="s">
        <v>3366</v>
      </c>
      <c r="D354" s="88" t="s">
        <v>3367</v>
      </c>
      <c r="E354" s="88" t="s">
        <v>2254</v>
      </c>
      <c r="F354" s="88" t="s">
        <v>2469</v>
      </c>
      <c r="G354" s="88" t="s">
        <v>2256</v>
      </c>
      <c r="H354" s="89" t="s">
        <v>3331</v>
      </c>
      <c r="I354" s="89" t="s">
        <v>3332</v>
      </c>
      <c r="J354" s="89" t="s">
        <v>3346</v>
      </c>
      <c r="K354" s="88" t="s">
        <v>2256</v>
      </c>
      <c r="L354" s="90">
        <v>0</v>
      </c>
    </row>
    <row r="355" spans="1:12" x14ac:dyDescent="0.3">
      <c r="A355" s="88" t="s">
        <v>3368</v>
      </c>
      <c r="B355" s="88" t="s">
        <v>2449</v>
      </c>
      <c r="C355" s="88" t="s">
        <v>3369</v>
      </c>
      <c r="D355" s="88" t="s">
        <v>3370</v>
      </c>
      <c r="E355" s="88" t="s">
        <v>2254</v>
      </c>
      <c r="F355" s="88" t="s">
        <v>2267</v>
      </c>
      <c r="G355" s="88" t="s">
        <v>2660</v>
      </c>
      <c r="H355" s="89" t="s">
        <v>3331</v>
      </c>
      <c r="I355" s="89" t="s">
        <v>3332</v>
      </c>
      <c r="J355" s="89" t="s">
        <v>3346</v>
      </c>
      <c r="K355" s="88" t="s">
        <v>2256</v>
      </c>
      <c r="L355" s="90">
        <v>5000</v>
      </c>
    </row>
    <row r="356" spans="1:12" x14ac:dyDescent="0.3">
      <c r="A356" s="88" t="s">
        <v>3371</v>
      </c>
      <c r="B356" s="88" t="s">
        <v>2260</v>
      </c>
      <c r="C356" s="88" t="s">
        <v>3372</v>
      </c>
      <c r="D356" s="88" t="s">
        <v>3373</v>
      </c>
      <c r="E356" s="88" t="s">
        <v>2254</v>
      </c>
      <c r="F356" s="88" t="s">
        <v>2255</v>
      </c>
      <c r="G356" s="88" t="s">
        <v>2256</v>
      </c>
      <c r="H356" s="89" t="s">
        <v>3331</v>
      </c>
      <c r="I356" s="89" t="s">
        <v>3332</v>
      </c>
      <c r="J356" s="89" t="s">
        <v>3374</v>
      </c>
      <c r="K356" s="88" t="s">
        <v>2256</v>
      </c>
      <c r="L356" s="90">
        <v>70000</v>
      </c>
    </row>
    <row r="357" spans="1:12" x14ac:dyDescent="0.3">
      <c r="A357" s="88" t="s">
        <v>3375</v>
      </c>
      <c r="B357" s="88" t="s">
        <v>2251</v>
      </c>
      <c r="C357" s="88" t="s">
        <v>3376</v>
      </c>
      <c r="D357" s="88" t="s">
        <v>3377</v>
      </c>
      <c r="E357" s="88" t="s">
        <v>2254</v>
      </c>
      <c r="F357" s="88" t="s">
        <v>2255</v>
      </c>
      <c r="G357" s="88" t="s">
        <v>2256</v>
      </c>
      <c r="H357" s="89" t="s">
        <v>3331</v>
      </c>
      <c r="I357" s="89" t="s">
        <v>3378</v>
      </c>
      <c r="J357" s="89" t="s">
        <v>3379</v>
      </c>
      <c r="K357" s="88" t="s">
        <v>2256</v>
      </c>
      <c r="L357" s="90">
        <v>28000</v>
      </c>
    </row>
    <row r="358" spans="1:12" x14ac:dyDescent="0.3">
      <c r="A358" s="88" t="s">
        <v>3380</v>
      </c>
      <c r="B358" s="88" t="s">
        <v>2260</v>
      </c>
      <c r="C358" s="88" t="s">
        <v>3381</v>
      </c>
      <c r="D358" s="88" t="s">
        <v>3381</v>
      </c>
      <c r="E358" s="88" t="s">
        <v>2254</v>
      </c>
      <c r="F358" s="88" t="s">
        <v>2304</v>
      </c>
      <c r="G358" s="88" t="s">
        <v>2256</v>
      </c>
      <c r="H358" s="89" t="s">
        <v>3331</v>
      </c>
      <c r="I358" s="89" t="s">
        <v>3378</v>
      </c>
      <c r="J358" s="89" t="s">
        <v>3382</v>
      </c>
      <c r="K358" s="88" t="s">
        <v>2256</v>
      </c>
      <c r="L358" s="90">
        <v>500000</v>
      </c>
    </row>
    <row r="359" spans="1:12" x14ac:dyDescent="0.3">
      <c r="A359" s="88" t="s">
        <v>3383</v>
      </c>
      <c r="B359" s="88" t="s">
        <v>2269</v>
      </c>
      <c r="C359" s="88" t="s">
        <v>3384</v>
      </c>
      <c r="D359" s="88" t="s">
        <v>3385</v>
      </c>
      <c r="E359" s="88" t="s">
        <v>2254</v>
      </c>
      <c r="F359" s="88" t="s">
        <v>2267</v>
      </c>
      <c r="G359" s="88" t="s">
        <v>2256</v>
      </c>
      <c r="H359" s="89" t="s">
        <v>3331</v>
      </c>
      <c r="I359" s="89" t="s">
        <v>3378</v>
      </c>
      <c r="J359" s="89" t="s">
        <v>3386</v>
      </c>
      <c r="K359" s="88" t="s">
        <v>2256</v>
      </c>
      <c r="L359" s="90">
        <v>125000</v>
      </c>
    </row>
    <row r="360" spans="1:12" x14ac:dyDescent="0.3">
      <c r="A360" s="88" t="s">
        <v>3387</v>
      </c>
      <c r="B360" s="88" t="s">
        <v>2251</v>
      </c>
      <c r="C360" s="88" t="s">
        <v>3388</v>
      </c>
      <c r="D360" s="88" t="s">
        <v>3389</v>
      </c>
      <c r="E360" s="88" t="s">
        <v>2254</v>
      </c>
      <c r="F360" s="88" t="s">
        <v>2255</v>
      </c>
      <c r="G360" s="88" t="s">
        <v>2256</v>
      </c>
      <c r="H360" s="89" t="s">
        <v>3331</v>
      </c>
      <c r="I360" s="89" t="s">
        <v>3378</v>
      </c>
      <c r="J360" s="89" t="s">
        <v>3386</v>
      </c>
      <c r="K360" s="88" t="s">
        <v>2256</v>
      </c>
      <c r="L360" s="90">
        <v>26000</v>
      </c>
    </row>
    <row r="361" spans="1:12" x14ac:dyDescent="0.3">
      <c r="A361" s="88" t="s">
        <v>3390</v>
      </c>
      <c r="B361" s="88" t="s">
        <v>2251</v>
      </c>
      <c r="C361" s="88" t="s">
        <v>3391</v>
      </c>
      <c r="D361" s="88" t="s">
        <v>3392</v>
      </c>
      <c r="E361" s="88" t="s">
        <v>2254</v>
      </c>
      <c r="F361" s="88" t="s">
        <v>2255</v>
      </c>
      <c r="G361" s="88" t="s">
        <v>2256</v>
      </c>
      <c r="H361" s="89" t="s">
        <v>3331</v>
      </c>
      <c r="I361" s="89" t="s">
        <v>3378</v>
      </c>
      <c r="J361" s="89" t="s">
        <v>3386</v>
      </c>
      <c r="K361" s="88" t="s">
        <v>2256</v>
      </c>
      <c r="L361" s="90">
        <v>8000</v>
      </c>
    </row>
    <row r="362" spans="1:12" x14ac:dyDescent="0.3">
      <c r="A362" s="88" t="s">
        <v>3393</v>
      </c>
      <c r="B362" s="88" t="s">
        <v>2251</v>
      </c>
      <c r="C362" s="88" t="s">
        <v>3394</v>
      </c>
      <c r="D362" s="88" t="s">
        <v>3395</v>
      </c>
      <c r="E362" s="88" t="s">
        <v>2254</v>
      </c>
      <c r="F362" s="88" t="s">
        <v>2255</v>
      </c>
      <c r="G362" s="88" t="s">
        <v>2256</v>
      </c>
      <c r="H362" s="89" t="s">
        <v>3331</v>
      </c>
      <c r="I362" s="89" t="s">
        <v>3378</v>
      </c>
      <c r="J362" s="89" t="s">
        <v>3396</v>
      </c>
      <c r="K362" s="88" t="s">
        <v>2256</v>
      </c>
      <c r="L362" s="90">
        <v>30000</v>
      </c>
    </row>
    <row r="363" spans="1:12" x14ac:dyDescent="0.3">
      <c r="A363" s="88" t="s">
        <v>3397</v>
      </c>
      <c r="B363" s="88" t="s">
        <v>2896</v>
      </c>
      <c r="C363" s="88" t="s">
        <v>3398</v>
      </c>
      <c r="D363" s="88" t="s">
        <v>3395</v>
      </c>
      <c r="E363" s="88" t="s">
        <v>2254</v>
      </c>
      <c r="F363" s="88" t="s">
        <v>2363</v>
      </c>
      <c r="G363" s="88" t="s">
        <v>2256</v>
      </c>
      <c r="H363" s="89" t="s">
        <v>3331</v>
      </c>
      <c r="I363" s="89" t="s">
        <v>3378</v>
      </c>
      <c r="J363" s="89" t="s">
        <v>3396</v>
      </c>
      <c r="K363" s="88" t="s">
        <v>2256</v>
      </c>
      <c r="L363" s="90">
        <v>0</v>
      </c>
    </row>
    <row r="364" spans="1:12" x14ac:dyDescent="0.3">
      <c r="A364" s="88" t="s">
        <v>3399</v>
      </c>
      <c r="B364" s="88" t="s">
        <v>2467</v>
      </c>
      <c r="C364" s="88" t="s">
        <v>3400</v>
      </c>
      <c r="D364" s="88" t="s">
        <v>3395</v>
      </c>
      <c r="E364" s="88" t="s">
        <v>2254</v>
      </c>
      <c r="F364" s="88" t="s">
        <v>2469</v>
      </c>
      <c r="G364" s="88" t="s">
        <v>2256</v>
      </c>
      <c r="H364" s="89" t="s">
        <v>3331</v>
      </c>
      <c r="I364" s="89" t="s">
        <v>3378</v>
      </c>
      <c r="J364" s="89" t="s">
        <v>3396</v>
      </c>
      <c r="K364" s="88" t="s">
        <v>2256</v>
      </c>
      <c r="L364" s="90">
        <v>0</v>
      </c>
    </row>
    <row r="365" spans="1:12" x14ac:dyDescent="0.3">
      <c r="A365" s="88" t="s">
        <v>3401</v>
      </c>
      <c r="B365" s="88" t="s">
        <v>2322</v>
      </c>
      <c r="C365" s="88" t="s">
        <v>3402</v>
      </c>
      <c r="D365" s="88" t="s">
        <v>3395</v>
      </c>
      <c r="E365" s="88" t="s">
        <v>2254</v>
      </c>
      <c r="F365" s="88" t="s">
        <v>2262</v>
      </c>
      <c r="G365" s="88" t="s">
        <v>2256</v>
      </c>
      <c r="H365" s="89" t="s">
        <v>3331</v>
      </c>
      <c r="I365" s="89" t="s">
        <v>3378</v>
      </c>
      <c r="J365" s="89" t="s">
        <v>3396</v>
      </c>
      <c r="K365" s="88" t="s">
        <v>2256</v>
      </c>
      <c r="L365" s="90">
        <v>0</v>
      </c>
    </row>
    <row r="366" spans="1:12" x14ac:dyDescent="0.3">
      <c r="A366" s="88" t="s">
        <v>3403</v>
      </c>
      <c r="B366" s="88" t="s">
        <v>2260</v>
      </c>
      <c r="C366" s="88" t="s">
        <v>3404</v>
      </c>
      <c r="D366" s="88" t="s">
        <v>3405</v>
      </c>
      <c r="E366" s="88" t="s">
        <v>2254</v>
      </c>
      <c r="F366" s="88" t="s">
        <v>2267</v>
      </c>
      <c r="G366" s="88" t="s">
        <v>2256</v>
      </c>
      <c r="H366" s="89" t="s">
        <v>3331</v>
      </c>
      <c r="I366" s="89" t="s">
        <v>3378</v>
      </c>
      <c r="J366" s="89" t="s">
        <v>3396</v>
      </c>
      <c r="K366" s="88" t="s">
        <v>2256</v>
      </c>
      <c r="L366" s="90">
        <v>33000</v>
      </c>
    </row>
    <row r="367" spans="1:12" x14ac:dyDescent="0.3">
      <c r="A367" s="88" t="s">
        <v>3406</v>
      </c>
      <c r="B367" s="88" t="s">
        <v>2251</v>
      </c>
      <c r="C367" s="88" t="s">
        <v>3407</v>
      </c>
      <c r="D367" s="88" t="s">
        <v>3408</v>
      </c>
      <c r="E367" s="88" t="s">
        <v>2254</v>
      </c>
      <c r="F367" s="88" t="s">
        <v>2255</v>
      </c>
      <c r="G367" s="88" t="s">
        <v>2256</v>
      </c>
      <c r="H367" s="89" t="s">
        <v>3331</v>
      </c>
      <c r="I367" s="89" t="s">
        <v>3378</v>
      </c>
      <c r="J367" s="89" t="s">
        <v>3396</v>
      </c>
      <c r="K367" s="88" t="s">
        <v>2256</v>
      </c>
      <c r="L367" s="90">
        <v>30000</v>
      </c>
    </row>
    <row r="368" spans="1:12" x14ac:dyDescent="0.3">
      <c r="A368" s="88" t="s">
        <v>3409</v>
      </c>
      <c r="B368" s="88" t="s">
        <v>2467</v>
      </c>
      <c r="C368" s="88" t="s">
        <v>3410</v>
      </c>
      <c r="D368" s="88" t="s">
        <v>3408</v>
      </c>
      <c r="E368" s="88" t="s">
        <v>2254</v>
      </c>
      <c r="F368" s="88" t="s">
        <v>2469</v>
      </c>
      <c r="G368" s="88" t="s">
        <v>2256</v>
      </c>
      <c r="H368" s="89" t="s">
        <v>3331</v>
      </c>
      <c r="I368" s="89" t="s">
        <v>3378</v>
      </c>
      <c r="J368" s="89" t="s">
        <v>3396</v>
      </c>
      <c r="K368" s="88" t="s">
        <v>2256</v>
      </c>
      <c r="L368" s="90">
        <v>0</v>
      </c>
    </row>
    <row r="369" spans="1:12" x14ac:dyDescent="0.3">
      <c r="A369" s="88" t="s">
        <v>3411</v>
      </c>
      <c r="B369" s="88" t="s">
        <v>2322</v>
      </c>
      <c r="C369" s="88" t="s">
        <v>3412</v>
      </c>
      <c r="D369" s="88" t="s">
        <v>3408</v>
      </c>
      <c r="E369" s="88" t="s">
        <v>2254</v>
      </c>
      <c r="F369" s="88" t="s">
        <v>2262</v>
      </c>
      <c r="G369" s="88" t="s">
        <v>2256</v>
      </c>
      <c r="H369" s="89" t="s">
        <v>3331</v>
      </c>
      <c r="I369" s="89" t="s">
        <v>3378</v>
      </c>
      <c r="J369" s="89" t="s">
        <v>3396</v>
      </c>
      <c r="K369" s="88" t="s">
        <v>2256</v>
      </c>
      <c r="L369" s="90">
        <v>0</v>
      </c>
    </row>
    <row r="370" spans="1:12" x14ac:dyDescent="0.3">
      <c r="A370" s="88" t="s">
        <v>3413</v>
      </c>
      <c r="B370" s="88" t="s">
        <v>2260</v>
      </c>
      <c r="C370" s="88" t="s">
        <v>3414</v>
      </c>
      <c r="D370" s="88" t="s">
        <v>3408</v>
      </c>
      <c r="E370" s="88" t="s">
        <v>2254</v>
      </c>
      <c r="F370" s="88" t="s">
        <v>2267</v>
      </c>
      <c r="G370" s="88" t="s">
        <v>2256</v>
      </c>
      <c r="H370" s="89" t="s">
        <v>3331</v>
      </c>
      <c r="I370" s="89" t="s">
        <v>3378</v>
      </c>
      <c r="J370" s="89" t="s">
        <v>3396</v>
      </c>
      <c r="K370" s="88" t="s">
        <v>2256</v>
      </c>
      <c r="L370" s="90">
        <v>30000</v>
      </c>
    </row>
    <row r="371" spans="1:12" x14ac:dyDescent="0.3">
      <c r="A371" s="88" t="s">
        <v>3415</v>
      </c>
      <c r="B371" s="88" t="s">
        <v>2467</v>
      </c>
      <c r="C371" s="88" t="s">
        <v>3416</v>
      </c>
      <c r="D371" s="88" t="s">
        <v>3417</v>
      </c>
      <c r="E371" s="88" t="s">
        <v>2254</v>
      </c>
      <c r="F371" s="88" t="s">
        <v>2469</v>
      </c>
      <c r="G371" s="88" t="s">
        <v>2256</v>
      </c>
      <c r="H371" s="89" t="s">
        <v>3331</v>
      </c>
      <c r="I371" s="89" t="s">
        <v>3378</v>
      </c>
      <c r="J371" s="89" t="s">
        <v>3418</v>
      </c>
      <c r="K371" s="88" t="s">
        <v>2256</v>
      </c>
      <c r="L371" s="90">
        <v>0</v>
      </c>
    </row>
    <row r="372" spans="1:12" x14ac:dyDescent="0.3">
      <c r="A372" s="88" t="s">
        <v>3419</v>
      </c>
      <c r="B372" s="88" t="s">
        <v>2251</v>
      </c>
      <c r="C372" s="88" t="s">
        <v>3420</v>
      </c>
      <c r="D372" s="88" t="s">
        <v>3418</v>
      </c>
      <c r="E372" s="88" t="s">
        <v>2254</v>
      </c>
      <c r="F372" s="88" t="s">
        <v>2255</v>
      </c>
      <c r="G372" s="88" t="s">
        <v>2256</v>
      </c>
      <c r="H372" s="89" t="s">
        <v>3331</v>
      </c>
      <c r="I372" s="89" t="s">
        <v>3378</v>
      </c>
      <c r="J372" s="89" t="s">
        <v>3418</v>
      </c>
      <c r="K372" s="88" t="s">
        <v>2256</v>
      </c>
      <c r="L372" s="90">
        <v>12500</v>
      </c>
    </row>
    <row r="373" spans="1:12" x14ac:dyDescent="0.3">
      <c r="A373" s="88" t="s">
        <v>3421</v>
      </c>
      <c r="B373" s="88" t="s">
        <v>2322</v>
      </c>
      <c r="C373" s="88" t="s">
        <v>3422</v>
      </c>
      <c r="D373" s="88" t="s">
        <v>3418</v>
      </c>
      <c r="E373" s="88" t="s">
        <v>2254</v>
      </c>
      <c r="F373" s="88" t="s">
        <v>2262</v>
      </c>
      <c r="G373" s="88" t="s">
        <v>2256</v>
      </c>
      <c r="H373" s="89" t="s">
        <v>3331</v>
      </c>
      <c r="I373" s="89" t="s">
        <v>3378</v>
      </c>
      <c r="J373" s="89" t="s">
        <v>3418</v>
      </c>
      <c r="K373" s="88" t="s">
        <v>2256</v>
      </c>
      <c r="L373" s="90">
        <v>0</v>
      </c>
    </row>
    <row r="374" spans="1:12" x14ac:dyDescent="0.3">
      <c r="A374" s="88" t="s">
        <v>3423</v>
      </c>
      <c r="B374" s="88" t="s">
        <v>2269</v>
      </c>
      <c r="C374" s="88" t="s">
        <v>3424</v>
      </c>
      <c r="D374" s="88" t="s">
        <v>3425</v>
      </c>
      <c r="E374" s="88" t="s">
        <v>2254</v>
      </c>
      <c r="F374" s="88" t="s">
        <v>2267</v>
      </c>
      <c r="G374" s="88" t="s">
        <v>2256</v>
      </c>
      <c r="H374" s="89" t="s">
        <v>3331</v>
      </c>
      <c r="I374" s="89" t="s">
        <v>3378</v>
      </c>
      <c r="J374" s="89" t="s">
        <v>3418</v>
      </c>
      <c r="K374" s="88" t="s">
        <v>2256</v>
      </c>
      <c r="L374" s="90">
        <v>65000</v>
      </c>
    </row>
    <row r="375" spans="1:12" x14ac:dyDescent="0.3">
      <c r="A375" s="88" t="s">
        <v>3426</v>
      </c>
      <c r="B375" s="88" t="s">
        <v>2251</v>
      </c>
      <c r="C375" s="88" t="s">
        <v>3427</v>
      </c>
      <c r="D375" s="88" t="s">
        <v>3428</v>
      </c>
      <c r="E375" s="88" t="s">
        <v>2254</v>
      </c>
      <c r="F375" s="88" t="s">
        <v>2255</v>
      </c>
      <c r="G375" s="88" t="s">
        <v>2256</v>
      </c>
      <c r="H375" s="89" t="s">
        <v>3331</v>
      </c>
      <c r="I375" s="89" t="s">
        <v>3378</v>
      </c>
      <c r="J375" s="89" t="s">
        <v>3429</v>
      </c>
      <c r="K375" s="88" t="s">
        <v>2256</v>
      </c>
      <c r="L375" s="90">
        <v>35000</v>
      </c>
    </row>
    <row r="376" spans="1:12" x14ac:dyDescent="0.3">
      <c r="A376" s="88" t="s">
        <v>3430</v>
      </c>
      <c r="B376" s="88" t="s">
        <v>2322</v>
      </c>
      <c r="C376" s="88" t="s">
        <v>3431</v>
      </c>
      <c r="D376" s="88" t="s">
        <v>3428</v>
      </c>
      <c r="E376" s="88" t="s">
        <v>2254</v>
      </c>
      <c r="F376" s="88" t="s">
        <v>2262</v>
      </c>
      <c r="G376" s="88" t="s">
        <v>2256</v>
      </c>
      <c r="H376" s="89" t="s">
        <v>3331</v>
      </c>
      <c r="I376" s="89" t="s">
        <v>3378</v>
      </c>
      <c r="J376" s="89" t="s">
        <v>3429</v>
      </c>
      <c r="K376" s="88" t="s">
        <v>2256</v>
      </c>
      <c r="L376" s="90">
        <v>0</v>
      </c>
    </row>
    <row r="377" spans="1:12" x14ac:dyDescent="0.3">
      <c r="A377" s="88" t="s">
        <v>3432</v>
      </c>
      <c r="B377" s="88" t="s">
        <v>2269</v>
      </c>
      <c r="C377" s="88" t="s">
        <v>3433</v>
      </c>
      <c r="D377" s="88" t="s">
        <v>3434</v>
      </c>
      <c r="E377" s="88" t="s">
        <v>2254</v>
      </c>
      <c r="F377" s="88" t="s">
        <v>2267</v>
      </c>
      <c r="G377" s="88" t="s">
        <v>2256</v>
      </c>
      <c r="H377" s="89" t="s">
        <v>3331</v>
      </c>
      <c r="I377" s="89" t="s">
        <v>3378</v>
      </c>
      <c r="J377" s="89" t="s">
        <v>3429</v>
      </c>
      <c r="K377" s="88" t="s">
        <v>2256</v>
      </c>
      <c r="L377" s="90">
        <v>235000</v>
      </c>
    </row>
    <row r="378" spans="1:12" x14ac:dyDescent="0.3">
      <c r="A378" s="88" t="s">
        <v>3435</v>
      </c>
      <c r="B378" s="88" t="s">
        <v>2251</v>
      </c>
      <c r="C378" s="88" t="s">
        <v>3436</v>
      </c>
      <c r="D378" s="88" t="s">
        <v>3437</v>
      </c>
      <c r="E378" s="88" t="s">
        <v>2254</v>
      </c>
      <c r="F378" s="88" t="s">
        <v>2255</v>
      </c>
      <c r="G378" s="88" t="s">
        <v>2256</v>
      </c>
      <c r="H378" s="89" t="s">
        <v>3331</v>
      </c>
      <c r="I378" s="89" t="s">
        <v>3438</v>
      </c>
      <c r="J378" s="89" t="s">
        <v>3439</v>
      </c>
      <c r="K378" s="88" t="s">
        <v>2256</v>
      </c>
      <c r="L378" s="90">
        <v>0</v>
      </c>
    </row>
    <row r="379" spans="1:12" x14ac:dyDescent="0.3">
      <c r="A379" s="88" t="s">
        <v>3440</v>
      </c>
      <c r="B379" s="88" t="s">
        <v>2269</v>
      </c>
      <c r="C379" s="88" t="s">
        <v>3441</v>
      </c>
      <c r="D379" s="88" t="s">
        <v>3442</v>
      </c>
      <c r="E379" s="88" t="s">
        <v>2254</v>
      </c>
      <c r="F379" s="88" t="s">
        <v>2267</v>
      </c>
      <c r="G379" s="88" t="s">
        <v>2256</v>
      </c>
      <c r="H379" s="89" t="s">
        <v>3331</v>
      </c>
      <c r="I379" s="89" t="s">
        <v>3438</v>
      </c>
      <c r="J379" s="89" t="s">
        <v>3439</v>
      </c>
      <c r="K379" s="88" t="s">
        <v>2256</v>
      </c>
      <c r="L379" s="90">
        <v>14000</v>
      </c>
    </row>
    <row r="380" spans="1:12" x14ac:dyDescent="0.3">
      <c r="A380" s="88" t="s">
        <v>3443</v>
      </c>
      <c r="B380" s="88" t="s">
        <v>2269</v>
      </c>
      <c r="C380" s="88" t="s">
        <v>3444</v>
      </c>
      <c r="D380" s="88" t="s">
        <v>3444</v>
      </c>
      <c r="E380" s="88" t="s">
        <v>2254</v>
      </c>
      <c r="F380" s="88" t="s">
        <v>2267</v>
      </c>
      <c r="G380" s="88" t="s">
        <v>2256</v>
      </c>
      <c r="H380" s="89" t="s">
        <v>3331</v>
      </c>
      <c r="I380" s="89" t="s">
        <v>3438</v>
      </c>
      <c r="J380" s="89" t="s">
        <v>3439</v>
      </c>
      <c r="K380" s="88" t="s">
        <v>2256</v>
      </c>
      <c r="L380" s="90">
        <v>0</v>
      </c>
    </row>
    <row r="381" spans="1:12" x14ac:dyDescent="0.3">
      <c r="A381" s="88" t="s">
        <v>3445</v>
      </c>
      <c r="B381" s="88" t="s">
        <v>2309</v>
      </c>
      <c r="C381" s="88" t="s">
        <v>3446</v>
      </c>
      <c r="D381" s="88" t="s">
        <v>3447</v>
      </c>
      <c r="E381" s="88" t="s">
        <v>2254</v>
      </c>
      <c r="F381" s="88" t="s">
        <v>2267</v>
      </c>
      <c r="G381" s="88" t="s">
        <v>2256</v>
      </c>
      <c r="H381" s="89" t="s">
        <v>3331</v>
      </c>
      <c r="I381" s="89" t="s">
        <v>3438</v>
      </c>
      <c r="J381" s="89" t="s">
        <v>3439</v>
      </c>
      <c r="K381" s="88" t="s">
        <v>2256</v>
      </c>
      <c r="L381" s="90">
        <v>0</v>
      </c>
    </row>
    <row r="382" spans="1:12" x14ac:dyDescent="0.3">
      <c r="A382" s="88" t="s">
        <v>3448</v>
      </c>
      <c r="B382" s="88" t="s">
        <v>2269</v>
      </c>
      <c r="C382" s="88" t="s">
        <v>3449</v>
      </c>
      <c r="D382" s="88" t="s">
        <v>3450</v>
      </c>
      <c r="E382" s="88" t="s">
        <v>2254</v>
      </c>
      <c r="F382" s="88" t="s">
        <v>2267</v>
      </c>
      <c r="G382" s="88" t="s">
        <v>2256</v>
      </c>
      <c r="H382" s="89" t="s">
        <v>3331</v>
      </c>
      <c r="I382" s="89" t="s">
        <v>3438</v>
      </c>
      <c r="J382" s="89" t="s">
        <v>3439</v>
      </c>
      <c r="K382" s="88" t="s">
        <v>2256</v>
      </c>
      <c r="L382" s="90">
        <v>8000</v>
      </c>
    </row>
    <row r="383" spans="1:12" x14ac:dyDescent="0.3">
      <c r="A383" s="88" t="s">
        <v>3451</v>
      </c>
      <c r="B383" s="88" t="s">
        <v>2260</v>
      </c>
      <c r="C383" s="88" t="s">
        <v>3452</v>
      </c>
      <c r="D383" s="88" t="s">
        <v>3453</v>
      </c>
      <c r="E383" s="88" t="s">
        <v>2254</v>
      </c>
      <c r="F383" s="88" t="s">
        <v>2255</v>
      </c>
      <c r="G383" s="88" t="s">
        <v>2256</v>
      </c>
      <c r="H383" s="89" t="s">
        <v>3331</v>
      </c>
      <c r="I383" s="89" t="s">
        <v>3438</v>
      </c>
      <c r="J383" s="89" t="s">
        <v>3439</v>
      </c>
      <c r="K383" s="88" t="s">
        <v>2256</v>
      </c>
      <c r="L383" s="90">
        <v>22000</v>
      </c>
    </row>
    <row r="384" spans="1:12" x14ac:dyDescent="0.3">
      <c r="A384" s="88" t="s">
        <v>3454</v>
      </c>
      <c r="B384" s="88" t="s">
        <v>2251</v>
      </c>
      <c r="C384" s="88" t="s">
        <v>3455</v>
      </c>
      <c r="D384" s="88" t="s">
        <v>3456</v>
      </c>
      <c r="E384" s="88" t="s">
        <v>2254</v>
      </c>
      <c r="F384" s="88" t="s">
        <v>2255</v>
      </c>
      <c r="G384" s="88" t="s">
        <v>2256</v>
      </c>
      <c r="H384" s="89" t="s">
        <v>3331</v>
      </c>
      <c r="I384" s="89" t="s">
        <v>3456</v>
      </c>
      <c r="J384" s="89" t="s">
        <v>3457</v>
      </c>
      <c r="K384" s="88" t="s">
        <v>2256</v>
      </c>
      <c r="L384" s="90">
        <v>0</v>
      </c>
    </row>
    <row r="385" spans="1:12" x14ac:dyDescent="0.3">
      <c r="A385" s="88" t="s">
        <v>3458</v>
      </c>
      <c r="B385" s="88" t="s">
        <v>2269</v>
      </c>
      <c r="C385" s="88" t="s">
        <v>3459</v>
      </c>
      <c r="D385" s="88" t="s">
        <v>3457</v>
      </c>
      <c r="E385" s="88" t="s">
        <v>2254</v>
      </c>
      <c r="F385" s="88" t="s">
        <v>2267</v>
      </c>
      <c r="G385" s="88" t="s">
        <v>2256</v>
      </c>
      <c r="H385" s="89" t="s">
        <v>3331</v>
      </c>
      <c r="I385" s="89" t="s">
        <v>3456</v>
      </c>
      <c r="J385" s="89" t="s">
        <v>3457</v>
      </c>
      <c r="K385" s="88" t="s">
        <v>2256</v>
      </c>
      <c r="L385" s="90">
        <v>60000</v>
      </c>
    </row>
    <row r="386" spans="1:12" x14ac:dyDescent="0.3">
      <c r="A386" s="88" t="s">
        <v>3460</v>
      </c>
      <c r="B386" s="88" t="s">
        <v>2269</v>
      </c>
      <c r="C386" s="88" t="s">
        <v>3461</v>
      </c>
      <c r="D386" s="88" t="s">
        <v>3462</v>
      </c>
      <c r="E386" s="88" t="s">
        <v>2254</v>
      </c>
      <c r="F386" s="88" t="s">
        <v>2267</v>
      </c>
      <c r="G386" s="88" t="s">
        <v>2256</v>
      </c>
      <c r="H386" s="89" t="s">
        <v>3331</v>
      </c>
      <c r="I386" s="89" t="s">
        <v>3463</v>
      </c>
      <c r="J386" s="89" t="s">
        <v>3464</v>
      </c>
      <c r="K386" s="88" t="s">
        <v>2256</v>
      </c>
      <c r="L386" s="90">
        <v>6000</v>
      </c>
    </row>
    <row r="387" spans="1:12" x14ac:dyDescent="0.3">
      <c r="A387" s="88" t="s">
        <v>3465</v>
      </c>
      <c r="B387" s="88" t="s">
        <v>2251</v>
      </c>
      <c r="C387" s="88" t="s">
        <v>3466</v>
      </c>
      <c r="D387" s="88" t="s">
        <v>3462</v>
      </c>
      <c r="E387" s="88" t="s">
        <v>2254</v>
      </c>
      <c r="F387" s="88" t="s">
        <v>2255</v>
      </c>
      <c r="G387" s="88" t="s">
        <v>2256</v>
      </c>
      <c r="H387" s="89" t="s">
        <v>3331</v>
      </c>
      <c r="I387" s="89" t="s">
        <v>3463</v>
      </c>
      <c r="J387" s="89" t="s">
        <v>3464</v>
      </c>
      <c r="K387" s="88" t="s">
        <v>2256</v>
      </c>
      <c r="L387" s="90">
        <v>10000</v>
      </c>
    </row>
    <row r="388" spans="1:12" x14ac:dyDescent="0.3">
      <c r="A388" s="88" t="s">
        <v>3467</v>
      </c>
      <c r="B388" s="88" t="s">
        <v>2251</v>
      </c>
      <c r="C388" s="88" t="s">
        <v>3468</v>
      </c>
      <c r="D388" s="88" t="s">
        <v>3469</v>
      </c>
      <c r="E388" s="88" t="s">
        <v>2254</v>
      </c>
      <c r="F388" s="88" t="s">
        <v>2255</v>
      </c>
      <c r="G388" s="88" t="s">
        <v>2256</v>
      </c>
      <c r="H388" s="89" t="s">
        <v>3331</v>
      </c>
      <c r="I388" s="89" t="s">
        <v>3463</v>
      </c>
      <c r="J388" s="89" t="s">
        <v>3464</v>
      </c>
      <c r="K388" s="88" t="s">
        <v>2256</v>
      </c>
      <c r="L388" s="90">
        <v>0</v>
      </c>
    </row>
    <row r="389" spans="1:12" x14ac:dyDescent="0.3">
      <c r="A389" s="88" t="s">
        <v>3470</v>
      </c>
      <c r="B389" s="88" t="s">
        <v>2269</v>
      </c>
      <c r="C389" s="88" t="s">
        <v>3471</v>
      </c>
      <c r="D389" s="88" t="s">
        <v>3472</v>
      </c>
      <c r="E389" s="88" t="s">
        <v>2254</v>
      </c>
      <c r="F389" s="88" t="s">
        <v>2267</v>
      </c>
      <c r="G389" s="88" t="s">
        <v>2256</v>
      </c>
      <c r="H389" s="89" t="s">
        <v>3331</v>
      </c>
      <c r="I389" s="89" t="s">
        <v>3463</v>
      </c>
      <c r="J389" s="89" t="s">
        <v>3464</v>
      </c>
      <c r="K389" s="88" t="s">
        <v>2256</v>
      </c>
      <c r="L389" s="90">
        <v>5000</v>
      </c>
    </row>
    <row r="390" spans="1:12" x14ac:dyDescent="0.3">
      <c r="A390" s="88" t="s">
        <v>3473</v>
      </c>
      <c r="B390" s="88" t="s">
        <v>2269</v>
      </c>
      <c r="C390" s="88" t="s">
        <v>3474</v>
      </c>
      <c r="D390" s="88" t="s">
        <v>3475</v>
      </c>
      <c r="E390" s="88" t="s">
        <v>2254</v>
      </c>
      <c r="F390" s="88" t="s">
        <v>2267</v>
      </c>
      <c r="G390" s="88" t="s">
        <v>2256</v>
      </c>
      <c r="H390" s="89" t="s">
        <v>3331</v>
      </c>
      <c r="I390" s="89" t="s">
        <v>3463</v>
      </c>
      <c r="J390" s="89" t="s">
        <v>3464</v>
      </c>
      <c r="K390" s="88" t="s">
        <v>2256</v>
      </c>
      <c r="L390" s="90">
        <v>3000</v>
      </c>
    </row>
    <row r="391" spans="1:12" x14ac:dyDescent="0.3">
      <c r="A391" s="88" t="s">
        <v>3476</v>
      </c>
      <c r="B391" s="88" t="s">
        <v>2251</v>
      </c>
      <c r="C391" s="88" t="s">
        <v>3477</v>
      </c>
      <c r="D391" s="88" t="s">
        <v>3478</v>
      </c>
      <c r="E391" s="88" t="s">
        <v>2254</v>
      </c>
      <c r="F391" s="88" t="s">
        <v>2255</v>
      </c>
      <c r="G391" s="88" t="s">
        <v>2256</v>
      </c>
      <c r="H391" s="89" t="s">
        <v>3331</v>
      </c>
      <c r="I391" s="89" t="s">
        <v>3463</v>
      </c>
      <c r="J391" s="89" t="s">
        <v>3479</v>
      </c>
      <c r="K391" s="88" t="s">
        <v>2256</v>
      </c>
      <c r="L391" s="90">
        <v>3000</v>
      </c>
    </row>
    <row r="392" spans="1:12" x14ac:dyDescent="0.3">
      <c r="A392" s="88" t="s">
        <v>3480</v>
      </c>
      <c r="B392" s="88" t="s">
        <v>2269</v>
      </c>
      <c r="C392" s="88" t="s">
        <v>3481</v>
      </c>
      <c r="D392" s="88" t="s">
        <v>3482</v>
      </c>
      <c r="E392" s="88" t="s">
        <v>2254</v>
      </c>
      <c r="F392" s="88" t="s">
        <v>2267</v>
      </c>
      <c r="G392" s="88" t="s">
        <v>2256</v>
      </c>
      <c r="H392" s="89" t="s">
        <v>3331</v>
      </c>
      <c r="I392" s="89" t="s">
        <v>3463</v>
      </c>
      <c r="J392" s="89" t="s">
        <v>3479</v>
      </c>
      <c r="K392" s="88" t="s">
        <v>2256</v>
      </c>
      <c r="L392" s="90">
        <v>0</v>
      </c>
    </row>
    <row r="393" spans="1:12" x14ac:dyDescent="0.3">
      <c r="A393" s="88" t="s">
        <v>3483</v>
      </c>
      <c r="B393" s="88" t="s">
        <v>2251</v>
      </c>
      <c r="C393" s="88" t="s">
        <v>3484</v>
      </c>
      <c r="D393" s="88" t="s">
        <v>3485</v>
      </c>
      <c r="E393" s="88" t="s">
        <v>2254</v>
      </c>
      <c r="F393" s="88" t="s">
        <v>2255</v>
      </c>
      <c r="G393" s="88" t="s">
        <v>2256</v>
      </c>
      <c r="H393" s="89" t="s">
        <v>3331</v>
      </c>
      <c r="I393" s="89" t="s">
        <v>3463</v>
      </c>
      <c r="J393" s="89" t="s">
        <v>3479</v>
      </c>
      <c r="K393" s="88" t="s">
        <v>2256</v>
      </c>
      <c r="L393" s="90">
        <v>1500</v>
      </c>
    </row>
    <row r="394" spans="1:12" x14ac:dyDescent="0.3">
      <c r="A394" s="88" t="s">
        <v>3486</v>
      </c>
      <c r="B394" s="88" t="s">
        <v>2251</v>
      </c>
      <c r="C394" s="88" t="s">
        <v>3487</v>
      </c>
      <c r="D394" s="88" t="s">
        <v>3488</v>
      </c>
      <c r="E394" s="88" t="s">
        <v>2254</v>
      </c>
      <c r="F394" s="88" t="s">
        <v>2255</v>
      </c>
      <c r="G394" s="88" t="s">
        <v>2256</v>
      </c>
      <c r="H394" s="89" t="s">
        <v>3331</v>
      </c>
      <c r="I394" s="89" t="s">
        <v>3463</v>
      </c>
      <c r="J394" s="89" t="s">
        <v>3479</v>
      </c>
      <c r="K394" s="88" t="s">
        <v>2256</v>
      </c>
      <c r="L394" s="90">
        <v>2000</v>
      </c>
    </row>
    <row r="395" spans="1:12" x14ac:dyDescent="0.3">
      <c r="A395" s="88" t="s">
        <v>3489</v>
      </c>
      <c r="B395" s="88" t="s">
        <v>2269</v>
      </c>
      <c r="C395" s="88" t="s">
        <v>3490</v>
      </c>
      <c r="D395" s="88" t="s">
        <v>3490</v>
      </c>
      <c r="E395" s="88" t="s">
        <v>2254</v>
      </c>
      <c r="F395" s="88" t="s">
        <v>2267</v>
      </c>
      <c r="G395" s="88" t="s">
        <v>2256</v>
      </c>
      <c r="H395" s="89" t="s">
        <v>3331</v>
      </c>
      <c r="I395" s="89" t="s">
        <v>3463</v>
      </c>
      <c r="J395" s="89" t="s">
        <v>3479</v>
      </c>
      <c r="K395" s="88" t="s">
        <v>2256</v>
      </c>
      <c r="L395" s="90">
        <v>0</v>
      </c>
    </row>
    <row r="396" spans="1:12" x14ac:dyDescent="0.3">
      <c r="A396" s="88" t="s">
        <v>3491</v>
      </c>
      <c r="B396" s="88" t="s">
        <v>2251</v>
      </c>
      <c r="C396" s="88" t="s">
        <v>3492</v>
      </c>
      <c r="D396" s="88" t="s">
        <v>3493</v>
      </c>
      <c r="E396" s="88" t="s">
        <v>2254</v>
      </c>
      <c r="F396" s="88" t="s">
        <v>2255</v>
      </c>
      <c r="G396" s="88" t="s">
        <v>2256</v>
      </c>
      <c r="H396" s="89" t="s">
        <v>3331</v>
      </c>
      <c r="I396" s="89" t="s">
        <v>3463</v>
      </c>
      <c r="J396" s="89" t="s">
        <v>3479</v>
      </c>
      <c r="K396" s="88" t="s">
        <v>2256</v>
      </c>
      <c r="L396" s="90">
        <v>18000</v>
      </c>
    </row>
    <row r="397" spans="1:12" x14ac:dyDescent="0.3">
      <c r="A397" s="88" t="s">
        <v>3494</v>
      </c>
      <c r="B397" s="88" t="s">
        <v>2269</v>
      </c>
      <c r="C397" s="88" t="s">
        <v>3495</v>
      </c>
      <c r="D397" s="88" t="s">
        <v>3496</v>
      </c>
      <c r="E397" s="88" t="s">
        <v>2254</v>
      </c>
      <c r="F397" s="88" t="s">
        <v>2267</v>
      </c>
      <c r="G397" s="88" t="s">
        <v>2256</v>
      </c>
      <c r="H397" s="89" t="s">
        <v>3331</v>
      </c>
      <c r="I397" s="89" t="s">
        <v>3463</v>
      </c>
      <c r="J397" s="89" t="s">
        <v>3479</v>
      </c>
      <c r="K397" s="88" t="s">
        <v>2256</v>
      </c>
      <c r="L397" s="90">
        <v>2500</v>
      </c>
    </row>
    <row r="398" spans="1:12" x14ac:dyDescent="0.3">
      <c r="A398" s="88" t="s">
        <v>3497</v>
      </c>
      <c r="B398" s="88" t="s">
        <v>2251</v>
      </c>
      <c r="C398" s="88" t="s">
        <v>3498</v>
      </c>
      <c r="D398" s="88" t="s">
        <v>3499</v>
      </c>
      <c r="E398" s="88" t="s">
        <v>2254</v>
      </c>
      <c r="F398" s="88" t="s">
        <v>2255</v>
      </c>
      <c r="G398" s="88" t="s">
        <v>2256</v>
      </c>
      <c r="H398" s="89" t="s">
        <v>3331</v>
      </c>
      <c r="I398" s="89" t="s">
        <v>3463</v>
      </c>
      <c r="J398" s="89" t="s">
        <v>3479</v>
      </c>
      <c r="K398" s="88" t="s">
        <v>2256</v>
      </c>
      <c r="L398" s="90">
        <v>3500</v>
      </c>
    </row>
    <row r="399" spans="1:12" x14ac:dyDescent="0.3">
      <c r="A399" s="88" t="s">
        <v>3500</v>
      </c>
      <c r="B399" s="88" t="s">
        <v>2467</v>
      </c>
      <c r="C399" s="88" t="s">
        <v>3501</v>
      </c>
      <c r="D399" s="88" t="s">
        <v>3502</v>
      </c>
      <c r="E399" s="88" t="s">
        <v>2254</v>
      </c>
      <c r="F399" s="88" t="s">
        <v>2469</v>
      </c>
      <c r="G399" s="88" t="s">
        <v>2256</v>
      </c>
      <c r="H399" s="89" t="s">
        <v>3331</v>
      </c>
      <c r="I399" s="89" t="s">
        <v>3463</v>
      </c>
      <c r="J399" s="89" t="s">
        <v>3503</v>
      </c>
      <c r="K399" s="88" t="s">
        <v>2256</v>
      </c>
      <c r="L399" s="90">
        <v>0</v>
      </c>
    </row>
    <row r="400" spans="1:12" x14ac:dyDescent="0.3">
      <c r="A400" s="88" t="s">
        <v>3504</v>
      </c>
      <c r="B400" s="88" t="s">
        <v>2322</v>
      </c>
      <c r="C400" s="88" t="s">
        <v>3505</v>
      </c>
      <c r="D400" s="88" t="s">
        <v>3502</v>
      </c>
      <c r="E400" s="88" t="s">
        <v>2254</v>
      </c>
      <c r="F400" s="88" t="s">
        <v>2262</v>
      </c>
      <c r="G400" s="88" t="s">
        <v>2256</v>
      </c>
      <c r="H400" s="89" t="s">
        <v>3331</v>
      </c>
      <c r="I400" s="89" t="s">
        <v>3463</v>
      </c>
      <c r="J400" s="89" t="s">
        <v>3503</v>
      </c>
      <c r="K400" s="88" t="s">
        <v>2256</v>
      </c>
      <c r="L400" s="90">
        <v>0</v>
      </c>
    </row>
    <row r="401" spans="1:12" x14ac:dyDescent="0.3">
      <c r="A401" s="88" t="s">
        <v>3506</v>
      </c>
      <c r="B401" s="88" t="s">
        <v>2251</v>
      </c>
      <c r="C401" s="88" t="s">
        <v>3507</v>
      </c>
      <c r="D401" s="88" t="s">
        <v>3508</v>
      </c>
      <c r="E401" s="88" t="s">
        <v>2254</v>
      </c>
      <c r="F401" s="88" t="s">
        <v>2255</v>
      </c>
      <c r="G401" s="88" t="s">
        <v>2256</v>
      </c>
      <c r="H401" s="89" t="s">
        <v>3331</v>
      </c>
      <c r="I401" s="89" t="s">
        <v>3463</v>
      </c>
      <c r="J401" s="89" t="s">
        <v>3503</v>
      </c>
      <c r="K401" s="88" t="s">
        <v>2256</v>
      </c>
      <c r="L401" s="90">
        <v>80000</v>
      </c>
    </row>
    <row r="402" spans="1:12" x14ac:dyDescent="0.3">
      <c r="A402" s="88" t="s">
        <v>3509</v>
      </c>
      <c r="B402" s="88" t="s">
        <v>2269</v>
      </c>
      <c r="C402" s="88" t="s">
        <v>3510</v>
      </c>
      <c r="D402" s="88" t="s">
        <v>3511</v>
      </c>
      <c r="E402" s="88" t="s">
        <v>2254</v>
      </c>
      <c r="F402" s="88" t="s">
        <v>2267</v>
      </c>
      <c r="G402" s="88" t="s">
        <v>2256</v>
      </c>
      <c r="H402" s="89" t="s">
        <v>3331</v>
      </c>
      <c r="I402" s="89" t="s">
        <v>3463</v>
      </c>
      <c r="J402" s="89" t="s">
        <v>3503</v>
      </c>
      <c r="K402" s="88" t="s">
        <v>2256</v>
      </c>
      <c r="L402" s="90">
        <v>27000</v>
      </c>
    </row>
    <row r="403" spans="1:12" x14ac:dyDescent="0.3">
      <c r="A403" s="88" t="s">
        <v>3512</v>
      </c>
      <c r="B403" s="88" t="s">
        <v>2260</v>
      </c>
      <c r="C403" s="88" t="s">
        <v>3513</v>
      </c>
      <c r="D403" s="88" t="s">
        <v>3513</v>
      </c>
      <c r="E403" s="88" t="s">
        <v>2254</v>
      </c>
      <c r="F403" s="88" t="s">
        <v>2267</v>
      </c>
      <c r="G403" s="88" t="s">
        <v>2256</v>
      </c>
      <c r="H403" s="89" t="s">
        <v>3331</v>
      </c>
      <c r="I403" s="89" t="s">
        <v>3514</v>
      </c>
      <c r="J403" s="89" t="s">
        <v>3515</v>
      </c>
      <c r="K403" s="88" t="s">
        <v>2256</v>
      </c>
      <c r="L403" s="90">
        <v>55000</v>
      </c>
    </row>
    <row r="404" spans="1:12" x14ac:dyDescent="0.3">
      <c r="A404" s="88" t="s">
        <v>3516</v>
      </c>
      <c r="B404" s="88" t="s">
        <v>2467</v>
      </c>
      <c r="C404" s="88" t="s">
        <v>3517</v>
      </c>
      <c r="D404" s="88" t="s">
        <v>3518</v>
      </c>
      <c r="E404" s="88" t="s">
        <v>2254</v>
      </c>
      <c r="F404" s="88" t="s">
        <v>2469</v>
      </c>
      <c r="G404" s="88" t="s">
        <v>2256</v>
      </c>
      <c r="H404" s="89" t="s">
        <v>3331</v>
      </c>
      <c r="I404" s="89" t="s">
        <v>3514</v>
      </c>
      <c r="J404" s="89" t="s">
        <v>3515</v>
      </c>
      <c r="K404" s="88" t="s">
        <v>2256</v>
      </c>
      <c r="L404" s="90">
        <v>0</v>
      </c>
    </row>
    <row r="405" spans="1:12" x14ac:dyDescent="0.3">
      <c r="A405" s="88" t="s">
        <v>3519</v>
      </c>
      <c r="B405" s="88" t="s">
        <v>2269</v>
      </c>
      <c r="C405" s="88" t="s">
        <v>3520</v>
      </c>
      <c r="D405" s="88" t="s">
        <v>3521</v>
      </c>
      <c r="E405" s="88" t="s">
        <v>2254</v>
      </c>
      <c r="F405" s="88" t="s">
        <v>2267</v>
      </c>
      <c r="G405" s="88" t="s">
        <v>2256</v>
      </c>
      <c r="H405" s="89" t="s">
        <v>3331</v>
      </c>
      <c r="I405" s="89" t="s">
        <v>3514</v>
      </c>
      <c r="J405" s="89" t="s">
        <v>3515</v>
      </c>
      <c r="K405" s="88" t="s">
        <v>2256</v>
      </c>
      <c r="L405" s="90">
        <v>0</v>
      </c>
    </row>
    <row r="406" spans="1:12" x14ac:dyDescent="0.3">
      <c r="A406" s="88" t="s">
        <v>3522</v>
      </c>
      <c r="B406" s="88" t="s">
        <v>2260</v>
      </c>
      <c r="C406" s="88" t="s">
        <v>3523</v>
      </c>
      <c r="D406" s="88" t="s">
        <v>3523</v>
      </c>
      <c r="E406" s="88" t="s">
        <v>2254</v>
      </c>
      <c r="F406" s="88" t="s">
        <v>2304</v>
      </c>
      <c r="G406" s="88" t="s">
        <v>2256</v>
      </c>
      <c r="H406" s="89" t="s">
        <v>3331</v>
      </c>
      <c r="I406" s="89" t="s">
        <v>3514</v>
      </c>
      <c r="J406" s="89" t="s">
        <v>3515</v>
      </c>
      <c r="K406" s="88" t="s">
        <v>2256</v>
      </c>
      <c r="L406" s="90">
        <v>70000</v>
      </c>
    </row>
    <row r="407" spans="1:12" x14ac:dyDescent="0.3">
      <c r="A407" s="88" t="s">
        <v>3524</v>
      </c>
      <c r="B407" s="88" t="s">
        <v>2251</v>
      </c>
      <c r="C407" s="88" t="s">
        <v>3525</v>
      </c>
      <c r="D407" s="88" t="s">
        <v>3526</v>
      </c>
      <c r="E407" s="88" t="s">
        <v>2254</v>
      </c>
      <c r="F407" s="88" t="s">
        <v>2255</v>
      </c>
      <c r="G407" s="88" t="s">
        <v>2256</v>
      </c>
      <c r="H407" s="89" t="s">
        <v>3331</v>
      </c>
      <c r="I407" s="89" t="s">
        <v>3527</v>
      </c>
      <c r="J407" s="89" t="s">
        <v>3528</v>
      </c>
      <c r="K407" s="88" t="s">
        <v>2256</v>
      </c>
      <c r="L407" s="90">
        <v>0</v>
      </c>
    </row>
    <row r="408" spans="1:12" x14ac:dyDescent="0.3">
      <c r="A408" s="88" t="s">
        <v>3529</v>
      </c>
      <c r="B408" s="88" t="s">
        <v>2251</v>
      </c>
      <c r="C408" s="88" t="s">
        <v>3530</v>
      </c>
      <c r="D408" s="88" t="s">
        <v>3531</v>
      </c>
      <c r="E408" s="88" t="s">
        <v>2254</v>
      </c>
      <c r="F408" s="88" t="s">
        <v>2255</v>
      </c>
      <c r="G408" s="88" t="s">
        <v>2256</v>
      </c>
      <c r="H408" s="89" t="s">
        <v>3331</v>
      </c>
      <c r="I408" s="89" t="s">
        <v>3527</v>
      </c>
      <c r="J408" s="89" t="s">
        <v>3528</v>
      </c>
      <c r="K408" s="88" t="s">
        <v>2256</v>
      </c>
      <c r="L408" s="90">
        <v>300</v>
      </c>
    </row>
    <row r="409" spans="1:12" x14ac:dyDescent="0.3">
      <c r="A409" s="88" t="s">
        <v>3532</v>
      </c>
      <c r="B409" s="88" t="s">
        <v>2269</v>
      </c>
      <c r="C409" s="88" t="s">
        <v>3533</v>
      </c>
      <c r="D409" s="88" t="s">
        <v>3534</v>
      </c>
      <c r="E409" s="88" t="s">
        <v>2254</v>
      </c>
      <c r="F409" s="88" t="s">
        <v>2267</v>
      </c>
      <c r="G409" s="88" t="s">
        <v>2256</v>
      </c>
      <c r="H409" s="89" t="s">
        <v>3331</v>
      </c>
      <c r="I409" s="89" t="s">
        <v>3527</v>
      </c>
      <c r="J409" s="89" t="s">
        <v>3528</v>
      </c>
      <c r="K409" s="88" t="s">
        <v>2256</v>
      </c>
      <c r="L409" s="90">
        <v>1500</v>
      </c>
    </row>
    <row r="410" spans="1:12" x14ac:dyDescent="0.3">
      <c r="A410" s="88" t="s">
        <v>3535</v>
      </c>
      <c r="B410" s="88" t="s">
        <v>2269</v>
      </c>
      <c r="C410" s="88" t="s">
        <v>3536</v>
      </c>
      <c r="D410" s="88" t="s">
        <v>3537</v>
      </c>
      <c r="E410" s="88" t="s">
        <v>2254</v>
      </c>
      <c r="F410" s="88" t="s">
        <v>2267</v>
      </c>
      <c r="G410" s="88" t="s">
        <v>2256</v>
      </c>
      <c r="H410" s="89" t="s">
        <v>3331</v>
      </c>
      <c r="I410" s="89" t="s">
        <v>3538</v>
      </c>
      <c r="J410" s="89" t="s">
        <v>3539</v>
      </c>
      <c r="K410" s="88" t="s">
        <v>2256</v>
      </c>
      <c r="L410" s="90">
        <v>4000</v>
      </c>
    </row>
    <row r="411" spans="1:12" x14ac:dyDescent="0.3">
      <c r="A411" s="88" t="s">
        <v>3540</v>
      </c>
      <c r="B411" s="88" t="s">
        <v>2260</v>
      </c>
      <c r="C411" s="88" t="s">
        <v>3541</v>
      </c>
      <c r="D411" s="88" t="s">
        <v>3541</v>
      </c>
      <c r="E411" s="88" t="s">
        <v>2254</v>
      </c>
      <c r="F411" s="88" t="s">
        <v>2304</v>
      </c>
      <c r="G411" s="88" t="s">
        <v>2256</v>
      </c>
      <c r="H411" s="89" t="s">
        <v>3331</v>
      </c>
      <c r="I411" s="89" t="s">
        <v>3538</v>
      </c>
      <c r="J411" s="89" t="s">
        <v>3539</v>
      </c>
      <c r="K411" s="88" t="s">
        <v>2256</v>
      </c>
      <c r="L411" s="90">
        <v>40000</v>
      </c>
    </row>
    <row r="412" spans="1:12" x14ac:dyDescent="0.3">
      <c r="A412" s="88" t="s">
        <v>3542</v>
      </c>
      <c r="B412" s="88" t="s">
        <v>2467</v>
      </c>
      <c r="C412" s="88" t="s">
        <v>3543</v>
      </c>
      <c r="D412" s="88" t="s">
        <v>3544</v>
      </c>
      <c r="E412" s="88" t="s">
        <v>2254</v>
      </c>
      <c r="F412" s="88" t="s">
        <v>2469</v>
      </c>
      <c r="G412" s="88" t="s">
        <v>2256</v>
      </c>
      <c r="H412" s="89" t="s">
        <v>3331</v>
      </c>
      <c r="I412" s="89" t="s">
        <v>3538</v>
      </c>
      <c r="J412" s="89" t="s">
        <v>3539</v>
      </c>
      <c r="K412" s="88" t="s">
        <v>2256</v>
      </c>
      <c r="L412" s="90">
        <v>0</v>
      </c>
    </row>
    <row r="413" spans="1:12" x14ac:dyDescent="0.3">
      <c r="A413" s="88" t="s">
        <v>3545</v>
      </c>
      <c r="B413" s="88" t="s">
        <v>2269</v>
      </c>
      <c r="C413" s="88" t="s">
        <v>3546</v>
      </c>
      <c r="D413" s="88" t="s">
        <v>3547</v>
      </c>
      <c r="E413" s="88" t="s">
        <v>2254</v>
      </c>
      <c r="F413" s="88" t="s">
        <v>2255</v>
      </c>
      <c r="G413" s="88" t="s">
        <v>2256</v>
      </c>
      <c r="H413" s="89" t="s">
        <v>3548</v>
      </c>
      <c r="I413" s="89" t="s">
        <v>3549</v>
      </c>
      <c r="J413" s="89" t="s">
        <v>3549</v>
      </c>
      <c r="K413" s="88" t="s">
        <v>2256</v>
      </c>
      <c r="L413" s="90">
        <v>300</v>
      </c>
    </row>
    <row r="414" spans="1:12" x14ac:dyDescent="0.3">
      <c r="A414" s="88" t="s">
        <v>3550</v>
      </c>
      <c r="B414" s="88" t="s">
        <v>2269</v>
      </c>
      <c r="C414" s="88" t="s">
        <v>3551</v>
      </c>
      <c r="D414" s="88" t="s">
        <v>3552</v>
      </c>
      <c r="E414" s="88" t="s">
        <v>2254</v>
      </c>
      <c r="F414" s="88" t="s">
        <v>2255</v>
      </c>
      <c r="G414" s="88" t="s">
        <v>2256</v>
      </c>
      <c r="H414" s="89" t="s">
        <v>3548</v>
      </c>
      <c r="I414" s="89" t="s">
        <v>3549</v>
      </c>
      <c r="J414" s="89" t="s">
        <v>3549</v>
      </c>
      <c r="K414" s="88" t="s">
        <v>2256</v>
      </c>
      <c r="L414" s="90">
        <v>1500</v>
      </c>
    </row>
    <row r="415" spans="1:12" x14ac:dyDescent="0.3">
      <c r="A415" s="88" t="s">
        <v>3553</v>
      </c>
      <c r="B415" s="88" t="s">
        <v>2269</v>
      </c>
      <c r="C415" s="88" t="s">
        <v>3554</v>
      </c>
      <c r="D415" s="88" t="s">
        <v>3555</v>
      </c>
      <c r="E415" s="88" t="s">
        <v>2254</v>
      </c>
      <c r="F415" s="88" t="s">
        <v>2267</v>
      </c>
      <c r="G415" s="88" t="s">
        <v>2256</v>
      </c>
      <c r="H415" s="89" t="s">
        <v>3548</v>
      </c>
      <c r="I415" s="89" t="s">
        <v>3549</v>
      </c>
      <c r="J415" s="89" t="s">
        <v>3549</v>
      </c>
      <c r="K415" s="88" t="s">
        <v>2256</v>
      </c>
      <c r="L415" s="90">
        <v>0</v>
      </c>
    </row>
    <row r="416" spans="1:12" x14ac:dyDescent="0.3">
      <c r="A416" s="88" t="s">
        <v>3556</v>
      </c>
      <c r="B416" s="88" t="s">
        <v>2264</v>
      </c>
      <c r="C416" s="88" t="s">
        <v>3557</v>
      </c>
      <c r="D416" s="88" t="s">
        <v>3558</v>
      </c>
      <c r="E416" s="88" t="s">
        <v>2254</v>
      </c>
      <c r="F416" s="88" t="s">
        <v>2267</v>
      </c>
      <c r="G416" s="88" t="s">
        <v>2256</v>
      </c>
      <c r="H416" s="89" t="s">
        <v>3548</v>
      </c>
      <c r="I416" s="89" t="s">
        <v>3549</v>
      </c>
      <c r="J416" s="89" t="s">
        <v>3549</v>
      </c>
      <c r="K416" s="88" t="s">
        <v>2256</v>
      </c>
      <c r="L416" s="90">
        <v>300</v>
      </c>
    </row>
    <row r="417" spans="1:12" x14ac:dyDescent="0.3">
      <c r="A417" s="88" t="s">
        <v>3559</v>
      </c>
      <c r="B417" s="88" t="s">
        <v>2251</v>
      </c>
      <c r="C417" s="88" t="s">
        <v>3560</v>
      </c>
      <c r="D417" s="88" t="s">
        <v>3561</v>
      </c>
      <c r="E417" s="88" t="s">
        <v>2254</v>
      </c>
      <c r="F417" s="88" t="s">
        <v>2255</v>
      </c>
      <c r="G417" s="88" t="s">
        <v>2256</v>
      </c>
      <c r="H417" s="89" t="s">
        <v>3548</v>
      </c>
      <c r="I417" s="89" t="s">
        <v>3549</v>
      </c>
      <c r="J417" s="89" t="s">
        <v>3549</v>
      </c>
      <c r="K417" s="88" t="s">
        <v>2256</v>
      </c>
      <c r="L417" s="90">
        <v>300</v>
      </c>
    </row>
    <row r="418" spans="1:12" x14ac:dyDescent="0.3">
      <c r="A418" s="88" t="s">
        <v>3562</v>
      </c>
      <c r="B418" s="88" t="s">
        <v>2251</v>
      </c>
      <c r="C418" s="88" t="s">
        <v>3563</v>
      </c>
      <c r="D418" s="88" t="s">
        <v>3564</v>
      </c>
      <c r="E418" s="88" t="s">
        <v>2254</v>
      </c>
      <c r="F418" s="88" t="s">
        <v>2255</v>
      </c>
      <c r="G418" s="88" t="s">
        <v>2256</v>
      </c>
      <c r="H418" s="89" t="s">
        <v>3548</v>
      </c>
      <c r="I418" s="89" t="s">
        <v>3565</v>
      </c>
      <c r="J418" s="89" t="s">
        <v>3566</v>
      </c>
      <c r="K418" s="88" t="s">
        <v>2256</v>
      </c>
      <c r="L418" s="90">
        <v>200</v>
      </c>
    </row>
    <row r="419" spans="1:12" x14ac:dyDescent="0.3">
      <c r="A419" s="88" t="s">
        <v>3567</v>
      </c>
      <c r="B419" s="88" t="s">
        <v>2251</v>
      </c>
      <c r="C419" s="88" t="s">
        <v>3568</v>
      </c>
      <c r="D419" s="88" t="s">
        <v>3569</v>
      </c>
      <c r="E419" s="88" t="s">
        <v>2254</v>
      </c>
      <c r="F419" s="88" t="s">
        <v>2255</v>
      </c>
      <c r="G419" s="88" t="s">
        <v>2256</v>
      </c>
      <c r="H419" s="89" t="s">
        <v>3548</v>
      </c>
      <c r="I419" s="89" t="s">
        <v>3565</v>
      </c>
      <c r="J419" s="89" t="s">
        <v>3566</v>
      </c>
      <c r="K419" s="88" t="s">
        <v>2256</v>
      </c>
      <c r="L419" s="90">
        <v>200</v>
      </c>
    </row>
    <row r="420" spans="1:12" x14ac:dyDescent="0.3">
      <c r="A420" s="88" t="s">
        <v>3570</v>
      </c>
      <c r="B420" s="88" t="s">
        <v>2251</v>
      </c>
      <c r="C420" s="88" t="s">
        <v>3571</v>
      </c>
      <c r="D420" s="88" t="s">
        <v>3572</v>
      </c>
      <c r="E420" s="88" t="s">
        <v>2254</v>
      </c>
      <c r="F420" s="88" t="s">
        <v>2255</v>
      </c>
      <c r="G420" s="88" t="s">
        <v>2256</v>
      </c>
      <c r="H420" s="89" t="s">
        <v>3548</v>
      </c>
      <c r="I420" s="89" t="s">
        <v>3573</v>
      </c>
      <c r="J420" s="89" t="s">
        <v>3574</v>
      </c>
      <c r="K420" s="88" t="s">
        <v>2256</v>
      </c>
      <c r="L420" s="90">
        <v>1300</v>
      </c>
    </row>
    <row r="421" spans="1:12" x14ac:dyDescent="0.3">
      <c r="A421" s="88" t="s">
        <v>3575</v>
      </c>
      <c r="B421" s="88" t="s">
        <v>2269</v>
      </c>
      <c r="C421" s="88" t="s">
        <v>3576</v>
      </c>
      <c r="D421" s="88" t="s">
        <v>3577</v>
      </c>
      <c r="E421" s="88" t="s">
        <v>2254</v>
      </c>
      <c r="F421" s="88" t="s">
        <v>2267</v>
      </c>
      <c r="G421" s="88" t="s">
        <v>2256</v>
      </c>
      <c r="H421" s="89" t="s">
        <v>3548</v>
      </c>
      <c r="I421" s="89" t="s">
        <v>3578</v>
      </c>
      <c r="J421" s="89" t="s">
        <v>3578</v>
      </c>
      <c r="K421" s="88" t="s">
        <v>2256</v>
      </c>
      <c r="L421" s="90">
        <v>800</v>
      </c>
    </row>
    <row r="422" spans="1:12" x14ac:dyDescent="0.3">
      <c r="A422" s="88" t="s">
        <v>3579</v>
      </c>
      <c r="B422" s="88" t="s">
        <v>2251</v>
      </c>
      <c r="C422" s="88" t="s">
        <v>3580</v>
      </c>
      <c r="D422" s="88" t="s">
        <v>3581</v>
      </c>
      <c r="E422" s="88" t="s">
        <v>2254</v>
      </c>
      <c r="F422" s="88" t="s">
        <v>2255</v>
      </c>
      <c r="G422" s="88" t="s">
        <v>2256</v>
      </c>
      <c r="H422" s="89" t="s">
        <v>3548</v>
      </c>
      <c r="I422" s="89" t="s">
        <v>3578</v>
      </c>
      <c r="J422" s="89" t="s">
        <v>3578</v>
      </c>
      <c r="K422" s="88" t="s">
        <v>2256</v>
      </c>
      <c r="L422" s="90">
        <v>0</v>
      </c>
    </row>
    <row r="423" spans="1:12" x14ac:dyDescent="0.3">
      <c r="A423" s="88" t="s">
        <v>3582</v>
      </c>
      <c r="B423" s="88" t="s">
        <v>2269</v>
      </c>
      <c r="C423" s="88" t="s">
        <v>3583</v>
      </c>
      <c r="D423" s="88" t="s">
        <v>3584</v>
      </c>
      <c r="E423" s="88" t="s">
        <v>2254</v>
      </c>
      <c r="F423" s="88" t="s">
        <v>2255</v>
      </c>
      <c r="G423" s="88" t="s">
        <v>2256</v>
      </c>
      <c r="H423" s="89" t="s">
        <v>3548</v>
      </c>
      <c r="I423" s="89" t="s">
        <v>3585</v>
      </c>
      <c r="J423" s="89" t="s">
        <v>3585</v>
      </c>
      <c r="K423" s="88" t="s">
        <v>2256</v>
      </c>
      <c r="L423" s="90">
        <v>50</v>
      </c>
    </row>
    <row r="424" spans="1:12" x14ac:dyDescent="0.3">
      <c r="A424" s="88" t="s">
        <v>3586</v>
      </c>
      <c r="B424" s="88" t="s">
        <v>2251</v>
      </c>
      <c r="C424" s="88" t="s">
        <v>3583</v>
      </c>
      <c r="D424" s="88" t="s">
        <v>3584</v>
      </c>
      <c r="E424" s="88" t="s">
        <v>2254</v>
      </c>
      <c r="F424" s="88" t="s">
        <v>2255</v>
      </c>
      <c r="G424" s="88" t="s">
        <v>2256</v>
      </c>
      <c r="H424" s="89" t="s">
        <v>3548</v>
      </c>
      <c r="I424" s="89" t="s">
        <v>3585</v>
      </c>
      <c r="J424" s="89" t="s">
        <v>3585</v>
      </c>
      <c r="K424" s="88" t="s">
        <v>2256</v>
      </c>
      <c r="L424" s="90">
        <v>0</v>
      </c>
    </row>
    <row r="425" spans="1:12" x14ac:dyDescent="0.3">
      <c r="A425" s="88" t="s">
        <v>3587</v>
      </c>
      <c r="B425" s="88" t="s">
        <v>2269</v>
      </c>
      <c r="C425" s="88" t="s">
        <v>3588</v>
      </c>
      <c r="D425" s="88" t="s">
        <v>3589</v>
      </c>
      <c r="E425" s="88" t="s">
        <v>2254</v>
      </c>
      <c r="F425" s="88" t="s">
        <v>2255</v>
      </c>
      <c r="G425" s="88" t="s">
        <v>2256</v>
      </c>
      <c r="H425" s="89" t="s">
        <v>3548</v>
      </c>
      <c r="I425" s="89" t="s">
        <v>3585</v>
      </c>
      <c r="J425" s="89" t="s">
        <v>3585</v>
      </c>
      <c r="K425" s="88" t="s">
        <v>2256</v>
      </c>
      <c r="L425" s="90">
        <v>40</v>
      </c>
    </row>
    <row r="426" spans="1:12" x14ac:dyDescent="0.3">
      <c r="A426" s="88" t="s">
        <v>3590</v>
      </c>
      <c r="B426" s="88" t="s">
        <v>2269</v>
      </c>
      <c r="C426" s="88" t="s">
        <v>3591</v>
      </c>
      <c r="D426" s="88" t="s">
        <v>3592</v>
      </c>
      <c r="E426" s="88" t="s">
        <v>2254</v>
      </c>
      <c r="F426" s="88" t="s">
        <v>2267</v>
      </c>
      <c r="G426" s="88" t="s">
        <v>2256</v>
      </c>
      <c r="H426" s="89" t="s">
        <v>3593</v>
      </c>
      <c r="I426" s="89" t="s">
        <v>3594</v>
      </c>
      <c r="J426" s="89" t="s">
        <v>3595</v>
      </c>
      <c r="K426" s="88" t="s">
        <v>2256</v>
      </c>
      <c r="L426" s="90">
        <v>1500</v>
      </c>
    </row>
    <row r="427" spans="1:12" x14ac:dyDescent="0.3">
      <c r="A427" s="88" t="s">
        <v>3596</v>
      </c>
      <c r="B427" s="88" t="s">
        <v>2260</v>
      </c>
      <c r="C427" s="88" t="s">
        <v>3597</v>
      </c>
      <c r="D427" s="88" t="s">
        <v>3598</v>
      </c>
      <c r="E427" s="88" t="s">
        <v>2254</v>
      </c>
      <c r="F427" s="88" t="s">
        <v>2255</v>
      </c>
      <c r="G427" s="88" t="s">
        <v>2256</v>
      </c>
      <c r="H427" s="89" t="s">
        <v>3593</v>
      </c>
      <c r="I427" s="89" t="s">
        <v>3594</v>
      </c>
      <c r="J427" s="89" t="s">
        <v>3599</v>
      </c>
      <c r="K427" s="88" t="s">
        <v>2256</v>
      </c>
      <c r="L427" s="90">
        <v>80000</v>
      </c>
    </row>
    <row r="428" spans="1:12" x14ac:dyDescent="0.3">
      <c r="A428" s="88" t="s">
        <v>3600</v>
      </c>
      <c r="B428" s="88" t="s">
        <v>2896</v>
      </c>
      <c r="C428" s="88" t="s">
        <v>3601</v>
      </c>
      <c r="D428" s="88" t="s">
        <v>3602</v>
      </c>
      <c r="E428" s="88" t="s">
        <v>2254</v>
      </c>
      <c r="F428" s="88" t="s">
        <v>2363</v>
      </c>
      <c r="G428" s="88" t="s">
        <v>2256</v>
      </c>
      <c r="H428" s="89" t="s">
        <v>3593</v>
      </c>
      <c r="I428" s="89" t="s">
        <v>3594</v>
      </c>
      <c r="J428" s="89" t="s">
        <v>3603</v>
      </c>
      <c r="K428" s="88" t="s">
        <v>2256</v>
      </c>
      <c r="L428" s="90">
        <v>0</v>
      </c>
    </row>
    <row r="429" spans="1:12" x14ac:dyDescent="0.3">
      <c r="A429" s="88" t="s">
        <v>3604</v>
      </c>
      <c r="B429" s="88" t="s">
        <v>2264</v>
      </c>
      <c r="C429" s="88" t="s">
        <v>3605</v>
      </c>
      <c r="D429" s="88" t="s">
        <v>3606</v>
      </c>
      <c r="E429" s="88" t="s">
        <v>2254</v>
      </c>
      <c r="F429" s="88" t="s">
        <v>2267</v>
      </c>
      <c r="G429" s="88" t="s">
        <v>2256</v>
      </c>
      <c r="H429" s="89" t="s">
        <v>3593</v>
      </c>
      <c r="I429" s="89" t="s">
        <v>3594</v>
      </c>
      <c r="J429" s="89" t="s">
        <v>3603</v>
      </c>
      <c r="K429" s="88" t="s">
        <v>2256</v>
      </c>
      <c r="L429" s="90">
        <v>22000</v>
      </c>
    </row>
    <row r="430" spans="1:12" x14ac:dyDescent="0.3">
      <c r="A430" s="88" t="s">
        <v>3607</v>
      </c>
      <c r="B430" s="88" t="s">
        <v>2264</v>
      </c>
      <c r="C430" s="88" t="s">
        <v>3608</v>
      </c>
      <c r="D430" s="88" t="s">
        <v>3609</v>
      </c>
      <c r="E430" s="88" t="s">
        <v>2254</v>
      </c>
      <c r="F430" s="88" t="s">
        <v>2267</v>
      </c>
      <c r="G430" s="88" t="s">
        <v>2256</v>
      </c>
      <c r="H430" s="89" t="s">
        <v>3593</v>
      </c>
      <c r="I430" s="89" t="s">
        <v>3594</v>
      </c>
      <c r="J430" s="89" t="s">
        <v>3603</v>
      </c>
      <c r="K430" s="88" t="s">
        <v>2256</v>
      </c>
      <c r="L430" s="90">
        <v>15000</v>
      </c>
    </row>
    <row r="431" spans="1:12" x14ac:dyDescent="0.3">
      <c r="A431" s="88" t="s">
        <v>3610</v>
      </c>
      <c r="B431" s="88" t="s">
        <v>2322</v>
      </c>
      <c r="C431" s="88" t="s">
        <v>3611</v>
      </c>
      <c r="D431" s="88" t="s">
        <v>3609</v>
      </c>
      <c r="E431" s="88" t="s">
        <v>2560</v>
      </c>
      <c r="F431" s="88" t="s">
        <v>2262</v>
      </c>
      <c r="G431" s="88" t="s">
        <v>2256</v>
      </c>
      <c r="H431" s="89" t="s">
        <v>3593</v>
      </c>
      <c r="I431" s="89" t="s">
        <v>3594</v>
      </c>
      <c r="J431" s="89" t="s">
        <v>3603</v>
      </c>
      <c r="K431" s="88" t="s">
        <v>2256</v>
      </c>
      <c r="L431" s="90">
        <v>0</v>
      </c>
    </row>
    <row r="432" spans="1:12" x14ac:dyDescent="0.3">
      <c r="A432" s="88" t="s">
        <v>3612</v>
      </c>
      <c r="B432" s="88" t="s">
        <v>3613</v>
      </c>
      <c r="C432" s="88" t="s">
        <v>3614</v>
      </c>
      <c r="D432" s="88" t="s">
        <v>3609</v>
      </c>
      <c r="E432" s="88" t="s">
        <v>3615</v>
      </c>
      <c r="F432" s="88" t="s">
        <v>3616</v>
      </c>
      <c r="G432" s="88" t="s">
        <v>2256</v>
      </c>
      <c r="H432" s="89" t="s">
        <v>3593</v>
      </c>
      <c r="I432" s="89" t="s">
        <v>3594</v>
      </c>
      <c r="J432" s="89" t="s">
        <v>3603</v>
      </c>
      <c r="K432" s="88" t="s">
        <v>2256</v>
      </c>
      <c r="L432" s="90">
        <v>0</v>
      </c>
    </row>
    <row r="433" spans="1:12" x14ac:dyDescent="0.3">
      <c r="A433" s="88" t="s">
        <v>3617</v>
      </c>
      <c r="B433" s="88" t="s">
        <v>2467</v>
      </c>
      <c r="C433" s="88" t="s">
        <v>3618</v>
      </c>
      <c r="D433" s="88" t="s">
        <v>3609</v>
      </c>
      <c r="E433" s="88" t="s">
        <v>2254</v>
      </c>
      <c r="F433" s="88" t="s">
        <v>2469</v>
      </c>
      <c r="G433" s="88" t="s">
        <v>2256</v>
      </c>
      <c r="H433" s="89" t="s">
        <v>3593</v>
      </c>
      <c r="I433" s="89" t="s">
        <v>3594</v>
      </c>
      <c r="J433" s="89" t="s">
        <v>3603</v>
      </c>
      <c r="K433" s="88" t="s">
        <v>2256</v>
      </c>
      <c r="L433" s="90">
        <v>40000</v>
      </c>
    </row>
    <row r="434" spans="1:12" x14ac:dyDescent="0.3">
      <c r="A434" s="88" t="s">
        <v>3619</v>
      </c>
      <c r="B434" s="88" t="s">
        <v>2269</v>
      </c>
      <c r="C434" s="88" t="s">
        <v>3608</v>
      </c>
      <c r="D434" s="88" t="s">
        <v>3609</v>
      </c>
      <c r="E434" s="88" t="s">
        <v>2254</v>
      </c>
      <c r="F434" s="88" t="s">
        <v>2267</v>
      </c>
      <c r="G434" s="88" t="s">
        <v>2256</v>
      </c>
      <c r="H434" s="89" t="s">
        <v>3593</v>
      </c>
      <c r="I434" s="89" t="s">
        <v>3594</v>
      </c>
      <c r="J434" s="89" t="s">
        <v>3603</v>
      </c>
      <c r="K434" s="88" t="s">
        <v>2256</v>
      </c>
      <c r="L434" s="90">
        <v>25000</v>
      </c>
    </row>
    <row r="435" spans="1:12" x14ac:dyDescent="0.3">
      <c r="A435" s="88" t="s">
        <v>3620</v>
      </c>
      <c r="B435" s="88" t="s">
        <v>2251</v>
      </c>
      <c r="C435" s="88" t="s">
        <v>3621</v>
      </c>
      <c r="D435" s="88" t="s">
        <v>3609</v>
      </c>
      <c r="E435" s="88" t="s">
        <v>2254</v>
      </c>
      <c r="F435" s="88" t="s">
        <v>2255</v>
      </c>
      <c r="G435" s="88" t="s">
        <v>2256</v>
      </c>
      <c r="H435" s="89" t="s">
        <v>3593</v>
      </c>
      <c r="I435" s="89" t="s">
        <v>3594</v>
      </c>
      <c r="J435" s="89" t="s">
        <v>3603</v>
      </c>
      <c r="K435" s="88" t="s">
        <v>2256</v>
      </c>
      <c r="L435" s="90">
        <v>35000</v>
      </c>
    </row>
    <row r="436" spans="1:12" x14ac:dyDescent="0.3">
      <c r="A436" s="88" t="s">
        <v>3622</v>
      </c>
      <c r="B436" s="88" t="s">
        <v>2251</v>
      </c>
      <c r="C436" s="88" t="s">
        <v>3623</v>
      </c>
      <c r="D436" s="88" t="s">
        <v>3624</v>
      </c>
      <c r="E436" s="88" t="s">
        <v>2254</v>
      </c>
      <c r="F436" s="88" t="s">
        <v>3284</v>
      </c>
      <c r="G436" s="88" t="s">
        <v>2256</v>
      </c>
      <c r="H436" s="89" t="s">
        <v>3593</v>
      </c>
      <c r="I436" s="89" t="s">
        <v>3625</v>
      </c>
      <c r="J436" s="89" t="s">
        <v>3626</v>
      </c>
      <c r="K436" s="88" t="s">
        <v>2256</v>
      </c>
      <c r="L436" s="90">
        <v>0</v>
      </c>
    </row>
    <row r="437" spans="1:12" x14ac:dyDescent="0.3">
      <c r="A437" s="88" t="s">
        <v>3627</v>
      </c>
      <c r="B437" s="88" t="s">
        <v>2260</v>
      </c>
      <c r="C437" s="88" t="s">
        <v>3628</v>
      </c>
      <c r="D437" s="88" t="s">
        <v>3628</v>
      </c>
      <c r="E437" s="88" t="s">
        <v>2254</v>
      </c>
      <c r="F437" s="88" t="s">
        <v>2267</v>
      </c>
      <c r="G437" s="88" t="s">
        <v>2256</v>
      </c>
      <c r="H437" s="89" t="s">
        <v>3593</v>
      </c>
      <c r="I437" s="89" t="s">
        <v>3625</v>
      </c>
      <c r="J437" s="89" t="s">
        <v>3626</v>
      </c>
      <c r="K437" s="88" t="s">
        <v>2256</v>
      </c>
      <c r="L437" s="90">
        <v>13000</v>
      </c>
    </row>
    <row r="438" spans="1:12" x14ac:dyDescent="0.3">
      <c r="A438" s="88" t="s">
        <v>3629</v>
      </c>
      <c r="B438" s="88" t="s">
        <v>2251</v>
      </c>
      <c r="C438" s="88" t="s">
        <v>3630</v>
      </c>
      <c r="D438" s="88" t="s">
        <v>3631</v>
      </c>
      <c r="E438" s="88" t="s">
        <v>2254</v>
      </c>
      <c r="F438" s="88" t="s">
        <v>2255</v>
      </c>
      <c r="G438" s="88" t="s">
        <v>2256</v>
      </c>
      <c r="H438" s="89" t="s">
        <v>3593</v>
      </c>
      <c r="I438" s="89" t="s">
        <v>3625</v>
      </c>
      <c r="J438" s="89" t="s">
        <v>3632</v>
      </c>
      <c r="K438" s="88" t="s">
        <v>2256</v>
      </c>
      <c r="L438" s="90">
        <v>2300</v>
      </c>
    </row>
    <row r="439" spans="1:12" x14ac:dyDescent="0.3">
      <c r="A439" s="88" t="s">
        <v>3633</v>
      </c>
      <c r="B439" s="88" t="s">
        <v>3613</v>
      </c>
      <c r="C439" s="88" t="s">
        <v>3634</v>
      </c>
      <c r="D439" s="88" t="s">
        <v>3635</v>
      </c>
      <c r="E439" s="88" t="s">
        <v>3615</v>
      </c>
      <c r="F439" s="88" t="s">
        <v>3616</v>
      </c>
      <c r="G439" s="88" t="s">
        <v>2256</v>
      </c>
      <c r="H439" s="89" t="s">
        <v>3593</v>
      </c>
      <c r="I439" s="89" t="s">
        <v>3625</v>
      </c>
      <c r="J439" s="89" t="s">
        <v>3632</v>
      </c>
      <c r="K439" s="88" t="s">
        <v>2256</v>
      </c>
      <c r="L439" s="90">
        <v>0</v>
      </c>
    </row>
    <row r="440" spans="1:12" x14ac:dyDescent="0.3">
      <c r="A440" s="88" t="s">
        <v>3636</v>
      </c>
      <c r="B440" s="88" t="s">
        <v>2467</v>
      </c>
      <c r="C440" s="88" t="s">
        <v>3637</v>
      </c>
      <c r="D440" s="88" t="s">
        <v>3635</v>
      </c>
      <c r="E440" s="88" t="s">
        <v>2254</v>
      </c>
      <c r="F440" s="88" t="s">
        <v>2469</v>
      </c>
      <c r="G440" s="88" t="s">
        <v>2256</v>
      </c>
      <c r="H440" s="89" t="s">
        <v>3593</v>
      </c>
      <c r="I440" s="89" t="s">
        <v>3625</v>
      </c>
      <c r="J440" s="89" t="s">
        <v>3632</v>
      </c>
      <c r="K440" s="88" t="s">
        <v>2256</v>
      </c>
      <c r="L440" s="90">
        <v>3500</v>
      </c>
    </row>
    <row r="441" spans="1:12" x14ac:dyDescent="0.3">
      <c r="A441" s="88" t="s">
        <v>3638</v>
      </c>
      <c r="B441" s="88" t="s">
        <v>2467</v>
      </c>
      <c r="C441" s="88" t="s">
        <v>3639</v>
      </c>
      <c r="D441" s="88" t="s">
        <v>3640</v>
      </c>
      <c r="E441" s="88" t="s">
        <v>2254</v>
      </c>
      <c r="F441" s="88" t="s">
        <v>2469</v>
      </c>
      <c r="G441" s="88" t="s">
        <v>2256</v>
      </c>
      <c r="H441" s="89" t="s">
        <v>3593</v>
      </c>
      <c r="I441" s="89" t="s">
        <v>3625</v>
      </c>
      <c r="J441" s="89" t="s">
        <v>3632</v>
      </c>
      <c r="K441" s="88" t="s">
        <v>2256</v>
      </c>
      <c r="L441" s="90">
        <v>4500</v>
      </c>
    </row>
    <row r="442" spans="1:12" x14ac:dyDescent="0.3">
      <c r="A442" s="88" t="s">
        <v>3641</v>
      </c>
      <c r="B442" s="88" t="s">
        <v>2322</v>
      </c>
      <c r="C442" s="88" t="s">
        <v>3642</v>
      </c>
      <c r="D442" s="88" t="s">
        <v>3642</v>
      </c>
      <c r="E442" s="88" t="s">
        <v>2254</v>
      </c>
      <c r="F442" s="88" t="s">
        <v>2262</v>
      </c>
      <c r="G442" s="88" t="s">
        <v>2256</v>
      </c>
      <c r="H442" s="89" t="s">
        <v>3593</v>
      </c>
      <c r="I442" s="89" t="s">
        <v>3625</v>
      </c>
      <c r="J442" s="89" t="s">
        <v>3632</v>
      </c>
      <c r="K442" s="88" t="s">
        <v>2256</v>
      </c>
      <c r="L442" s="90">
        <v>0</v>
      </c>
    </row>
    <row r="443" spans="1:12" x14ac:dyDescent="0.3">
      <c r="A443" s="88" t="s">
        <v>3643</v>
      </c>
      <c r="B443" s="88" t="s">
        <v>2269</v>
      </c>
      <c r="C443" s="88" t="s">
        <v>3644</v>
      </c>
      <c r="D443" s="88" t="s">
        <v>3645</v>
      </c>
      <c r="E443" s="88" t="s">
        <v>2254</v>
      </c>
      <c r="F443" s="88" t="s">
        <v>2267</v>
      </c>
      <c r="G443" s="88" t="s">
        <v>2256</v>
      </c>
      <c r="H443" s="89" t="s">
        <v>3593</v>
      </c>
      <c r="I443" s="89" t="s">
        <v>3625</v>
      </c>
      <c r="J443" s="89" t="s">
        <v>3632</v>
      </c>
      <c r="K443" s="88" t="s">
        <v>2256</v>
      </c>
      <c r="L443" s="90">
        <v>3500</v>
      </c>
    </row>
    <row r="444" spans="1:12" x14ac:dyDescent="0.3">
      <c r="A444" s="88" t="s">
        <v>3646</v>
      </c>
      <c r="B444" s="88" t="s">
        <v>2360</v>
      </c>
      <c r="C444" s="88" t="s">
        <v>3647</v>
      </c>
      <c r="D444" s="88" t="s">
        <v>3645</v>
      </c>
      <c r="E444" s="88" t="s">
        <v>2254</v>
      </c>
      <c r="F444" s="88" t="s">
        <v>2363</v>
      </c>
      <c r="G444" s="88" t="s">
        <v>2256</v>
      </c>
      <c r="H444" s="89" t="s">
        <v>3593</v>
      </c>
      <c r="I444" s="89" t="s">
        <v>3625</v>
      </c>
      <c r="J444" s="89" t="s">
        <v>3632</v>
      </c>
      <c r="K444" s="88" t="s">
        <v>2256</v>
      </c>
      <c r="L444" s="90">
        <v>0</v>
      </c>
    </row>
    <row r="445" spans="1:12" x14ac:dyDescent="0.3">
      <c r="A445" s="88" t="s">
        <v>3648</v>
      </c>
      <c r="B445" s="88" t="s">
        <v>2260</v>
      </c>
      <c r="C445" s="88" t="s">
        <v>3649</v>
      </c>
      <c r="D445" s="88" t="s">
        <v>3645</v>
      </c>
      <c r="E445" s="88" t="s">
        <v>2254</v>
      </c>
      <c r="F445" s="88" t="s">
        <v>2363</v>
      </c>
      <c r="G445" s="88" t="s">
        <v>2256</v>
      </c>
      <c r="H445" s="89" t="s">
        <v>3593</v>
      </c>
      <c r="I445" s="89" t="s">
        <v>3625</v>
      </c>
      <c r="J445" s="89" t="s">
        <v>3632</v>
      </c>
      <c r="K445" s="88" t="s">
        <v>2256</v>
      </c>
      <c r="L445" s="90">
        <v>3500</v>
      </c>
    </row>
    <row r="446" spans="1:12" x14ac:dyDescent="0.3">
      <c r="A446" s="88" t="s">
        <v>3650</v>
      </c>
      <c r="B446" s="88" t="s">
        <v>2260</v>
      </c>
      <c r="C446" s="88" t="s">
        <v>3651</v>
      </c>
      <c r="D446" s="88" t="s">
        <v>3651</v>
      </c>
      <c r="E446" s="88" t="s">
        <v>2254</v>
      </c>
      <c r="F446" s="88" t="s">
        <v>2267</v>
      </c>
      <c r="G446" s="88" t="s">
        <v>2256</v>
      </c>
      <c r="H446" s="89" t="s">
        <v>3593</v>
      </c>
      <c r="I446" s="89" t="s">
        <v>3625</v>
      </c>
      <c r="J446" s="89" t="s">
        <v>3652</v>
      </c>
      <c r="K446" s="88" t="s">
        <v>2256</v>
      </c>
      <c r="L446" s="90">
        <v>5500</v>
      </c>
    </row>
    <row r="447" spans="1:12" x14ac:dyDescent="0.3">
      <c r="A447" s="88" t="s">
        <v>3653</v>
      </c>
      <c r="B447" s="88" t="s">
        <v>2269</v>
      </c>
      <c r="C447" s="88" t="s">
        <v>3654</v>
      </c>
      <c r="D447" s="88" t="s">
        <v>3655</v>
      </c>
      <c r="E447" s="88" t="s">
        <v>2254</v>
      </c>
      <c r="F447" s="88" t="s">
        <v>2284</v>
      </c>
      <c r="G447" s="88" t="s">
        <v>2256</v>
      </c>
      <c r="H447" s="89" t="s">
        <v>3593</v>
      </c>
      <c r="I447" s="89" t="s">
        <v>3625</v>
      </c>
      <c r="J447" s="89" t="s">
        <v>3652</v>
      </c>
      <c r="K447" s="88" t="s">
        <v>2256</v>
      </c>
      <c r="L447" s="90">
        <v>4500</v>
      </c>
    </row>
    <row r="448" spans="1:12" x14ac:dyDescent="0.3">
      <c r="A448" s="88" t="s">
        <v>3656</v>
      </c>
      <c r="B448" s="88" t="s">
        <v>2251</v>
      </c>
      <c r="C448" s="88" t="s">
        <v>3657</v>
      </c>
      <c r="D448" s="88" t="s">
        <v>3658</v>
      </c>
      <c r="E448" s="88" t="s">
        <v>2254</v>
      </c>
      <c r="F448" s="88" t="s">
        <v>2255</v>
      </c>
      <c r="G448" s="88" t="s">
        <v>2256</v>
      </c>
      <c r="H448" s="89" t="s">
        <v>3593</v>
      </c>
      <c r="I448" s="89" t="s">
        <v>3625</v>
      </c>
      <c r="J448" s="89" t="s">
        <v>3652</v>
      </c>
      <c r="K448" s="88" t="s">
        <v>2256</v>
      </c>
      <c r="L448" s="90">
        <v>5000</v>
      </c>
    </row>
    <row r="449" spans="1:12" x14ac:dyDescent="0.3">
      <c r="A449" s="88" t="s">
        <v>3659</v>
      </c>
      <c r="B449" s="88" t="s">
        <v>2269</v>
      </c>
      <c r="C449" s="88" t="s">
        <v>3660</v>
      </c>
      <c r="D449" s="88" t="s">
        <v>3661</v>
      </c>
      <c r="E449" s="88" t="s">
        <v>2254</v>
      </c>
      <c r="F449" s="88" t="s">
        <v>2284</v>
      </c>
      <c r="G449" s="88" t="s">
        <v>2256</v>
      </c>
      <c r="H449" s="89" t="s">
        <v>3593</v>
      </c>
      <c r="I449" s="89" t="s">
        <v>3625</v>
      </c>
      <c r="J449" s="89" t="s">
        <v>3652</v>
      </c>
      <c r="K449" s="88" t="s">
        <v>2256</v>
      </c>
      <c r="L449" s="90">
        <v>10000</v>
      </c>
    </row>
    <row r="450" spans="1:12" x14ac:dyDescent="0.3">
      <c r="A450" s="88" t="s">
        <v>3662</v>
      </c>
      <c r="B450" s="88" t="s">
        <v>2260</v>
      </c>
      <c r="C450" s="88" t="s">
        <v>3663</v>
      </c>
      <c r="D450" s="88" t="s">
        <v>3661</v>
      </c>
      <c r="E450" s="88" t="s">
        <v>2254</v>
      </c>
      <c r="F450" s="88" t="s">
        <v>2255</v>
      </c>
      <c r="G450" s="88" t="s">
        <v>2256</v>
      </c>
      <c r="H450" s="89" t="s">
        <v>3593</v>
      </c>
      <c r="I450" s="89" t="s">
        <v>3625</v>
      </c>
      <c r="J450" s="89" t="s">
        <v>3652</v>
      </c>
      <c r="K450" s="88" t="s">
        <v>2256</v>
      </c>
      <c r="L450" s="90">
        <v>6000</v>
      </c>
    </row>
    <row r="451" spans="1:12" x14ac:dyDescent="0.3">
      <c r="A451" s="88" t="s">
        <v>3664</v>
      </c>
      <c r="B451" s="88" t="s">
        <v>2269</v>
      </c>
      <c r="C451" s="88" t="s">
        <v>3665</v>
      </c>
      <c r="D451" s="88" t="s">
        <v>3666</v>
      </c>
      <c r="E451" s="88" t="s">
        <v>2254</v>
      </c>
      <c r="F451" s="88" t="s">
        <v>2267</v>
      </c>
      <c r="G451" s="88" t="s">
        <v>2256</v>
      </c>
      <c r="H451" s="89" t="s">
        <v>3593</v>
      </c>
      <c r="I451" s="89" t="s">
        <v>3667</v>
      </c>
      <c r="J451" s="89" t="s">
        <v>3668</v>
      </c>
      <c r="K451" s="88" t="s">
        <v>2256</v>
      </c>
      <c r="L451" s="90">
        <v>0</v>
      </c>
    </row>
    <row r="452" spans="1:12" x14ac:dyDescent="0.3">
      <c r="A452" s="88" t="s">
        <v>3669</v>
      </c>
      <c r="B452" s="88" t="s">
        <v>2269</v>
      </c>
      <c r="C452" s="88" t="s">
        <v>3670</v>
      </c>
      <c r="D452" s="88" t="s">
        <v>3670</v>
      </c>
      <c r="E452" s="88" t="s">
        <v>2254</v>
      </c>
      <c r="F452" s="88" t="s">
        <v>2267</v>
      </c>
      <c r="G452" s="88" t="s">
        <v>2256</v>
      </c>
      <c r="H452" s="89" t="s">
        <v>3593</v>
      </c>
      <c r="I452" s="89" t="s">
        <v>3671</v>
      </c>
      <c r="J452" s="89" t="s">
        <v>3672</v>
      </c>
      <c r="K452" s="88" t="s">
        <v>2256</v>
      </c>
      <c r="L452" s="90">
        <v>0</v>
      </c>
    </row>
    <row r="453" spans="1:12" x14ac:dyDescent="0.3">
      <c r="A453" s="88" t="s">
        <v>3673</v>
      </c>
      <c r="B453" s="88" t="s">
        <v>3613</v>
      </c>
      <c r="C453" s="88" t="s">
        <v>3674</v>
      </c>
      <c r="D453" s="88" t="s">
        <v>3670</v>
      </c>
      <c r="E453" s="88" t="s">
        <v>3675</v>
      </c>
      <c r="F453" s="88" t="s">
        <v>3616</v>
      </c>
      <c r="G453" s="88" t="s">
        <v>2256</v>
      </c>
      <c r="H453" s="89" t="s">
        <v>3593</v>
      </c>
      <c r="I453" s="89" t="s">
        <v>3671</v>
      </c>
      <c r="J453" s="89" t="s">
        <v>3672</v>
      </c>
      <c r="K453" s="88" t="s">
        <v>2256</v>
      </c>
      <c r="L453" s="90">
        <v>0</v>
      </c>
    </row>
    <row r="454" spans="1:12" x14ac:dyDescent="0.3">
      <c r="A454" s="88" t="s">
        <v>3676</v>
      </c>
      <c r="B454" s="88" t="s">
        <v>2467</v>
      </c>
      <c r="C454" s="88" t="s">
        <v>3677</v>
      </c>
      <c r="D454" s="88" t="s">
        <v>3670</v>
      </c>
      <c r="E454" s="88" t="s">
        <v>2254</v>
      </c>
      <c r="F454" s="88" t="s">
        <v>2469</v>
      </c>
      <c r="G454" s="88" t="s">
        <v>2256</v>
      </c>
      <c r="H454" s="89" t="s">
        <v>3593</v>
      </c>
      <c r="I454" s="89" t="s">
        <v>3671</v>
      </c>
      <c r="J454" s="89" t="s">
        <v>3672</v>
      </c>
      <c r="K454" s="88" t="s">
        <v>2256</v>
      </c>
      <c r="L454" s="90">
        <v>4500</v>
      </c>
    </row>
    <row r="455" spans="1:12" x14ac:dyDescent="0.3">
      <c r="A455" s="88" t="s">
        <v>3678</v>
      </c>
      <c r="B455" s="88" t="s">
        <v>2360</v>
      </c>
      <c r="C455" s="88" t="s">
        <v>3679</v>
      </c>
      <c r="D455" s="88" t="s">
        <v>3670</v>
      </c>
      <c r="E455" s="88" t="s">
        <v>2254</v>
      </c>
      <c r="F455" s="88" t="s">
        <v>2363</v>
      </c>
      <c r="G455" s="88" t="s">
        <v>2256</v>
      </c>
      <c r="H455" s="89" t="s">
        <v>3593</v>
      </c>
      <c r="I455" s="89" t="s">
        <v>3671</v>
      </c>
      <c r="J455" s="89" t="s">
        <v>3672</v>
      </c>
      <c r="K455" s="88" t="s">
        <v>2256</v>
      </c>
      <c r="L455" s="90">
        <v>3500</v>
      </c>
    </row>
    <row r="456" spans="1:12" x14ac:dyDescent="0.3">
      <c r="A456" s="88" t="s">
        <v>3680</v>
      </c>
      <c r="B456" s="88" t="s">
        <v>2269</v>
      </c>
      <c r="C456" s="88" t="s">
        <v>3681</v>
      </c>
      <c r="D456" s="88" t="s">
        <v>3670</v>
      </c>
      <c r="E456" s="88" t="s">
        <v>2254</v>
      </c>
      <c r="F456" s="88" t="s">
        <v>2267</v>
      </c>
      <c r="G456" s="88" t="s">
        <v>2256</v>
      </c>
      <c r="H456" s="89" t="s">
        <v>3593</v>
      </c>
      <c r="I456" s="89" t="s">
        <v>3671</v>
      </c>
      <c r="J456" s="89" t="s">
        <v>3672</v>
      </c>
      <c r="K456" s="88" t="s">
        <v>2256</v>
      </c>
      <c r="L456" s="90">
        <v>3400</v>
      </c>
    </row>
    <row r="457" spans="1:12" x14ac:dyDescent="0.3">
      <c r="A457" s="88" t="s">
        <v>3682</v>
      </c>
      <c r="B457" s="88" t="s">
        <v>2251</v>
      </c>
      <c r="C457" s="88" t="s">
        <v>3683</v>
      </c>
      <c r="D457" s="88" t="s">
        <v>3670</v>
      </c>
      <c r="E457" s="88" t="s">
        <v>2254</v>
      </c>
      <c r="F457" s="88" t="s">
        <v>2255</v>
      </c>
      <c r="G457" s="88" t="s">
        <v>2256</v>
      </c>
      <c r="H457" s="89" t="s">
        <v>3593</v>
      </c>
      <c r="I457" s="89" t="s">
        <v>3671</v>
      </c>
      <c r="J457" s="89" t="s">
        <v>3672</v>
      </c>
      <c r="K457" s="88" t="s">
        <v>2256</v>
      </c>
      <c r="L457" s="90">
        <v>10000</v>
      </c>
    </row>
    <row r="458" spans="1:12" x14ac:dyDescent="0.3">
      <c r="A458" s="88" t="s">
        <v>3684</v>
      </c>
      <c r="B458" s="88" t="s">
        <v>2467</v>
      </c>
      <c r="C458" s="88" t="s">
        <v>3677</v>
      </c>
      <c r="D458" s="88" t="s">
        <v>3670</v>
      </c>
      <c r="E458" s="88" t="s">
        <v>2254</v>
      </c>
      <c r="F458" s="88" t="s">
        <v>2469</v>
      </c>
      <c r="G458" s="88" t="s">
        <v>2256</v>
      </c>
      <c r="H458" s="89" t="s">
        <v>3593</v>
      </c>
      <c r="I458" s="89" t="s">
        <v>3671</v>
      </c>
      <c r="J458" s="89" t="s">
        <v>3672</v>
      </c>
      <c r="K458" s="88" t="s">
        <v>2256</v>
      </c>
      <c r="L458" s="90">
        <v>4000</v>
      </c>
    </row>
    <row r="459" spans="1:12" x14ac:dyDescent="0.3">
      <c r="A459" s="91" t="s">
        <v>3685</v>
      </c>
      <c r="B459" s="88" t="s">
        <v>2260</v>
      </c>
      <c r="C459" s="91" t="s">
        <v>3686</v>
      </c>
      <c r="D459" s="88" t="s">
        <v>3687</v>
      </c>
      <c r="E459" s="88" t="s">
        <v>2254</v>
      </c>
      <c r="F459" s="88" t="s">
        <v>2267</v>
      </c>
      <c r="G459" s="88" t="s">
        <v>2256</v>
      </c>
      <c r="H459" s="88" t="s">
        <v>3688</v>
      </c>
      <c r="I459" s="88" t="s">
        <v>3689</v>
      </c>
      <c r="J459" s="88" t="s">
        <v>3690</v>
      </c>
      <c r="K459" s="88" t="s">
        <v>2256</v>
      </c>
      <c r="L459" s="90">
        <v>9166</v>
      </c>
    </row>
    <row r="460" spans="1:12" x14ac:dyDescent="0.3">
      <c r="A460" s="88" t="s">
        <v>3691</v>
      </c>
      <c r="B460" s="88" t="s">
        <v>2269</v>
      </c>
      <c r="C460" s="88" t="s">
        <v>3692</v>
      </c>
      <c r="D460" s="88" t="s">
        <v>3693</v>
      </c>
      <c r="E460" s="88" t="s">
        <v>2254</v>
      </c>
      <c r="F460" s="88" t="s">
        <v>2267</v>
      </c>
      <c r="G460" s="88" t="s">
        <v>2256</v>
      </c>
      <c r="H460" s="89" t="s">
        <v>3688</v>
      </c>
      <c r="I460" s="89" t="s">
        <v>3689</v>
      </c>
      <c r="J460" s="89" t="s">
        <v>3690</v>
      </c>
      <c r="K460" s="88" t="s">
        <v>2256</v>
      </c>
      <c r="L460" s="90">
        <v>5500</v>
      </c>
    </row>
    <row r="461" spans="1:12" x14ac:dyDescent="0.3">
      <c r="A461" s="88" t="s">
        <v>3694</v>
      </c>
      <c r="B461" s="88" t="s">
        <v>2269</v>
      </c>
      <c r="C461" s="88" t="s">
        <v>3695</v>
      </c>
      <c r="D461" s="88" t="s">
        <v>3696</v>
      </c>
      <c r="E461" s="88" t="s">
        <v>2254</v>
      </c>
      <c r="F461" s="88" t="s">
        <v>2267</v>
      </c>
      <c r="G461" s="88" t="s">
        <v>2256</v>
      </c>
      <c r="H461" s="89" t="s">
        <v>3688</v>
      </c>
      <c r="I461" s="89" t="s">
        <v>3689</v>
      </c>
      <c r="J461" s="89" t="s">
        <v>3690</v>
      </c>
      <c r="K461" s="88" t="s">
        <v>2256</v>
      </c>
      <c r="L461" s="90">
        <v>4000</v>
      </c>
    </row>
    <row r="462" spans="1:12" x14ac:dyDescent="0.3">
      <c r="A462" s="88" t="s">
        <v>3697</v>
      </c>
      <c r="B462" s="88" t="s">
        <v>2269</v>
      </c>
      <c r="C462" s="88" t="s">
        <v>3698</v>
      </c>
      <c r="D462" s="88" t="s">
        <v>3699</v>
      </c>
      <c r="E462" s="88" t="s">
        <v>2254</v>
      </c>
      <c r="F462" s="88" t="s">
        <v>2267</v>
      </c>
      <c r="G462" s="88" t="s">
        <v>2256</v>
      </c>
      <c r="H462" s="89" t="s">
        <v>3688</v>
      </c>
      <c r="I462" s="89" t="s">
        <v>3689</v>
      </c>
      <c r="J462" s="89" t="s">
        <v>3690</v>
      </c>
      <c r="K462" s="88" t="s">
        <v>2256</v>
      </c>
      <c r="L462" s="90">
        <v>3500</v>
      </c>
    </row>
    <row r="463" spans="1:12" x14ac:dyDescent="0.3">
      <c r="A463" s="88" t="s">
        <v>3700</v>
      </c>
      <c r="B463" s="88" t="s">
        <v>2251</v>
      </c>
      <c r="C463" s="88" t="s">
        <v>3701</v>
      </c>
      <c r="D463" s="88" t="s">
        <v>3702</v>
      </c>
      <c r="E463" s="88" t="s">
        <v>2254</v>
      </c>
      <c r="F463" s="88" t="s">
        <v>2255</v>
      </c>
      <c r="G463" s="88" t="s">
        <v>2256</v>
      </c>
      <c r="H463" s="89" t="s">
        <v>3688</v>
      </c>
      <c r="I463" s="89" t="s">
        <v>3689</v>
      </c>
      <c r="J463" s="89" t="s">
        <v>3690</v>
      </c>
      <c r="K463" s="88" t="s">
        <v>2256</v>
      </c>
      <c r="L463" s="90">
        <v>6000</v>
      </c>
    </row>
    <row r="464" spans="1:12" x14ac:dyDescent="0.3">
      <c r="A464" s="88" t="s">
        <v>3703</v>
      </c>
      <c r="B464" s="88" t="s">
        <v>2251</v>
      </c>
      <c r="C464" s="88" t="s">
        <v>3704</v>
      </c>
      <c r="D464" s="88" t="s">
        <v>3705</v>
      </c>
      <c r="E464" s="88" t="s">
        <v>2254</v>
      </c>
      <c r="F464" s="88" t="s">
        <v>2255</v>
      </c>
      <c r="G464" s="88" t="s">
        <v>2256</v>
      </c>
      <c r="H464" s="89" t="s">
        <v>3688</v>
      </c>
      <c r="I464" s="89" t="s">
        <v>3689</v>
      </c>
      <c r="J464" s="89" t="s">
        <v>3690</v>
      </c>
      <c r="K464" s="88" t="s">
        <v>2256</v>
      </c>
      <c r="L464" s="90">
        <v>1500</v>
      </c>
    </row>
    <row r="465" spans="1:12" x14ac:dyDescent="0.3">
      <c r="A465" s="88" t="s">
        <v>3706</v>
      </c>
      <c r="B465" s="88" t="s">
        <v>2269</v>
      </c>
      <c r="C465" s="88" t="s">
        <v>3707</v>
      </c>
      <c r="D465" s="88" t="s">
        <v>3708</v>
      </c>
      <c r="E465" s="88" t="s">
        <v>2254</v>
      </c>
      <c r="F465" s="88" t="s">
        <v>2267</v>
      </c>
      <c r="G465" s="88" t="s">
        <v>2256</v>
      </c>
      <c r="H465" s="89" t="s">
        <v>3688</v>
      </c>
      <c r="I465" s="89" t="s">
        <v>3689</v>
      </c>
      <c r="J465" s="89" t="s">
        <v>3690</v>
      </c>
      <c r="K465" s="88" t="s">
        <v>2256</v>
      </c>
      <c r="L465" s="90">
        <v>15000</v>
      </c>
    </row>
    <row r="466" spans="1:12" x14ac:dyDescent="0.3">
      <c r="A466" s="88" t="s">
        <v>3709</v>
      </c>
      <c r="B466" s="88" t="s">
        <v>2269</v>
      </c>
      <c r="C466" s="88" t="s">
        <v>3710</v>
      </c>
      <c r="D466" s="88" t="s">
        <v>3711</v>
      </c>
      <c r="E466" s="88" t="s">
        <v>2254</v>
      </c>
      <c r="F466" s="88" t="s">
        <v>2255</v>
      </c>
      <c r="G466" s="88" t="s">
        <v>2256</v>
      </c>
      <c r="H466" s="89" t="s">
        <v>3688</v>
      </c>
      <c r="I466" s="89" t="s">
        <v>3689</v>
      </c>
      <c r="J466" s="89" t="s">
        <v>3690</v>
      </c>
      <c r="K466" s="88" t="s">
        <v>2256</v>
      </c>
      <c r="L466" s="90">
        <v>100</v>
      </c>
    </row>
    <row r="467" spans="1:12" x14ac:dyDescent="0.3">
      <c r="A467" s="88" t="s">
        <v>3712</v>
      </c>
      <c r="B467" s="88" t="s">
        <v>2251</v>
      </c>
      <c r="C467" s="88" t="s">
        <v>3713</v>
      </c>
      <c r="D467" s="88" t="s">
        <v>3714</v>
      </c>
      <c r="E467" s="88" t="s">
        <v>2254</v>
      </c>
      <c r="F467" s="88" t="s">
        <v>2255</v>
      </c>
      <c r="G467" s="88" t="s">
        <v>2256</v>
      </c>
      <c r="H467" s="89" t="s">
        <v>3688</v>
      </c>
      <c r="I467" s="89" t="s">
        <v>3689</v>
      </c>
      <c r="J467" s="89" t="s">
        <v>3690</v>
      </c>
      <c r="K467" s="88" t="s">
        <v>2256</v>
      </c>
      <c r="L467" s="90">
        <v>150</v>
      </c>
    </row>
    <row r="468" spans="1:12" x14ac:dyDescent="0.3">
      <c r="A468" s="91" t="s">
        <v>3715</v>
      </c>
      <c r="B468" s="88" t="s">
        <v>2269</v>
      </c>
      <c r="C468" s="91" t="s">
        <v>3716</v>
      </c>
      <c r="D468" s="88" t="s">
        <v>3717</v>
      </c>
      <c r="E468" s="88" t="s">
        <v>2254</v>
      </c>
      <c r="F468" s="88" t="s">
        <v>2267</v>
      </c>
      <c r="G468" s="88" t="s">
        <v>2256</v>
      </c>
      <c r="H468" s="88" t="s">
        <v>3688</v>
      </c>
      <c r="I468" s="88" t="s">
        <v>3689</v>
      </c>
      <c r="J468" s="88" t="s">
        <v>3690</v>
      </c>
      <c r="K468" s="88" t="s">
        <v>2256</v>
      </c>
      <c r="L468" s="90">
        <v>0</v>
      </c>
    </row>
    <row r="469" spans="1:12" x14ac:dyDescent="0.3">
      <c r="A469" s="88" t="s">
        <v>3718</v>
      </c>
      <c r="B469" s="88" t="s">
        <v>2251</v>
      </c>
      <c r="C469" s="88" t="s">
        <v>3719</v>
      </c>
      <c r="D469" s="88" t="s">
        <v>3720</v>
      </c>
      <c r="E469" s="88" t="s">
        <v>2254</v>
      </c>
      <c r="F469" s="88" t="s">
        <v>2255</v>
      </c>
      <c r="G469" s="88" t="s">
        <v>2256</v>
      </c>
      <c r="H469" s="89" t="s">
        <v>3688</v>
      </c>
      <c r="I469" s="89" t="s">
        <v>3689</v>
      </c>
      <c r="J469" s="89" t="s">
        <v>3690</v>
      </c>
      <c r="K469" s="88" t="s">
        <v>2256</v>
      </c>
      <c r="L469" s="90">
        <v>10000</v>
      </c>
    </row>
    <row r="470" spans="1:12" x14ac:dyDescent="0.3">
      <c r="A470" s="88" t="s">
        <v>3721</v>
      </c>
      <c r="B470" s="88" t="s">
        <v>2251</v>
      </c>
      <c r="C470" s="88" t="s">
        <v>3722</v>
      </c>
      <c r="D470" s="88" t="s">
        <v>3723</v>
      </c>
      <c r="E470" s="88" t="s">
        <v>2348</v>
      </c>
      <c r="F470" s="88" t="s">
        <v>2255</v>
      </c>
      <c r="G470" s="88" t="s">
        <v>2256</v>
      </c>
      <c r="H470" s="89" t="s">
        <v>3688</v>
      </c>
      <c r="I470" s="89" t="s">
        <v>3724</v>
      </c>
      <c r="J470" s="89" t="s">
        <v>3725</v>
      </c>
      <c r="K470" s="88" t="s">
        <v>2256</v>
      </c>
      <c r="L470" s="90">
        <v>5000</v>
      </c>
    </row>
    <row r="471" spans="1:12" x14ac:dyDescent="0.3">
      <c r="A471" s="88" t="s">
        <v>3726</v>
      </c>
      <c r="B471" s="88" t="s">
        <v>2251</v>
      </c>
      <c r="C471" s="88" t="s">
        <v>3727</v>
      </c>
      <c r="D471" s="88" t="s">
        <v>3728</v>
      </c>
      <c r="E471" s="88" t="s">
        <v>2254</v>
      </c>
      <c r="F471" s="88" t="s">
        <v>2255</v>
      </c>
      <c r="G471" s="88" t="s">
        <v>2256</v>
      </c>
      <c r="H471" s="89" t="s">
        <v>3688</v>
      </c>
      <c r="I471" s="89" t="s">
        <v>3724</v>
      </c>
      <c r="J471" s="89" t="s">
        <v>3725</v>
      </c>
      <c r="K471" s="88" t="s">
        <v>2256</v>
      </c>
      <c r="L471" s="90">
        <v>3000</v>
      </c>
    </row>
    <row r="472" spans="1:12" x14ac:dyDescent="0.3">
      <c r="A472" s="88" t="s">
        <v>3729</v>
      </c>
      <c r="B472" s="88" t="s">
        <v>2269</v>
      </c>
      <c r="C472" s="88" t="s">
        <v>3730</v>
      </c>
      <c r="D472" s="88" t="s">
        <v>3731</v>
      </c>
      <c r="E472" s="88" t="s">
        <v>2254</v>
      </c>
      <c r="F472" s="88" t="s">
        <v>2267</v>
      </c>
      <c r="G472" s="88" t="s">
        <v>2256</v>
      </c>
      <c r="H472" s="89" t="s">
        <v>3688</v>
      </c>
      <c r="I472" s="89" t="s">
        <v>3732</v>
      </c>
      <c r="J472" s="89" t="s">
        <v>3733</v>
      </c>
      <c r="K472" s="88" t="s">
        <v>2256</v>
      </c>
      <c r="L472" s="90">
        <v>15000</v>
      </c>
    </row>
    <row r="473" spans="1:12" x14ac:dyDescent="0.3">
      <c r="A473" s="88" t="s">
        <v>3734</v>
      </c>
      <c r="B473" s="88" t="s">
        <v>2251</v>
      </c>
      <c r="C473" s="88" t="s">
        <v>3735</v>
      </c>
      <c r="D473" s="88" t="s">
        <v>3736</v>
      </c>
      <c r="E473" s="88" t="s">
        <v>2254</v>
      </c>
      <c r="F473" s="88" t="s">
        <v>2255</v>
      </c>
      <c r="G473" s="88" t="s">
        <v>2256</v>
      </c>
      <c r="H473" s="89" t="s">
        <v>3688</v>
      </c>
      <c r="I473" s="89" t="s">
        <v>3732</v>
      </c>
      <c r="J473" s="89" t="s">
        <v>3733</v>
      </c>
      <c r="K473" s="88" t="s">
        <v>2256</v>
      </c>
      <c r="L473" s="90">
        <v>29000</v>
      </c>
    </row>
    <row r="474" spans="1:12" x14ac:dyDescent="0.3">
      <c r="A474" s="88" t="s">
        <v>3737</v>
      </c>
      <c r="B474" s="88" t="s">
        <v>2467</v>
      </c>
      <c r="C474" s="88" t="s">
        <v>3738</v>
      </c>
      <c r="D474" s="88" t="s">
        <v>3739</v>
      </c>
      <c r="E474" s="88" t="s">
        <v>2254</v>
      </c>
      <c r="F474" s="88" t="s">
        <v>2469</v>
      </c>
      <c r="G474" s="88" t="s">
        <v>2256</v>
      </c>
      <c r="H474" s="89" t="s">
        <v>3688</v>
      </c>
      <c r="I474" s="89" t="s">
        <v>3732</v>
      </c>
      <c r="J474" s="89" t="s">
        <v>3733</v>
      </c>
      <c r="K474" s="88" t="s">
        <v>2256</v>
      </c>
      <c r="L474" s="90">
        <v>0</v>
      </c>
    </row>
    <row r="475" spans="1:12" x14ac:dyDescent="0.3">
      <c r="A475" s="88" t="s">
        <v>3740</v>
      </c>
      <c r="B475" s="88" t="s">
        <v>2896</v>
      </c>
      <c r="C475" s="88" t="s">
        <v>3741</v>
      </c>
      <c r="D475" s="88" t="s">
        <v>3742</v>
      </c>
      <c r="E475" s="88" t="s">
        <v>2254</v>
      </c>
      <c r="F475" s="88" t="s">
        <v>2363</v>
      </c>
      <c r="G475" s="88" t="s">
        <v>2256</v>
      </c>
      <c r="H475" s="89" t="s">
        <v>3688</v>
      </c>
      <c r="I475" s="89" t="s">
        <v>3732</v>
      </c>
      <c r="J475" s="89" t="s">
        <v>3733</v>
      </c>
      <c r="K475" s="88" t="s">
        <v>2256</v>
      </c>
      <c r="L475" s="90">
        <v>0</v>
      </c>
    </row>
    <row r="476" spans="1:12" x14ac:dyDescent="0.3">
      <c r="A476" s="88" t="s">
        <v>3743</v>
      </c>
      <c r="B476" s="88" t="s">
        <v>2360</v>
      </c>
      <c r="C476" s="88" t="s">
        <v>3744</v>
      </c>
      <c r="D476" s="88" t="s">
        <v>3745</v>
      </c>
      <c r="E476" s="88" t="s">
        <v>2254</v>
      </c>
      <c r="F476" s="88" t="s">
        <v>2363</v>
      </c>
      <c r="G476" s="88" t="s">
        <v>2256</v>
      </c>
      <c r="H476" s="89" t="s">
        <v>3688</v>
      </c>
      <c r="I476" s="89" t="s">
        <v>3732</v>
      </c>
      <c r="J476" s="89" t="s">
        <v>3733</v>
      </c>
      <c r="K476" s="88" t="s">
        <v>2256</v>
      </c>
      <c r="L476" s="90">
        <v>2000</v>
      </c>
    </row>
    <row r="477" spans="1:12" x14ac:dyDescent="0.3">
      <c r="A477" s="88" t="s">
        <v>3746</v>
      </c>
      <c r="B477" s="88" t="s">
        <v>2269</v>
      </c>
      <c r="C477" s="88" t="s">
        <v>3747</v>
      </c>
      <c r="D477" s="88" t="s">
        <v>3748</v>
      </c>
      <c r="E477" s="88" t="s">
        <v>2254</v>
      </c>
      <c r="F477" s="88" t="s">
        <v>2284</v>
      </c>
      <c r="G477" s="88" t="s">
        <v>2256</v>
      </c>
      <c r="H477" s="89" t="s">
        <v>3688</v>
      </c>
      <c r="I477" s="89" t="s">
        <v>3732</v>
      </c>
      <c r="J477" s="89" t="s">
        <v>3733</v>
      </c>
      <c r="K477" s="88" t="s">
        <v>2256</v>
      </c>
      <c r="L477" s="90">
        <v>14000</v>
      </c>
    </row>
    <row r="478" spans="1:12" x14ac:dyDescent="0.3">
      <c r="A478" s="88" t="s">
        <v>3749</v>
      </c>
      <c r="B478" s="88" t="s">
        <v>2251</v>
      </c>
      <c r="C478" s="88" t="s">
        <v>3750</v>
      </c>
      <c r="D478" s="88" t="s">
        <v>3751</v>
      </c>
      <c r="E478" s="88" t="s">
        <v>2254</v>
      </c>
      <c r="F478" s="88" t="s">
        <v>2255</v>
      </c>
      <c r="G478" s="88" t="s">
        <v>2256</v>
      </c>
      <c r="H478" s="89" t="s">
        <v>3688</v>
      </c>
      <c r="I478" s="89" t="s">
        <v>3752</v>
      </c>
      <c r="J478" s="89" t="s">
        <v>3753</v>
      </c>
      <c r="K478" s="88" t="s">
        <v>2256</v>
      </c>
      <c r="L478" s="90">
        <v>15000</v>
      </c>
    </row>
    <row r="479" spans="1:12" x14ac:dyDescent="0.3">
      <c r="A479" s="88" t="s">
        <v>3754</v>
      </c>
      <c r="B479" s="88" t="s">
        <v>2467</v>
      </c>
      <c r="C479" s="88" t="s">
        <v>3755</v>
      </c>
      <c r="D479" s="88" t="s">
        <v>3756</v>
      </c>
      <c r="E479" s="88" t="s">
        <v>2738</v>
      </c>
      <c r="F479" s="88" t="s">
        <v>2469</v>
      </c>
      <c r="G479" s="88" t="s">
        <v>2256</v>
      </c>
      <c r="H479" s="89" t="s">
        <v>3688</v>
      </c>
      <c r="I479" s="89" t="s">
        <v>3752</v>
      </c>
      <c r="J479" s="89" t="s">
        <v>3753</v>
      </c>
      <c r="K479" s="88" t="s">
        <v>2256</v>
      </c>
      <c r="L479" s="90">
        <v>5000</v>
      </c>
    </row>
    <row r="480" spans="1:12" x14ac:dyDescent="0.3">
      <c r="A480" s="88" t="s">
        <v>3757</v>
      </c>
      <c r="B480" s="88" t="s">
        <v>2251</v>
      </c>
      <c r="C480" s="88" t="s">
        <v>3758</v>
      </c>
      <c r="D480" s="88" t="s">
        <v>3759</v>
      </c>
      <c r="E480" s="88" t="s">
        <v>2254</v>
      </c>
      <c r="F480" s="88" t="s">
        <v>2255</v>
      </c>
      <c r="G480" s="88" t="s">
        <v>2256</v>
      </c>
      <c r="H480" s="89" t="s">
        <v>3688</v>
      </c>
      <c r="I480" s="89" t="s">
        <v>3752</v>
      </c>
      <c r="J480" s="89" t="s">
        <v>3753</v>
      </c>
      <c r="K480" s="88" t="s">
        <v>2256</v>
      </c>
      <c r="L480" s="90">
        <v>0</v>
      </c>
    </row>
    <row r="481" spans="1:12" x14ac:dyDescent="0.3">
      <c r="A481" s="88" t="s">
        <v>3760</v>
      </c>
      <c r="B481" s="88" t="s">
        <v>2449</v>
      </c>
      <c r="C481" s="88" t="s">
        <v>3761</v>
      </c>
      <c r="D481" s="88" t="s">
        <v>3759</v>
      </c>
      <c r="E481" s="88" t="s">
        <v>2254</v>
      </c>
      <c r="F481" s="88" t="s">
        <v>2267</v>
      </c>
      <c r="G481" s="88" t="s">
        <v>2256</v>
      </c>
      <c r="H481" s="89" t="s">
        <v>3688</v>
      </c>
      <c r="I481" s="89" t="s">
        <v>3752</v>
      </c>
      <c r="J481" s="89" t="s">
        <v>3753</v>
      </c>
      <c r="K481" s="88" t="s">
        <v>2256</v>
      </c>
      <c r="L481" s="90">
        <v>4000</v>
      </c>
    </row>
    <row r="482" spans="1:12" x14ac:dyDescent="0.3">
      <c r="A482" s="88" t="s">
        <v>3762</v>
      </c>
      <c r="B482" s="88" t="s">
        <v>2260</v>
      </c>
      <c r="C482" s="88" t="s">
        <v>3763</v>
      </c>
      <c r="D482" s="88" t="s">
        <v>3763</v>
      </c>
      <c r="E482" s="88" t="s">
        <v>2254</v>
      </c>
      <c r="F482" s="88" t="s">
        <v>2304</v>
      </c>
      <c r="G482" s="88" t="s">
        <v>2256</v>
      </c>
      <c r="H482" s="89" t="s">
        <v>3688</v>
      </c>
      <c r="I482" s="89" t="s">
        <v>3764</v>
      </c>
      <c r="J482" s="89" t="s">
        <v>3765</v>
      </c>
      <c r="K482" s="88" t="s">
        <v>2256</v>
      </c>
      <c r="L482" s="90">
        <v>13000</v>
      </c>
    </row>
    <row r="483" spans="1:12" x14ac:dyDescent="0.3">
      <c r="A483" s="88" t="s">
        <v>3766</v>
      </c>
      <c r="B483" s="88" t="s">
        <v>2264</v>
      </c>
      <c r="C483" s="88" t="s">
        <v>3767</v>
      </c>
      <c r="D483" s="88" t="s">
        <v>3767</v>
      </c>
      <c r="E483" s="88" t="s">
        <v>2254</v>
      </c>
      <c r="F483" s="88" t="s">
        <v>2267</v>
      </c>
      <c r="G483" s="88" t="s">
        <v>2256</v>
      </c>
      <c r="H483" s="89" t="s">
        <v>3688</v>
      </c>
      <c r="I483" s="89" t="s">
        <v>3764</v>
      </c>
      <c r="J483" s="89" t="s">
        <v>3765</v>
      </c>
      <c r="K483" s="88" t="s">
        <v>2256</v>
      </c>
      <c r="L483" s="90">
        <v>3500</v>
      </c>
    </row>
    <row r="484" spans="1:12" x14ac:dyDescent="0.3">
      <c r="A484" s="88" t="s">
        <v>3768</v>
      </c>
      <c r="B484" s="88" t="s">
        <v>2322</v>
      </c>
      <c r="C484" s="88" t="s">
        <v>3769</v>
      </c>
      <c r="D484" s="88" t="s">
        <v>3770</v>
      </c>
      <c r="E484" s="88" t="s">
        <v>2254</v>
      </c>
      <c r="F484" s="88" t="s">
        <v>2262</v>
      </c>
      <c r="G484" s="88" t="s">
        <v>2256</v>
      </c>
      <c r="H484" s="89" t="s">
        <v>3688</v>
      </c>
      <c r="I484" s="89" t="s">
        <v>3764</v>
      </c>
      <c r="J484" s="89" t="s">
        <v>3765</v>
      </c>
      <c r="K484" s="88" t="s">
        <v>2256</v>
      </c>
      <c r="L484" s="90">
        <v>25000</v>
      </c>
    </row>
    <row r="485" spans="1:12" x14ac:dyDescent="0.3">
      <c r="A485" s="88" t="s">
        <v>3771</v>
      </c>
      <c r="B485" s="88" t="s">
        <v>2251</v>
      </c>
      <c r="C485" s="88" t="s">
        <v>3772</v>
      </c>
      <c r="D485" s="88" t="s">
        <v>3773</v>
      </c>
      <c r="E485" s="88" t="s">
        <v>2254</v>
      </c>
      <c r="F485" s="88" t="s">
        <v>2255</v>
      </c>
      <c r="G485" s="88" t="s">
        <v>2256</v>
      </c>
      <c r="H485" s="89" t="s">
        <v>3688</v>
      </c>
      <c r="I485" s="89" t="s">
        <v>3764</v>
      </c>
      <c r="J485" s="89" t="s">
        <v>3765</v>
      </c>
      <c r="K485" s="88" t="s">
        <v>2256</v>
      </c>
      <c r="L485" s="90">
        <v>0</v>
      </c>
    </row>
    <row r="486" spans="1:12" x14ac:dyDescent="0.3">
      <c r="A486" s="88" t="s">
        <v>3774</v>
      </c>
      <c r="B486" s="88" t="s">
        <v>2269</v>
      </c>
      <c r="C486" s="88" t="s">
        <v>3775</v>
      </c>
      <c r="D486" s="88" t="s">
        <v>3776</v>
      </c>
      <c r="E486" s="88" t="s">
        <v>3174</v>
      </c>
      <c r="F486" s="88" t="s">
        <v>3175</v>
      </c>
      <c r="G486" s="88" t="s">
        <v>2256</v>
      </c>
      <c r="H486" s="89" t="s">
        <v>3777</v>
      </c>
      <c r="I486" s="89" t="s">
        <v>3778</v>
      </c>
      <c r="J486" s="89" t="s">
        <v>3779</v>
      </c>
      <c r="K486" s="88" t="s">
        <v>2256</v>
      </c>
      <c r="L486" s="90">
        <v>2500</v>
      </c>
    </row>
    <row r="487" spans="1:12" x14ac:dyDescent="0.3">
      <c r="A487" s="88" t="s">
        <v>3780</v>
      </c>
      <c r="B487" s="88" t="s">
        <v>2269</v>
      </c>
      <c r="C487" s="88" t="s">
        <v>3781</v>
      </c>
      <c r="D487" s="88" t="s">
        <v>3782</v>
      </c>
      <c r="E487" s="88" t="s">
        <v>3174</v>
      </c>
      <c r="F487" s="88" t="s">
        <v>3175</v>
      </c>
      <c r="G487" s="88" t="s">
        <v>2256</v>
      </c>
      <c r="H487" s="89" t="s">
        <v>3777</v>
      </c>
      <c r="I487" s="89" t="s">
        <v>3778</v>
      </c>
      <c r="J487" s="89" t="s">
        <v>3783</v>
      </c>
      <c r="K487" s="88" t="s">
        <v>2256</v>
      </c>
      <c r="L487" s="90">
        <v>0</v>
      </c>
    </row>
    <row r="488" spans="1:12" x14ac:dyDescent="0.3">
      <c r="A488" s="88" t="s">
        <v>3784</v>
      </c>
      <c r="B488" s="88" t="s">
        <v>2269</v>
      </c>
      <c r="C488" s="88" t="s">
        <v>3785</v>
      </c>
      <c r="D488" s="88" t="s">
        <v>3785</v>
      </c>
      <c r="E488" s="88" t="s">
        <v>2254</v>
      </c>
      <c r="F488" s="88" t="s">
        <v>2267</v>
      </c>
      <c r="G488" s="88" t="s">
        <v>2256</v>
      </c>
      <c r="H488" s="89" t="s">
        <v>3777</v>
      </c>
      <c r="I488" s="89" t="s">
        <v>3778</v>
      </c>
      <c r="J488" s="89" t="s">
        <v>3783</v>
      </c>
      <c r="K488" s="88" t="s">
        <v>2256</v>
      </c>
      <c r="L488" s="90">
        <v>0</v>
      </c>
    </row>
    <row r="489" spans="1:12" x14ac:dyDescent="0.3">
      <c r="A489" s="88" t="s">
        <v>3786</v>
      </c>
      <c r="B489" s="88" t="s">
        <v>2269</v>
      </c>
      <c r="C489" s="88" t="s">
        <v>3787</v>
      </c>
      <c r="D489" s="88" t="s">
        <v>3788</v>
      </c>
      <c r="E489" s="88" t="s">
        <v>3174</v>
      </c>
      <c r="F489" s="88" t="s">
        <v>3175</v>
      </c>
      <c r="G489" s="88" t="s">
        <v>2256</v>
      </c>
      <c r="H489" s="89" t="s">
        <v>3777</v>
      </c>
      <c r="I489" s="89" t="s">
        <v>3778</v>
      </c>
      <c r="J489" s="89" t="s">
        <v>3789</v>
      </c>
      <c r="K489" s="88" t="s">
        <v>2256</v>
      </c>
      <c r="L489" s="90">
        <v>3499</v>
      </c>
    </row>
    <row r="490" spans="1:12" x14ac:dyDescent="0.3">
      <c r="A490" s="88" t="s">
        <v>3790</v>
      </c>
      <c r="B490" s="88" t="s">
        <v>2269</v>
      </c>
      <c r="C490" s="88" t="s">
        <v>3790</v>
      </c>
      <c r="D490" s="88" t="s">
        <v>3790</v>
      </c>
      <c r="E490" s="88" t="s">
        <v>2254</v>
      </c>
      <c r="F490" s="88" t="s">
        <v>2267</v>
      </c>
      <c r="G490" s="88" t="s">
        <v>2256</v>
      </c>
      <c r="H490" s="89" t="s">
        <v>3777</v>
      </c>
      <c r="I490" s="89" t="s">
        <v>3791</v>
      </c>
      <c r="J490" s="89" t="s">
        <v>3792</v>
      </c>
      <c r="K490" s="88" t="s">
        <v>2256</v>
      </c>
      <c r="L490" s="90">
        <v>0</v>
      </c>
    </row>
    <row r="491" spans="1:12" x14ac:dyDescent="0.3">
      <c r="A491" s="88" t="s">
        <v>3793</v>
      </c>
      <c r="B491" s="88" t="s">
        <v>2269</v>
      </c>
      <c r="C491" s="88" t="s">
        <v>3794</v>
      </c>
      <c r="D491" s="88" t="s">
        <v>3794</v>
      </c>
      <c r="E491" s="88" t="s">
        <v>2254</v>
      </c>
      <c r="F491" s="88" t="s">
        <v>2267</v>
      </c>
      <c r="G491" s="88" t="s">
        <v>2256</v>
      </c>
      <c r="H491" s="89" t="s">
        <v>3777</v>
      </c>
      <c r="I491" s="89" t="s">
        <v>3795</v>
      </c>
      <c r="J491" s="89" t="s">
        <v>3796</v>
      </c>
      <c r="K491" s="88" t="s">
        <v>2256</v>
      </c>
      <c r="L491" s="90">
        <v>0</v>
      </c>
    </row>
    <row r="492" spans="1:12" x14ac:dyDescent="0.3">
      <c r="A492" s="88" t="s">
        <v>3797</v>
      </c>
      <c r="B492" s="88" t="s">
        <v>2269</v>
      </c>
      <c r="C492" s="88" t="s">
        <v>3798</v>
      </c>
      <c r="D492" s="88" t="s">
        <v>3799</v>
      </c>
      <c r="E492" s="88" t="s">
        <v>2295</v>
      </c>
      <c r="F492" s="88" t="s">
        <v>2284</v>
      </c>
      <c r="G492" s="88" t="s">
        <v>2256</v>
      </c>
      <c r="H492" s="89" t="s">
        <v>3777</v>
      </c>
      <c r="I492" s="89" t="s">
        <v>3795</v>
      </c>
      <c r="J492" s="89" t="s">
        <v>3796</v>
      </c>
      <c r="K492" s="88" t="s">
        <v>2256</v>
      </c>
      <c r="L492" s="90">
        <v>8500</v>
      </c>
    </row>
    <row r="493" spans="1:12" x14ac:dyDescent="0.3">
      <c r="A493" s="88" t="s">
        <v>3800</v>
      </c>
      <c r="B493" s="88" t="s">
        <v>2251</v>
      </c>
      <c r="C493" s="88" t="s">
        <v>3801</v>
      </c>
      <c r="D493" s="88" t="s">
        <v>3802</v>
      </c>
      <c r="E493" s="88" t="s">
        <v>2254</v>
      </c>
      <c r="F493" s="88" t="s">
        <v>2255</v>
      </c>
      <c r="G493" s="88" t="s">
        <v>2256</v>
      </c>
      <c r="H493" s="89" t="s">
        <v>3777</v>
      </c>
      <c r="I493" s="89" t="s">
        <v>3803</v>
      </c>
      <c r="J493" s="89" t="s">
        <v>3804</v>
      </c>
      <c r="K493" s="88" t="s">
        <v>2256</v>
      </c>
      <c r="L493" s="90">
        <v>3000</v>
      </c>
    </row>
    <row r="494" spans="1:12" x14ac:dyDescent="0.3">
      <c r="A494" s="88" t="s">
        <v>3805</v>
      </c>
      <c r="B494" s="88" t="s">
        <v>2269</v>
      </c>
      <c r="C494" s="88" t="s">
        <v>3806</v>
      </c>
      <c r="D494" s="88" t="s">
        <v>3807</v>
      </c>
      <c r="E494" s="88" t="s">
        <v>2348</v>
      </c>
      <c r="F494" s="88" t="s">
        <v>2284</v>
      </c>
      <c r="G494" s="88" t="s">
        <v>2256</v>
      </c>
      <c r="H494" s="89" t="s">
        <v>3777</v>
      </c>
      <c r="I494" s="89" t="s">
        <v>3803</v>
      </c>
      <c r="J494" s="89" t="s">
        <v>3804</v>
      </c>
      <c r="K494" s="88" t="s">
        <v>2256</v>
      </c>
      <c r="L494" s="90">
        <v>4500</v>
      </c>
    </row>
    <row r="495" spans="1:12" x14ac:dyDescent="0.3">
      <c r="A495" s="88" t="s">
        <v>3808</v>
      </c>
      <c r="B495" s="88" t="s">
        <v>2269</v>
      </c>
      <c r="C495" s="88" t="s">
        <v>3809</v>
      </c>
      <c r="D495" s="88" t="s">
        <v>3810</v>
      </c>
      <c r="E495" s="88" t="s">
        <v>2348</v>
      </c>
      <c r="F495" s="88" t="s">
        <v>2284</v>
      </c>
      <c r="G495" s="88" t="s">
        <v>2256</v>
      </c>
      <c r="H495" s="89" t="s">
        <v>3777</v>
      </c>
      <c r="I495" s="89" t="s">
        <v>3803</v>
      </c>
      <c r="J495" s="89" t="s">
        <v>3804</v>
      </c>
      <c r="K495" s="88" t="s">
        <v>2256</v>
      </c>
      <c r="L495" s="90">
        <v>0</v>
      </c>
    </row>
    <row r="496" spans="1:12" x14ac:dyDescent="0.3">
      <c r="A496" s="88" t="s">
        <v>3811</v>
      </c>
      <c r="B496" s="88" t="s">
        <v>2251</v>
      </c>
      <c r="C496" s="88" t="s">
        <v>3812</v>
      </c>
      <c r="D496" s="88" t="s">
        <v>3813</v>
      </c>
      <c r="E496" s="88" t="s">
        <v>2348</v>
      </c>
      <c r="F496" s="88" t="s">
        <v>2255</v>
      </c>
      <c r="G496" s="88" t="s">
        <v>2256</v>
      </c>
      <c r="H496" s="89" t="s">
        <v>3777</v>
      </c>
      <c r="I496" s="89" t="s">
        <v>3803</v>
      </c>
      <c r="J496" s="89" t="s">
        <v>3804</v>
      </c>
      <c r="K496" s="88" t="s">
        <v>2256</v>
      </c>
      <c r="L496" s="90">
        <v>2500</v>
      </c>
    </row>
    <row r="497" spans="1:12" x14ac:dyDescent="0.3">
      <c r="A497" s="88" t="s">
        <v>3814</v>
      </c>
      <c r="B497" s="88" t="s">
        <v>2269</v>
      </c>
      <c r="C497" s="88" t="s">
        <v>3815</v>
      </c>
      <c r="D497" s="88" t="s">
        <v>3816</v>
      </c>
      <c r="E497" s="88" t="s">
        <v>2348</v>
      </c>
      <c r="F497" s="88" t="s">
        <v>2284</v>
      </c>
      <c r="G497" s="88" t="s">
        <v>2256</v>
      </c>
      <c r="H497" s="89" t="s">
        <v>3777</v>
      </c>
      <c r="I497" s="89" t="s">
        <v>3803</v>
      </c>
      <c r="J497" s="89" t="s">
        <v>3804</v>
      </c>
      <c r="K497" s="88" t="s">
        <v>2256</v>
      </c>
      <c r="L497" s="90">
        <v>4500</v>
      </c>
    </row>
    <row r="498" spans="1:12" x14ac:dyDescent="0.3">
      <c r="A498" s="91" t="s">
        <v>3817</v>
      </c>
      <c r="B498" s="88" t="s">
        <v>2269</v>
      </c>
      <c r="C498" s="91" t="s">
        <v>3818</v>
      </c>
      <c r="D498" s="88" t="s">
        <v>3818</v>
      </c>
      <c r="E498" s="88" t="s">
        <v>2254</v>
      </c>
      <c r="F498" s="88" t="s">
        <v>2267</v>
      </c>
      <c r="G498" s="88" t="s">
        <v>2256</v>
      </c>
      <c r="H498" s="88" t="s">
        <v>3777</v>
      </c>
      <c r="I498" s="88" t="s">
        <v>3819</v>
      </c>
      <c r="J498" s="88" t="s">
        <v>3820</v>
      </c>
      <c r="K498" s="88" t="s">
        <v>2256</v>
      </c>
      <c r="L498" s="90">
        <v>3314</v>
      </c>
    </row>
    <row r="499" spans="1:12" x14ac:dyDescent="0.3">
      <c r="A499" s="88" t="s">
        <v>3821</v>
      </c>
      <c r="B499" s="88" t="s">
        <v>2269</v>
      </c>
      <c r="C499" s="88" t="s">
        <v>3822</v>
      </c>
      <c r="D499" s="88" t="s">
        <v>3823</v>
      </c>
      <c r="E499" s="88" t="s">
        <v>2254</v>
      </c>
      <c r="F499" s="88" t="s">
        <v>2284</v>
      </c>
      <c r="G499" s="88" t="s">
        <v>2256</v>
      </c>
      <c r="H499" s="89" t="s">
        <v>3777</v>
      </c>
      <c r="I499" s="89" t="s">
        <v>3819</v>
      </c>
      <c r="J499" s="89" t="s">
        <v>3824</v>
      </c>
      <c r="K499" s="88" t="s">
        <v>2256</v>
      </c>
      <c r="L499" s="90">
        <v>3470</v>
      </c>
    </row>
    <row r="500" spans="1:12" x14ac:dyDescent="0.3">
      <c r="A500" s="88" t="s">
        <v>3825</v>
      </c>
      <c r="B500" s="88" t="s">
        <v>2269</v>
      </c>
      <c r="C500" s="88" t="s">
        <v>3826</v>
      </c>
      <c r="D500" s="88" t="s">
        <v>3827</v>
      </c>
      <c r="E500" s="88" t="s">
        <v>2254</v>
      </c>
      <c r="F500" s="88" t="s">
        <v>2284</v>
      </c>
      <c r="G500" s="88" t="s">
        <v>2256</v>
      </c>
      <c r="H500" s="89" t="s">
        <v>3777</v>
      </c>
      <c r="I500" s="89" t="s">
        <v>3819</v>
      </c>
      <c r="J500" s="89" t="s">
        <v>3824</v>
      </c>
      <c r="K500" s="88" t="s">
        <v>2256</v>
      </c>
      <c r="L500" s="90">
        <v>3663</v>
      </c>
    </row>
    <row r="501" spans="1:12" x14ac:dyDescent="0.3">
      <c r="A501" s="88" t="s">
        <v>3828</v>
      </c>
      <c r="B501" s="88" t="s">
        <v>2449</v>
      </c>
      <c r="C501" s="88" t="s">
        <v>3829</v>
      </c>
      <c r="D501" s="88" t="s">
        <v>3829</v>
      </c>
      <c r="E501" s="88" t="s">
        <v>2254</v>
      </c>
      <c r="F501" s="88" t="s">
        <v>2267</v>
      </c>
      <c r="G501" s="88" t="s">
        <v>2256</v>
      </c>
      <c r="H501" s="89" t="s">
        <v>3777</v>
      </c>
      <c r="I501" s="89" t="s">
        <v>3819</v>
      </c>
      <c r="J501" s="89" t="s">
        <v>3830</v>
      </c>
      <c r="K501" s="88" t="s">
        <v>2256</v>
      </c>
      <c r="L501" s="90">
        <v>3300</v>
      </c>
    </row>
    <row r="502" spans="1:12" x14ac:dyDescent="0.3">
      <c r="A502" s="88" t="s">
        <v>3831</v>
      </c>
      <c r="B502" s="88" t="s">
        <v>2264</v>
      </c>
      <c r="C502" s="88" t="s">
        <v>3832</v>
      </c>
      <c r="D502" s="88" t="s">
        <v>3833</v>
      </c>
      <c r="E502" s="88" t="s">
        <v>2254</v>
      </c>
      <c r="F502" s="88" t="s">
        <v>2267</v>
      </c>
      <c r="G502" s="88" t="s">
        <v>2256</v>
      </c>
      <c r="H502" s="89" t="s">
        <v>3834</v>
      </c>
      <c r="I502" s="89" t="s">
        <v>3835</v>
      </c>
      <c r="J502" s="89" t="s">
        <v>3836</v>
      </c>
      <c r="K502" s="88" t="s">
        <v>2256</v>
      </c>
      <c r="L502" s="90">
        <v>2000</v>
      </c>
    </row>
    <row r="503" spans="1:12" x14ac:dyDescent="0.3">
      <c r="A503" s="88" t="s">
        <v>3837</v>
      </c>
      <c r="B503" s="88" t="s">
        <v>2269</v>
      </c>
      <c r="C503" s="88" t="s">
        <v>3838</v>
      </c>
      <c r="D503" s="88" t="s">
        <v>3839</v>
      </c>
      <c r="E503" s="88" t="s">
        <v>2254</v>
      </c>
      <c r="F503" s="88" t="s">
        <v>2267</v>
      </c>
      <c r="G503" s="88" t="s">
        <v>2256</v>
      </c>
      <c r="H503" s="89" t="s">
        <v>3834</v>
      </c>
      <c r="I503" s="89" t="s">
        <v>3835</v>
      </c>
      <c r="J503" s="89" t="s">
        <v>3836</v>
      </c>
      <c r="K503" s="88" t="s">
        <v>2256</v>
      </c>
      <c r="L503" s="90">
        <v>2500</v>
      </c>
    </row>
    <row r="504" spans="1:12" x14ac:dyDescent="0.3">
      <c r="A504" s="88" t="s">
        <v>3840</v>
      </c>
      <c r="B504" s="88" t="s">
        <v>2251</v>
      </c>
      <c r="C504" s="88" t="s">
        <v>3841</v>
      </c>
      <c r="D504" s="88" t="s">
        <v>3842</v>
      </c>
      <c r="E504" s="88" t="s">
        <v>2254</v>
      </c>
      <c r="F504" s="88" t="s">
        <v>2255</v>
      </c>
      <c r="G504" s="88" t="s">
        <v>2256</v>
      </c>
      <c r="H504" s="89" t="s">
        <v>3834</v>
      </c>
      <c r="I504" s="89" t="s">
        <v>3835</v>
      </c>
      <c r="J504" s="89" t="s">
        <v>3836</v>
      </c>
      <c r="K504" s="88" t="s">
        <v>2256</v>
      </c>
      <c r="L504" s="90">
        <v>90000</v>
      </c>
    </row>
    <row r="505" spans="1:12" x14ac:dyDescent="0.3">
      <c r="A505" s="88" t="s">
        <v>3843</v>
      </c>
      <c r="B505" s="88" t="s">
        <v>2269</v>
      </c>
      <c r="C505" s="88" t="s">
        <v>3844</v>
      </c>
      <c r="D505" s="88" t="s">
        <v>3845</v>
      </c>
      <c r="E505" s="88" t="s">
        <v>2254</v>
      </c>
      <c r="F505" s="88" t="s">
        <v>2267</v>
      </c>
      <c r="G505" s="88" t="s">
        <v>2256</v>
      </c>
      <c r="H505" s="89" t="s">
        <v>3834</v>
      </c>
      <c r="I505" s="89" t="s">
        <v>3835</v>
      </c>
      <c r="J505" s="89" t="s">
        <v>3836</v>
      </c>
      <c r="K505" s="88" t="s">
        <v>2256</v>
      </c>
      <c r="L505" s="90">
        <v>30000</v>
      </c>
    </row>
    <row r="506" spans="1:12" x14ac:dyDescent="0.3">
      <c r="A506" s="88" t="s">
        <v>3846</v>
      </c>
      <c r="B506" s="88" t="s">
        <v>2260</v>
      </c>
      <c r="C506" s="88" t="s">
        <v>3847</v>
      </c>
      <c r="D506" s="88" t="s">
        <v>3848</v>
      </c>
      <c r="E506" s="88" t="s">
        <v>2254</v>
      </c>
      <c r="F506" s="88" t="s">
        <v>2262</v>
      </c>
      <c r="G506" s="88" t="s">
        <v>2256</v>
      </c>
      <c r="H506" s="89" t="s">
        <v>3834</v>
      </c>
      <c r="I506" s="89" t="s">
        <v>3835</v>
      </c>
      <c r="J506" s="89" t="s">
        <v>3836</v>
      </c>
      <c r="K506" s="88" t="s">
        <v>2256</v>
      </c>
      <c r="L506" s="90">
        <v>35000</v>
      </c>
    </row>
    <row r="507" spans="1:12" x14ac:dyDescent="0.3">
      <c r="A507" s="88" t="s">
        <v>3849</v>
      </c>
      <c r="B507" s="88" t="s">
        <v>2269</v>
      </c>
      <c r="C507" s="88" t="s">
        <v>3850</v>
      </c>
      <c r="D507" s="88" t="s">
        <v>3851</v>
      </c>
      <c r="E507" s="88" t="s">
        <v>2254</v>
      </c>
      <c r="F507" s="88" t="s">
        <v>2267</v>
      </c>
      <c r="G507" s="88" t="s">
        <v>2256</v>
      </c>
      <c r="H507" s="89" t="s">
        <v>3834</v>
      </c>
      <c r="I507" s="89" t="s">
        <v>3835</v>
      </c>
      <c r="J507" s="89" t="s">
        <v>3836</v>
      </c>
      <c r="K507" s="88" t="s">
        <v>2256</v>
      </c>
      <c r="L507" s="90">
        <v>100000</v>
      </c>
    </row>
    <row r="508" spans="1:12" x14ac:dyDescent="0.3">
      <c r="A508" s="88" t="s">
        <v>3852</v>
      </c>
      <c r="B508" s="88" t="s">
        <v>2264</v>
      </c>
      <c r="C508" s="88" t="s">
        <v>3853</v>
      </c>
      <c r="D508" s="88" t="s">
        <v>3854</v>
      </c>
      <c r="E508" s="88" t="s">
        <v>2254</v>
      </c>
      <c r="F508" s="88" t="s">
        <v>2267</v>
      </c>
      <c r="G508" s="88" t="s">
        <v>2256</v>
      </c>
      <c r="H508" s="89" t="s">
        <v>3834</v>
      </c>
      <c r="I508" s="89" t="s">
        <v>3835</v>
      </c>
      <c r="J508" s="89" t="s">
        <v>3836</v>
      </c>
      <c r="K508" s="88" t="s">
        <v>2256</v>
      </c>
      <c r="L508" s="90">
        <v>0</v>
      </c>
    </row>
    <row r="509" spans="1:12" x14ac:dyDescent="0.3">
      <c r="A509" s="88" t="s">
        <v>3855</v>
      </c>
      <c r="B509" s="88" t="s">
        <v>2251</v>
      </c>
      <c r="C509" s="88" t="s">
        <v>3856</v>
      </c>
      <c r="D509" s="88" t="s">
        <v>3857</v>
      </c>
      <c r="E509" s="88" t="s">
        <v>2254</v>
      </c>
      <c r="F509" s="88" t="s">
        <v>2267</v>
      </c>
      <c r="G509" s="88" t="s">
        <v>2256</v>
      </c>
      <c r="H509" s="89" t="s">
        <v>3834</v>
      </c>
      <c r="I509" s="89" t="s">
        <v>3835</v>
      </c>
      <c r="J509" s="89" t="s">
        <v>3836</v>
      </c>
      <c r="K509" s="88" t="s">
        <v>2256</v>
      </c>
      <c r="L509" s="90">
        <v>2500</v>
      </c>
    </row>
    <row r="510" spans="1:12" x14ac:dyDescent="0.3">
      <c r="A510" s="88" t="s">
        <v>3858</v>
      </c>
      <c r="B510" s="88" t="s">
        <v>2264</v>
      </c>
      <c r="C510" s="88" t="s">
        <v>3859</v>
      </c>
      <c r="D510" s="88" t="s">
        <v>3860</v>
      </c>
      <c r="E510" s="88" t="s">
        <v>2254</v>
      </c>
      <c r="F510" s="88" t="s">
        <v>2267</v>
      </c>
      <c r="G510" s="88" t="s">
        <v>2256</v>
      </c>
      <c r="H510" s="89" t="s">
        <v>3834</v>
      </c>
      <c r="I510" s="89" t="s">
        <v>3861</v>
      </c>
      <c r="J510" s="89" t="s">
        <v>3862</v>
      </c>
      <c r="K510" s="88" t="s">
        <v>2256</v>
      </c>
      <c r="L510" s="90">
        <v>300000</v>
      </c>
    </row>
    <row r="511" spans="1:12" x14ac:dyDescent="0.3">
      <c r="A511" s="88" t="s">
        <v>3863</v>
      </c>
      <c r="B511" s="88" t="s">
        <v>2260</v>
      </c>
      <c r="C511" s="88" t="s">
        <v>3864</v>
      </c>
      <c r="D511" s="88" t="s">
        <v>3864</v>
      </c>
      <c r="E511" s="88" t="s">
        <v>2254</v>
      </c>
      <c r="F511" s="88" t="s">
        <v>2363</v>
      </c>
      <c r="G511" s="88" t="s">
        <v>2256</v>
      </c>
      <c r="H511" s="89" t="s">
        <v>3834</v>
      </c>
      <c r="I511" s="89" t="s">
        <v>3861</v>
      </c>
      <c r="J511" s="89" t="s">
        <v>3862</v>
      </c>
      <c r="K511" s="88" t="s">
        <v>2256</v>
      </c>
      <c r="L511" s="90">
        <v>15000</v>
      </c>
    </row>
    <row r="512" spans="1:12" x14ac:dyDescent="0.3">
      <c r="A512" s="88" t="s">
        <v>3865</v>
      </c>
      <c r="B512" s="88" t="s">
        <v>2322</v>
      </c>
      <c r="C512" s="88" t="s">
        <v>3866</v>
      </c>
      <c r="D512" s="88" t="s">
        <v>3867</v>
      </c>
      <c r="E512" s="88" t="s">
        <v>2254</v>
      </c>
      <c r="F512" s="88" t="s">
        <v>2262</v>
      </c>
      <c r="G512" s="88" t="s">
        <v>2256</v>
      </c>
      <c r="H512" s="89" t="s">
        <v>3834</v>
      </c>
      <c r="I512" s="89" t="s">
        <v>3861</v>
      </c>
      <c r="J512" s="89" t="s">
        <v>3862</v>
      </c>
      <c r="K512" s="88" t="s">
        <v>2256</v>
      </c>
      <c r="L512" s="90">
        <v>0</v>
      </c>
    </row>
    <row r="513" spans="1:12" x14ac:dyDescent="0.3">
      <c r="A513" s="88" t="s">
        <v>3868</v>
      </c>
      <c r="B513" s="88" t="s">
        <v>2251</v>
      </c>
      <c r="C513" s="88" t="s">
        <v>3869</v>
      </c>
      <c r="D513" s="88" t="s">
        <v>3867</v>
      </c>
      <c r="E513" s="88" t="s">
        <v>2254</v>
      </c>
      <c r="F513" s="88" t="s">
        <v>2255</v>
      </c>
      <c r="G513" s="88" t="s">
        <v>2256</v>
      </c>
      <c r="H513" s="89" t="s">
        <v>3834</v>
      </c>
      <c r="I513" s="89" t="s">
        <v>3861</v>
      </c>
      <c r="J513" s="89" t="s">
        <v>3862</v>
      </c>
      <c r="K513" s="88" t="s">
        <v>2256</v>
      </c>
      <c r="L513" s="90">
        <v>0</v>
      </c>
    </row>
    <row r="514" spans="1:12" x14ac:dyDescent="0.3">
      <c r="A514" s="88" t="s">
        <v>3870</v>
      </c>
      <c r="B514" s="88" t="s">
        <v>2260</v>
      </c>
      <c r="C514" s="88" t="s">
        <v>3871</v>
      </c>
      <c r="D514" s="88" t="s">
        <v>3872</v>
      </c>
      <c r="E514" s="88" t="s">
        <v>2254</v>
      </c>
      <c r="F514" s="88" t="s">
        <v>2262</v>
      </c>
      <c r="G514" s="88" t="s">
        <v>2256</v>
      </c>
      <c r="H514" s="89" t="s">
        <v>3834</v>
      </c>
      <c r="I514" s="89" t="s">
        <v>3861</v>
      </c>
      <c r="J514" s="89" t="s">
        <v>3862</v>
      </c>
      <c r="K514" s="88" t="s">
        <v>2256</v>
      </c>
      <c r="L514" s="90">
        <v>0</v>
      </c>
    </row>
    <row r="515" spans="1:12" x14ac:dyDescent="0.3">
      <c r="A515" s="88" t="s">
        <v>3873</v>
      </c>
      <c r="B515" s="88" t="s">
        <v>2269</v>
      </c>
      <c r="C515" s="88" t="s">
        <v>3874</v>
      </c>
      <c r="D515" s="88" t="s">
        <v>3874</v>
      </c>
      <c r="E515" s="88" t="s">
        <v>2254</v>
      </c>
      <c r="F515" s="88" t="s">
        <v>2267</v>
      </c>
      <c r="G515" s="88" t="s">
        <v>2256</v>
      </c>
      <c r="H515" s="89" t="s">
        <v>3834</v>
      </c>
      <c r="I515" s="89" t="s">
        <v>3861</v>
      </c>
      <c r="J515" s="89" t="s">
        <v>3862</v>
      </c>
      <c r="K515" s="88" t="s">
        <v>2256</v>
      </c>
      <c r="L515" s="90">
        <v>0</v>
      </c>
    </row>
    <row r="516" spans="1:12" x14ac:dyDescent="0.3">
      <c r="A516" s="88" t="s">
        <v>3875</v>
      </c>
      <c r="B516" s="88" t="s">
        <v>2269</v>
      </c>
      <c r="C516" s="88" t="s">
        <v>3876</v>
      </c>
      <c r="D516" s="88" t="s">
        <v>3876</v>
      </c>
      <c r="E516" s="88" t="s">
        <v>2254</v>
      </c>
      <c r="F516" s="88" t="s">
        <v>2267</v>
      </c>
      <c r="G516" s="88" t="s">
        <v>2256</v>
      </c>
      <c r="H516" s="89" t="s">
        <v>3834</v>
      </c>
      <c r="I516" s="89" t="s">
        <v>3861</v>
      </c>
      <c r="J516" s="89" t="s">
        <v>3862</v>
      </c>
      <c r="K516" s="88" t="s">
        <v>2256</v>
      </c>
      <c r="L516" s="90">
        <v>0</v>
      </c>
    </row>
    <row r="517" spans="1:12" x14ac:dyDescent="0.3">
      <c r="A517" s="88" t="s">
        <v>3877</v>
      </c>
      <c r="B517" s="88" t="s">
        <v>2260</v>
      </c>
      <c r="C517" s="88" t="s">
        <v>3878</v>
      </c>
      <c r="D517" s="88" t="s">
        <v>3879</v>
      </c>
      <c r="E517" s="88" t="s">
        <v>2254</v>
      </c>
      <c r="F517" s="88" t="s">
        <v>2267</v>
      </c>
      <c r="G517" s="88" t="s">
        <v>2256</v>
      </c>
      <c r="H517" s="89" t="s">
        <v>3834</v>
      </c>
      <c r="I517" s="89" t="s">
        <v>3861</v>
      </c>
      <c r="J517" s="89" t="s">
        <v>3862</v>
      </c>
      <c r="K517" s="88" t="s">
        <v>2256</v>
      </c>
      <c r="L517" s="90">
        <v>10000</v>
      </c>
    </row>
    <row r="518" spans="1:12" x14ac:dyDescent="0.3">
      <c r="A518" s="88" t="s">
        <v>3880</v>
      </c>
      <c r="B518" s="88" t="s">
        <v>2269</v>
      </c>
      <c r="C518" s="88" t="s">
        <v>3881</v>
      </c>
      <c r="D518" s="88" t="s">
        <v>3882</v>
      </c>
      <c r="E518" s="88" t="s">
        <v>2254</v>
      </c>
      <c r="F518" s="88" t="s">
        <v>2284</v>
      </c>
      <c r="G518" s="88" t="s">
        <v>2256</v>
      </c>
      <c r="H518" s="89" t="s">
        <v>3834</v>
      </c>
      <c r="I518" s="89" t="s">
        <v>3861</v>
      </c>
      <c r="J518" s="89" t="s">
        <v>3862</v>
      </c>
      <c r="K518" s="88" t="s">
        <v>2256</v>
      </c>
      <c r="L518" s="90">
        <v>80000</v>
      </c>
    </row>
    <row r="519" spans="1:12" x14ac:dyDescent="0.3">
      <c r="A519" s="88" t="s">
        <v>3883</v>
      </c>
      <c r="B519" s="88" t="s">
        <v>2269</v>
      </c>
      <c r="C519" s="88" t="s">
        <v>3884</v>
      </c>
      <c r="D519" s="88" t="s">
        <v>3885</v>
      </c>
      <c r="E519" s="88" t="s">
        <v>2254</v>
      </c>
      <c r="F519" s="88" t="s">
        <v>2267</v>
      </c>
      <c r="G519" s="88" t="s">
        <v>2256</v>
      </c>
      <c r="H519" s="89" t="s">
        <v>3834</v>
      </c>
      <c r="I519" s="89" t="s">
        <v>3861</v>
      </c>
      <c r="J519" s="89" t="s">
        <v>3862</v>
      </c>
      <c r="K519" s="88" t="s">
        <v>2256</v>
      </c>
      <c r="L519" s="90">
        <v>75000</v>
      </c>
    </row>
    <row r="520" spans="1:12" x14ac:dyDescent="0.3">
      <c r="A520" s="88" t="s">
        <v>3886</v>
      </c>
      <c r="B520" s="88" t="s">
        <v>2251</v>
      </c>
      <c r="C520" s="88" t="s">
        <v>3887</v>
      </c>
      <c r="D520" s="88" t="s">
        <v>3888</v>
      </c>
      <c r="E520" s="88" t="s">
        <v>2254</v>
      </c>
      <c r="F520" s="88" t="s">
        <v>2255</v>
      </c>
      <c r="G520" s="88" t="s">
        <v>2256</v>
      </c>
      <c r="H520" s="89" t="s">
        <v>3834</v>
      </c>
      <c r="I520" s="89" t="s">
        <v>3861</v>
      </c>
      <c r="J520" s="89" t="s">
        <v>3862</v>
      </c>
      <c r="K520" s="88" t="s">
        <v>2256</v>
      </c>
      <c r="L520" s="90">
        <v>15000</v>
      </c>
    </row>
    <row r="521" spans="1:12" x14ac:dyDescent="0.3">
      <c r="A521" s="88" t="s">
        <v>3889</v>
      </c>
      <c r="B521" s="88" t="s">
        <v>2251</v>
      </c>
      <c r="C521" s="88" t="s">
        <v>3890</v>
      </c>
      <c r="D521" s="88" t="s">
        <v>3891</v>
      </c>
      <c r="E521" s="88" t="s">
        <v>2254</v>
      </c>
      <c r="F521" s="88" t="s">
        <v>2255</v>
      </c>
      <c r="G521" s="88" t="s">
        <v>2256</v>
      </c>
      <c r="H521" s="89" t="s">
        <v>3834</v>
      </c>
      <c r="I521" s="89" t="s">
        <v>3892</v>
      </c>
      <c r="J521" s="89" t="s">
        <v>3893</v>
      </c>
      <c r="K521" s="88" t="s">
        <v>2256</v>
      </c>
      <c r="L521" s="90">
        <v>0</v>
      </c>
    </row>
    <row r="522" spans="1:12" x14ac:dyDescent="0.3">
      <c r="A522" s="88" t="s">
        <v>3894</v>
      </c>
      <c r="B522" s="88" t="s">
        <v>2269</v>
      </c>
      <c r="C522" s="88" t="s">
        <v>3895</v>
      </c>
      <c r="D522" s="88" t="s">
        <v>3896</v>
      </c>
      <c r="E522" s="88" t="s">
        <v>2254</v>
      </c>
      <c r="F522" s="88" t="s">
        <v>2267</v>
      </c>
      <c r="G522" s="88" t="s">
        <v>2256</v>
      </c>
      <c r="H522" s="89" t="s">
        <v>3834</v>
      </c>
      <c r="I522" s="89" t="s">
        <v>3892</v>
      </c>
      <c r="J522" s="89" t="s">
        <v>3893</v>
      </c>
      <c r="K522" s="88" t="s">
        <v>2256</v>
      </c>
      <c r="L522" s="90">
        <v>0</v>
      </c>
    </row>
    <row r="523" spans="1:12" x14ac:dyDescent="0.3">
      <c r="A523" s="88" t="s">
        <v>3897</v>
      </c>
      <c r="B523" s="88" t="s">
        <v>2269</v>
      </c>
      <c r="C523" s="88" t="s">
        <v>3898</v>
      </c>
      <c r="D523" s="88" t="s">
        <v>3899</v>
      </c>
      <c r="E523" s="88" t="s">
        <v>2254</v>
      </c>
      <c r="F523" s="88" t="s">
        <v>2267</v>
      </c>
      <c r="G523" s="88" t="s">
        <v>2256</v>
      </c>
      <c r="H523" s="89" t="s">
        <v>3834</v>
      </c>
      <c r="I523" s="89" t="s">
        <v>3892</v>
      </c>
      <c r="J523" s="89" t="s">
        <v>3893</v>
      </c>
      <c r="K523" s="88" t="s">
        <v>2256</v>
      </c>
      <c r="L523" s="90">
        <v>0</v>
      </c>
    </row>
    <row r="524" spans="1:12" x14ac:dyDescent="0.3">
      <c r="A524" s="88" t="s">
        <v>3900</v>
      </c>
      <c r="B524" s="88" t="s">
        <v>2251</v>
      </c>
      <c r="C524" s="88" t="s">
        <v>3901</v>
      </c>
      <c r="D524" s="88" t="s">
        <v>3902</v>
      </c>
      <c r="E524" s="88" t="s">
        <v>2254</v>
      </c>
      <c r="F524" s="88" t="s">
        <v>2255</v>
      </c>
      <c r="G524" s="88" t="s">
        <v>2256</v>
      </c>
      <c r="H524" s="89" t="s">
        <v>3834</v>
      </c>
      <c r="I524" s="89" t="s">
        <v>3892</v>
      </c>
      <c r="J524" s="89" t="s">
        <v>3893</v>
      </c>
      <c r="K524" s="88" t="s">
        <v>2256</v>
      </c>
      <c r="L524" s="90">
        <v>0</v>
      </c>
    </row>
    <row r="525" spans="1:12" x14ac:dyDescent="0.3">
      <c r="A525" s="88" t="s">
        <v>3903</v>
      </c>
      <c r="B525" s="88" t="s">
        <v>2322</v>
      </c>
      <c r="C525" s="88" t="s">
        <v>3904</v>
      </c>
      <c r="D525" s="88" t="s">
        <v>3905</v>
      </c>
      <c r="E525" s="88" t="s">
        <v>2254</v>
      </c>
      <c r="F525" s="88" t="s">
        <v>2262</v>
      </c>
      <c r="G525" s="88" t="s">
        <v>2256</v>
      </c>
      <c r="H525" s="89" t="s">
        <v>3834</v>
      </c>
      <c r="I525" s="89" t="s">
        <v>3892</v>
      </c>
      <c r="J525" s="89" t="s">
        <v>3893</v>
      </c>
      <c r="K525" s="88" t="s">
        <v>2256</v>
      </c>
      <c r="L525" s="90">
        <v>55000</v>
      </c>
    </row>
    <row r="526" spans="1:12" x14ac:dyDescent="0.3">
      <c r="A526" s="88" t="s">
        <v>3906</v>
      </c>
      <c r="B526" s="88" t="s">
        <v>2251</v>
      </c>
      <c r="C526" s="88" t="s">
        <v>3907</v>
      </c>
      <c r="D526" s="88" t="s">
        <v>3908</v>
      </c>
      <c r="E526" s="88" t="s">
        <v>2254</v>
      </c>
      <c r="F526" s="88" t="s">
        <v>2255</v>
      </c>
      <c r="G526" s="88" t="s">
        <v>2256</v>
      </c>
      <c r="H526" s="89" t="s">
        <v>3834</v>
      </c>
      <c r="I526" s="89" t="s">
        <v>3892</v>
      </c>
      <c r="J526" s="89" t="s">
        <v>3893</v>
      </c>
      <c r="K526" s="88" t="s">
        <v>2256</v>
      </c>
      <c r="L526" s="90">
        <v>0</v>
      </c>
    </row>
    <row r="527" spans="1:12" x14ac:dyDescent="0.3">
      <c r="A527" s="88" t="s">
        <v>3909</v>
      </c>
      <c r="B527" s="88" t="s">
        <v>3613</v>
      </c>
      <c r="C527" s="88" t="s">
        <v>3910</v>
      </c>
      <c r="D527" s="88" t="s">
        <v>3911</v>
      </c>
      <c r="E527" s="88" t="s">
        <v>3675</v>
      </c>
      <c r="F527" s="88" t="s">
        <v>3616</v>
      </c>
      <c r="G527" s="88" t="s">
        <v>2256</v>
      </c>
      <c r="H527" s="89" t="s">
        <v>3834</v>
      </c>
      <c r="I527" s="89" t="s">
        <v>3892</v>
      </c>
      <c r="J527" s="89" t="s">
        <v>3893</v>
      </c>
      <c r="K527" s="88" t="s">
        <v>2256</v>
      </c>
      <c r="L527" s="90">
        <v>0</v>
      </c>
    </row>
    <row r="528" spans="1:12" x14ac:dyDescent="0.3">
      <c r="A528" s="88" t="s">
        <v>3912</v>
      </c>
      <c r="B528" s="88" t="s">
        <v>2269</v>
      </c>
      <c r="C528" s="88" t="s">
        <v>3913</v>
      </c>
      <c r="D528" s="88" t="s">
        <v>3911</v>
      </c>
      <c r="E528" s="88" t="s">
        <v>2254</v>
      </c>
      <c r="F528" s="88" t="s">
        <v>2267</v>
      </c>
      <c r="G528" s="88" t="s">
        <v>2256</v>
      </c>
      <c r="H528" s="89" t="s">
        <v>3834</v>
      </c>
      <c r="I528" s="89" t="s">
        <v>3892</v>
      </c>
      <c r="J528" s="89" t="s">
        <v>3893</v>
      </c>
      <c r="K528" s="88" t="s">
        <v>2256</v>
      </c>
      <c r="L528" s="90">
        <v>0</v>
      </c>
    </row>
    <row r="529" spans="1:12" x14ac:dyDescent="0.3">
      <c r="A529" s="88" t="s">
        <v>3914</v>
      </c>
      <c r="B529" s="88" t="s">
        <v>2251</v>
      </c>
      <c r="C529" s="88" t="s">
        <v>3915</v>
      </c>
      <c r="D529" s="88" t="s">
        <v>3916</v>
      </c>
      <c r="E529" s="88" t="s">
        <v>2254</v>
      </c>
      <c r="F529" s="88" t="s">
        <v>2255</v>
      </c>
      <c r="G529" s="88" t="s">
        <v>2256</v>
      </c>
      <c r="H529" s="89" t="s">
        <v>3917</v>
      </c>
      <c r="I529" s="89" t="s">
        <v>3918</v>
      </c>
      <c r="J529" s="89" t="s">
        <v>3919</v>
      </c>
      <c r="K529" s="88" t="s">
        <v>2256</v>
      </c>
      <c r="L529" s="90">
        <v>40000</v>
      </c>
    </row>
    <row r="530" spans="1:12" x14ac:dyDescent="0.3">
      <c r="A530" s="88" t="s">
        <v>3920</v>
      </c>
      <c r="B530" s="88" t="s">
        <v>2251</v>
      </c>
      <c r="C530" s="88" t="s">
        <v>3921</v>
      </c>
      <c r="D530" s="88" t="s">
        <v>3922</v>
      </c>
      <c r="E530" s="88" t="s">
        <v>2254</v>
      </c>
      <c r="F530" s="88" t="s">
        <v>2255</v>
      </c>
      <c r="G530" s="88" t="s">
        <v>2256</v>
      </c>
      <c r="H530" s="89" t="s">
        <v>3917</v>
      </c>
      <c r="I530" s="89" t="s">
        <v>3918</v>
      </c>
      <c r="J530" s="89" t="s">
        <v>3919</v>
      </c>
      <c r="K530" s="88" t="s">
        <v>2256</v>
      </c>
      <c r="L530" s="90">
        <v>0</v>
      </c>
    </row>
    <row r="531" spans="1:12" x14ac:dyDescent="0.3">
      <c r="A531" s="88" t="s">
        <v>3923</v>
      </c>
      <c r="B531" s="88" t="s">
        <v>2449</v>
      </c>
      <c r="C531" s="88" t="s">
        <v>3924</v>
      </c>
      <c r="D531" s="88" t="s">
        <v>3925</v>
      </c>
      <c r="E531" s="88" t="s">
        <v>2254</v>
      </c>
      <c r="F531" s="88" t="s">
        <v>2267</v>
      </c>
      <c r="G531" s="88" t="s">
        <v>2256</v>
      </c>
      <c r="H531" s="89" t="s">
        <v>3917</v>
      </c>
      <c r="I531" s="89" t="s">
        <v>3918</v>
      </c>
      <c r="J531" s="89" t="s">
        <v>3919</v>
      </c>
      <c r="K531" s="88" t="s">
        <v>2256</v>
      </c>
      <c r="L531" s="90">
        <v>20000</v>
      </c>
    </row>
    <row r="532" spans="1:12" x14ac:dyDescent="0.3">
      <c r="A532" s="88" t="s">
        <v>3926</v>
      </c>
      <c r="B532" s="88" t="s">
        <v>2449</v>
      </c>
      <c r="C532" s="88" t="s">
        <v>3927</v>
      </c>
      <c r="D532" s="88" t="s">
        <v>3928</v>
      </c>
      <c r="E532" s="88" t="s">
        <v>2254</v>
      </c>
      <c r="F532" s="88" t="s">
        <v>2267</v>
      </c>
      <c r="G532" s="88" t="s">
        <v>2256</v>
      </c>
      <c r="H532" s="89" t="s">
        <v>3917</v>
      </c>
      <c r="I532" s="89" t="s">
        <v>3918</v>
      </c>
      <c r="J532" s="89" t="s">
        <v>3919</v>
      </c>
      <c r="K532" s="88" t="s">
        <v>2256</v>
      </c>
      <c r="L532" s="90">
        <v>0</v>
      </c>
    </row>
    <row r="533" spans="1:12" x14ac:dyDescent="0.3">
      <c r="A533" s="88" t="s">
        <v>3929</v>
      </c>
      <c r="B533" s="88" t="s">
        <v>2449</v>
      </c>
      <c r="C533" s="88" t="s">
        <v>3930</v>
      </c>
      <c r="D533" s="88" t="s">
        <v>3931</v>
      </c>
      <c r="E533" s="88" t="s">
        <v>2254</v>
      </c>
      <c r="F533" s="88" t="s">
        <v>2267</v>
      </c>
      <c r="G533" s="88" t="s">
        <v>2256</v>
      </c>
      <c r="H533" s="89" t="s">
        <v>3917</v>
      </c>
      <c r="I533" s="89" t="s">
        <v>3918</v>
      </c>
      <c r="J533" s="89" t="s">
        <v>3919</v>
      </c>
      <c r="K533" s="88" t="s">
        <v>2256</v>
      </c>
      <c r="L533" s="90">
        <v>0</v>
      </c>
    </row>
    <row r="534" spans="1:12" x14ac:dyDescent="0.3">
      <c r="A534" s="88" t="s">
        <v>3932</v>
      </c>
      <c r="B534" s="88" t="s">
        <v>2269</v>
      </c>
      <c r="C534" s="88" t="s">
        <v>3933</v>
      </c>
      <c r="D534" s="88" t="s">
        <v>3934</v>
      </c>
      <c r="E534" s="88" t="s">
        <v>2254</v>
      </c>
      <c r="F534" s="88" t="s">
        <v>2267</v>
      </c>
      <c r="G534" s="88" t="s">
        <v>2256</v>
      </c>
      <c r="H534" s="89" t="s">
        <v>3917</v>
      </c>
      <c r="I534" s="89" t="s">
        <v>3918</v>
      </c>
      <c r="J534" s="89" t="s">
        <v>3919</v>
      </c>
      <c r="K534" s="88" t="s">
        <v>2256</v>
      </c>
      <c r="L534" s="90">
        <v>105000</v>
      </c>
    </row>
    <row r="535" spans="1:12" x14ac:dyDescent="0.3">
      <c r="A535" s="88" t="s">
        <v>3935</v>
      </c>
      <c r="B535" s="88" t="s">
        <v>2269</v>
      </c>
      <c r="C535" s="88" t="s">
        <v>3936</v>
      </c>
      <c r="D535" s="88" t="s">
        <v>3936</v>
      </c>
      <c r="E535" s="88" t="s">
        <v>2254</v>
      </c>
      <c r="F535" s="88" t="s">
        <v>2267</v>
      </c>
      <c r="G535" s="88" t="s">
        <v>2256</v>
      </c>
      <c r="H535" s="89" t="s">
        <v>3917</v>
      </c>
      <c r="I535" s="89" t="s">
        <v>3918</v>
      </c>
      <c r="J535" s="89" t="s">
        <v>3919</v>
      </c>
      <c r="K535" s="88" t="s">
        <v>2256</v>
      </c>
      <c r="L535" s="90">
        <v>130000</v>
      </c>
    </row>
    <row r="536" spans="1:12" x14ac:dyDescent="0.3">
      <c r="A536" s="88" t="s">
        <v>3937</v>
      </c>
      <c r="B536" s="88" t="s">
        <v>2269</v>
      </c>
      <c r="C536" s="88" t="s">
        <v>3938</v>
      </c>
      <c r="D536" s="88" t="s">
        <v>3939</v>
      </c>
      <c r="E536" s="88" t="s">
        <v>2254</v>
      </c>
      <c r="F536" s="88" t="s">
        <v>2267</v>
      </c>
      <c r="G536" s="88" t="s">
        <v>2256</v>
      </c>
      <c r="H536" s="89" t="s">
        <v>3917</v>
      </c>
      <c r="I536" s="89" t="s">
        <v>3918</v>
      </c>
      <c r="J536" s="89" t="s">
        <v>3919</v>
      </c>
      <c r="K536" s="88" t="s">
        <v>2256</v>
      </c>
      <c r="L536" s="90">
        <v>0</v>
      </c>
    </row>
    <row r="537" spans="1:12" x14ac:dyDescent="0.3">
      <c r="A537" s="88" t="s">
        <v>3940</v>
      </c>
      <c r="B537" s="88" t="s">
        <v>2269</v>
      </c>
      <c r="C537" s="88" t="s">
        <v>3941</v>
      </c>
      <c r="D537" s="88" t="s">
        <v>3942</v>
      </c>
      <c r="E537" s="88" t="s">
        <v>2254</v>
      </c>
      <c r="F537" s="88" t="s">
        <v>2267</v>
      </c>
      <c r="G537" s="88" t="s">
        <v>2256</v>
      </c>
      <c r="H537" s="89" t="s">
        <v>3917</v>
      </c>
      <c r="I537" s="89" t="s">
        <v>3918</v>
      </c>
      <c r="J537" s="89" t="s">
        <v>3919</v>
      </c>
      <c r="K537" s="88" t="s">
        <v>2256</v>
      </c>
      <c r="L537" s="90">
        <v>0</v>
      </c>
    </row>
    <row r="538" spans="1:12" x14ac:dyDescent="0.3">
      <c r="A538" s="88" t="s">
        <v>3943</v>
      </c>
      <c r="B538" s="88" t="s">
        <v>2251</v>
      </c>
      <c r="C538" s="88" t="s">
        <v>3944</v>
      </c>
      <c r="D538" s="88" t="s">
        <v>3945</v>
      </c>
      <c r="E538" s="88" t="s">
        <v>2254</v>
      </c>
      <c r="F538" s="88" t="s">
        <v>2255</v>
      </c>
      <c r="G538" s="88" t="s">
        <v>2256</v>
      </c>
      <c r="H538" s="89" t="s">
        <v>3917</v>
      </c>
      <c r="I538" s="89" t="s">
        <v>3918</v>
      </c>
      <c r="J538" s="89" t="s">
        <v>3919</v>
      </c>
      <c r="K538" s="88" t="s">
        <v>2256</v>
      </c>
      <c r="L538" s="90">
        <v>0</v>
      </c>
    </row>
    <row r="539" spans="1:12" x14ac:dyDescent="0.3">
      <c r="A539" s="88" t="s">
        <v>3946</v>
      </c>
      <c r="B539" s="88" t="s">
        <v>2269</v>
      </c>
      <c r="C539" s="88" t="s">
        <v>3947</v>
      </c>
      <c r="D539" s="88" t="s">
        <v>3948</v>
      </c>
      <c r="E539" s="88" t="s">
        <v>2254</v>
      </c>
      <c r="F539" s="88" t="s">
        <v>2267</v>
      </c>
      <c r="G539" s="88" t="s">
        <v>2256</v>
      </c>
      <c r="H539" s="89" t="s">
        <v>3917</v>
      </c>
      <c r="I539" s="89" t="s">
        <v>3918</v>
      </c>
      <c r="J539" s="89" t="s">
        <v>3919</v>
      </c>
      <c r="K539" s="88" t="s">
        <v>2256</v>
      </c>
      <c r="L539" s="90">
        <v>15000</v>
      </c>
    </row>
    <row r="540" spans="1:12" x14ac:dyDescent="0.3">
      <c r="A540" s="88" t="s">
        <v>3949</v>
      </c>
      <c r="B540" s="88" t="s">
        <v>2260</v>
      </c>
      <c r="C540" s="88" t="s">
        <v>3950</v>
      </c>
      <c r="D540" s="88" t="s">
        <v>3951</v>
      </c>
      <c r="E540" s="88" t="s">
        <v>2254</v>
      </c>
      <c r="F540" s="88" t="s">
        <v>2267</v>
      </c>
      <c r="G540" s="88" t="s">
        <v>2256</v>
      </c>
      <c r="H540" s="89" t="s">
        <v>3917</v>
      </c>
      <c r="I540" s="89" t="s">
        <v>3918</v>
      </c>
      <c r="J540" s="89" t="s">
        <v>3919</v>
      </c>
      <c r="K540" s="88" t="s">
        <v>2256</v>
      </c>
      <c r="L540" s="90">
        <v>27000</v>
      </c>
    </row>
    <row r="541" spans="1:12" x14ac:dyDescent="0.3">
      <c r="A541" s="88" t="s">
        <v>3952</v>
      </c>
      <c r="B541" s="88" t="s">
        <v>2264</v>
      </c>
      <c r="C541" s="88" t="s">
        <v>3953</v>
      </c>
      <c r="D541" s="88" t="s">
        <v>3954</v>
      </c>
      <c r="E541" s="88" t="s">
        <v>2254</v>
      </c>
      <c r="F541" s="88" t="s">
        <v>2267</v>
      </c>
      <c r="G541" s="88" t="s">
        <v>2256</v>
      </c>
      <c r="H541" s="89" t="s">
        <v>3917</v>
      </c>
      <c r="I541" s="89" t="s">
        <v>3918</v>
      </c>
      <c r="J541" s="89" t="s">
        <v>3919</v>
      </c>
      <c r="K541" s="88" t="s">
        <v>2256</v>
      </c>
      <c r="L541" s="90">
        <v>0</v>
      </c>
    </row>
    <row r="542" spans="1:12" x14ac:dyDescent="0.3">
      <c r="A542" s="88" t="s">
        <v>3955</v>
      </c>
      <c r="B542" s="88" t="s">
        <v>2269</v>
      </c>
      <c r="C542" s="88" t="s">
        <v>3956</v>
      </c>
      <c r="D542" s="88" t="s">
        <v>3957</v>
      </c>
      <c r="E542" s="88" t="s">
        <v>2254</v>
      </c>
      <c r="F542" s="88" t="s">
        <v>2267</v>
      </c>
      <c r="G542" s="88" t="s">
        <v>2256</v>
      </c>
      <c r="H542" s="89" t="s">
        <v>3917</v>
      </c>
      <c r="I542" s="89" t="s">
        <v>3918</v>
      </c>
      <c r="J542" s="89" t="s">
        <v>3919</v>
      </c>
      <c r="K542" s="88" t="s">
        <v>2256</v>
      </c>
      <c r="L542" s="90">
        <v>0</v>
      </c>
    </row>
    <row r="543" spans="1:12" x14ac:dyDescent="0.3">
      <c r="A543" s="88" t="s">
        <v>3958</v>
      </c>
      <c r="B543" s="88" t="s">
        <v>2269</v>
      </c>
      <c r="C543" s="88" t="s">
        <v>3959</v>
      </c>
      <c r="D543" s="88" t="s">
        <v>3960</v>
      </c>
      <c r="E543" s="88" t="s">
        <v>2254</v>
      </c>
      <c r="F543" s="88" t="s">
        <v>2267</v>
      </c>
      <c r="G543" s="88" t="s">
        <v>2256</v>
      </c>
      <c r="H543" s="89" t="s">
        <v>3917</v>
      </c>
      <c r="I543" s="89" t="s">
        <v>3918</v>
      </c>
      <c r="J543" s="89" t="s">
        <v>3919</v>
      </c>
      <c r="K543" s="88" t="s">
        <v>2256</v>
      </c>
      <c r="L543" s="90">
        <v>40000</v>
      </c>
    </row>
    <row r="544" spans="1:12" x14ac:dyDescent="0.3">
      <c r="A544" s="88" t="s">
        <v>3961</v>
      </c>
      <c r="B544" s="88" t="s">
        <v>2269</v>
      </c>
      <c r="C544" s="88" t="s">
        <v>3962</v>
      </c>
      <c r="D544" s="88" t="s">
        <v>3963</v>
      </c>
      <c r="E544" s="88" t="s">
        <v>2254</v>
      </c>
      <c r="F544" s="88" t="s">
        <v>2267</v>
      </c>
      <c r="G544" s="88" t="s">
        <v>2256</v>
      </c>
      <c r="H544" s="89" t="s">
        <v>3917</v>
      </c>
      <c r="I544" s="89" t="s">
        <v>3918</v>
      </c>
      <c r="J544" s="89" t="s">
        <v>3919</v>
      </c>
      <c r="K544" s="88" t="s">
        <v>2256</v>
      </c>
      <c r="L544" s="90">
        <v>0</v>
      </c>
    </row>
    <row r="545" spans="1:12" x14ac:dyDescent="0.3">
      <c r="A545" s="88" t="s">
        <v>3964</v>
      </c>
      <c r="B545" s="88" t="s">
        <v>2269</v>
      </c>
      <c r="C545" s="88" t="s">
        <v>3965</v>
      </c>
      <c r="D545" s="88" t="s">
        <v>3966</v>
      </c>
      <c r="E545" s="88" t="s">
        <v>2254</v>
      </c>
      <c r="F545" s="88" t="s">
        <v>2267</v>
      </c>
      <c r="G545" s="88" t="s">
        <v>2256</v>
      </c>
      <c r="H545" s="89" t="s">
        <v>3917</v>
      </c>
      <c r="I545" s="89" t="s">
        <v>3918</v>
      </c>
      <c r="J545" s="89" t="s">
        <v>3919</v>
      </c>
      <c r="K545" s="88" t="s">
        <v>2256</v>
      </c>
      <c r="L545" s="90">
        <v>3000</v>
      </c>
    </row>
    <row r="546" spans="1:12" x14ac:dyDescent="0.3">
      <c r="A546" s="88" t="s">
        <v>3967</v>
      </c>
      <c r="B546" s="88" t="s">
        <v>2269</v>
      </c>
      <c r="C546" s="88" t="s">
        <v>3968</v>
      </c>
      <c r="D546" s="88" t="s">
        <v>3969</v>
      </c>
      <c r="E546" s="88" t="s">
        <v>2348</v>
      </c>
      <c r="F546" s="88" t="s">
        <v>2284</v>
      </c>
      <c r="G546" s="88" t="s">
        <v>2256</v>
      </c>
      <c r="H546" s="89" t="s">
        <v>3917</v>
      </c>
      <c r="I546" s="89" t="s">
        <v>3970</v>
      </c>
      <c r="J546" s="89" t="s">
        <v>3971</v>
      </c>
      <c r="K546" s="88" t="s">
        <v>2256</v>
      </c>
      <c r="L546" s="90">
        <v>0</v>
      </c>
    </row>
    <row r="547" spans="1:12" x14ac:dyDescent="0.3">
      <c r="A547" s="88" t="s">
        <v>3972</v>
      </c>
      <c r="B547" s="88" t="s">
        <v>2269</v>
      </c>
      <c r="C547" s="88" t="s">
        <v>3973</v>
      </c>
      <c r="D547" s="88" t="s">
        <v>3973</v>
      </c>
      <c r="E547" s="88" t="s">
        <v>2254</v>
      </c>
      <c r="F547" s="88" t="s">
        <v>2267</v>
      </c>
      <c r="G547" s="88" t="s">
        <v>2256</v>
      </c>
      <c r="H547" s="89" t="s">
        <v>3917</v>
      </c>
      <c r="I547" s="89" t="s">
        <v>3970</v>
      </c>
      <c r="J547" s="89" t="s">
        <v>3971</v>
      </c>
      <c r="K547" s="88" t="s">
        <v>2256</v>
      </c>
      <c r="L547" s="90">
        <v>18000</v>
      </c>
    </row>
    <row r="548" spans="1:12" x14ac:dyDescent="0.3">
      <c r="A548" s="88" t="s">
        <v>3974</v>
      </c>
      <c r="B548" s="88" t="s">
        <v>2269</v>
      </c>
      <c r="C548" s="88" t="s">
        <v>3975</v>
      </c>
      <c r="D548" s="88" t="s">
        <v>3976</v>
      </c>
      <c r="E548" s="88" t="s">
        <v>2254</v>
      </c>
      <c r="F548" s="88" t="s">
        <v>2267</v>
      </c>
      <c r="G548" s="88" t="s">
        <v>2256</v>
      </c>
      <c r="H548" s="89" t="s">
        <v>3917</v>
      </c>
      <c r="I548" s="89" t="s">
        <v>3970</v>
      </c>
      <c r="J548" s="89" t="s">
        <v>3971</v>
      </c>
      <c r="K548" s="88" t="s">
        <v>2256</v>
      </c>
      <c r="L548" s="90">
        <v>25000</v>
      </c>
    </row>
    <row r="549" spans="1:12" x14ac:dyDescent="0.3">
      <c r="A549" s="88" t="s">
        <v>3977</v>
      </c>
      <c r="B549" s="88" t="s">
        <v>2441</v>
      </c>
      <c r="C549" s="88" t="s">
        <v>3978</v>
      </c>
      <c r="D549" s="88" t="s">
        <v>3978</v>
      </c>
      <c r="E549" s="88" t="s">
        <v>2254</v>
      </c>
      <c r="F549" s="88" t="s">
        <v>2267</v>
      </c>
      <c r="G549" s="88" t="s">
        <v>2256</v>
      </c>
      <c r="H549" s="89" t="s">
        <v>3917</v>
      </c>
      <c r="I549" s="89" t="s">
        <v>3970</v>
      </c>
      <c r="J549" s="89" t="s">
        <v>3971</v>
      </c>
      <c r="K549" s="88" t="s">
        <v>2256</v>
      </c>
      <c r="L549" s="90">
        <v>3500</v>
      </c>
    </row>
    <row r="550" spans="1:12" x14ac:dyDescent="0.3">
      <c r="A550" s="88" t="s">
        <v>3979</v>
      </c>
      <c r="B550" s="88" t="s">
        <v>2269</v>
      </c>
      <c r="C550" s="88" t="s">
        <v>3980</v>
      </c>
      <c r="D550" s="88" t="s">
        <v>3980</v>
      </c>
      <c r="E550" s="88" t="s">
        <v>2254</v>
      </c>
      <c r="F550" s="88" t="s">
        <v>2267</v>
      </c>
      <c r="G550" s="88" t="s">
        <v>2256</v>
      </c>
      <c r="H550" s="89" t="s">
        <v>3917</v>
      </c>
      <c r="I550" s="89" t="s">
        <v>3970</v>
      </c>
      <c r="J550" s="89" t="s">
        <v>3971</v>
      </c>
      <c r="K550" s="88" t="s">
        <v>2256</v>
      </c>
      <c r="L550" s="90">
        <v>0</v>
      </c>
    </row>
    <row r="551" spans="1:12" x14ac:dyDescent="0.3">
      <c r="A551" s="88" t="s">
        <v>3981</v>
      </c>
      <c r="B551" s="88" t="s">
        <v>2441</v>
      </c>
      <c r="C551" s="88" t="s">
        <v>3982</v>
      </c>
      <c r="D551" s="88" t="s">
        <v>3983</v>
      </c>
      <c r="E551" s="88" t="s">
        <v>2254</v>
      </c>
      <c r="F551" s="88" t="s">
        <v>2267</v>
      </c>
      <c r="G551" s="88" t="s">
        <v>2256</v>
      </c>
      <c r="H551" s="89" t="s">
        <v>3917</v>
      </c>
      <c r="I551" s="89" t="s">
        <v>3970</v>
      </c>
      <c r="J551" s="89" t="s">
        <v>3971</v>
      </c>
      <c r="K551" s="88" t="s">
        <v>2256</v>
      </c>
      <c r="L551" s="90">
        <v>11000</v>
      </c>
    </row>
    <row r="552" spans="1:12" x14ac:dyDescent="0.3">
      <c r="A552" s="88" t="s">
        <v>3984</v>
      </c>
      <c r="B552" s="88" t="s">
        <v>2269</v>
      </c>
      <c r="C552" s="88" t="s">
        <v>3985</v>
      </c>
      <c r="D552" s="88" t="s">
        <v>3986</v>
      </c>
      <c r="E552" s="88" t="s">
        <v>2348</v>
      </c>
      <c r="F552" s="88" t="s">
        <v>2284</v>
      </c>
      <c r="G552" s="88" t="s">
        <v>2256</v>
      </c>
      <c r="H552" s="89" t="s">
        <v>3917</v>
      </c>
      <c r="I552" s="89" t="s">
        <v>3970</v>
      </c>
      <c r="J552" s="89" t="s">
        <v>3971</v>
      </c>
      <c r="K552" s="88" t="s">
        <v>2256</v>
      </c>
      <c r="L552" s="90">
        <v>0</v>
      </c>
    </row>
    <row r="553" spans="1:12" x14ac:dyDescent="0.3">
      <c r="A553" s="88" t="s">
        <v>3987</v>
      </c>
      <c r="B553" s="88" t="s">
        <v>2251</v>
      </c>
      <c r="C553" s="88" t="s">
        <v>3988</v>
      </c>
      <c r="D553" s="88" t="s">
        <v>3989</v>
      </c>
      <c r="E553" s="88" t="s">
        <v>2254</v>
      </c>
      <c r="F553" s="88" t="s">
        <v>2255</v>
      </c>
      <c r="G553" s="88" t="s">
        <v>2256</v>
      </c>
      <c r="H553" s="89" t="s">
        <v>3917</v>
      </c>
      <c r="I553" s="89" t="s">
        <v>3970</v>
      </c>
      <c r="J553" s="89" t="s">
        <v>3971</v>
      </c>
      <c r="K553" s="88" t="s">
        <v>2256</v>
      </c>
      <c r="L553" s="90">
        <v>0</v>
      </c>
    </row>
    <row r="554" spans="1:12" x14ac:dyDescent="0.3">
      <c r="A554" s="88" t="s">
        <v>3990</v>
      </c>
      <c r="B554" s="88" t="s">
        <v>2269</v>
      </c>
      <c r="C554" s="88" t="s">
        <v>3991</v>
      </c>
      <c r="D554" s="88" t="s">
        <v>3992</v>
      </c>
      <c r="E554" s="88" t="s">
        <v>2348</v>
      </c>
      <c r="F554" s="88" t="s">
        <v>2284</v>
      </c>
      <c r="G554" s="88" t="s">
        <v>2256</v>
      </c>
      <c r="H554" s="89" t="s">
        <v>3917</v>
      </c>
      <c r="I554" s="89" t="s">
        <v>3970</v>
      </c>
      <c r="J554" s="89" t="s">
        <v>3971</v>
      </c>
      <c r="K554" s="88" t="s">
        <v>2256</v>
      </c>
      <c r="L554" s="90">
        <v>0</v>
      </c>
    </row>
    <row r="555" spans="1:12" x14ac:dyDescent="0.3">
      <c r="A555" s="88" t="s">
        <v>3993</v>
      </c>
      <c r="B555" s="88" t="s">
        <v>2269</v>
      </c>
      <c r="C555" s="88" t="s">
        <v>3994</v>
      </c>
      <c r="D555" s="88" t="s">
        <v>3995</v>
      </c>
      <c r="E555" s="88" t="s">
        <v>2348</v>
      </c>
      <c r="F555" s="88" t="s">
        <v>2284</v>
      </c>
      <c r="G555" s="88" t="s">
        <v>2256</v>
      </c>
      <c r="H555" s="89" t="s">
        <v>3917</v>
      </c>
      <c r="I555" s="89" t="s">
        <v>3970</v>
      </c>
      <c r="J555" s="89" t="s">
        <v>3971</v>
      </c>
      <c r="K555" s="88" t="s">
        <v>2256</v>
      </c>
      <c r="L555" s="90">
        <v>5500</v>
      </c>
    </row>
    <row r="556" spans="1:12" x14ac:dyDescent="0.3">
      <c r="A556" s="88" t="s">
        <v>3996</v>
      </c>
      <c r="B556" s="88" t="s">
        <v>2269</v>
      </c>
      <c r="C556" s="88" t="s">
        <v>3997</v>
      </c>
      <c r="D556" s="88" t="s">
        <v>3998</v>
      </c>
      <c r="E556" s="88" t="s">
        <v>2348</v>
      </c>
      <c r="F556" s="88" t="s">
        <v>2284</v>
      </c>
      <c r="G556" s="88" t="s">
        <v>2256</v>
      </c>
      <c r="H556" s="89" t="s">
        <v>3917</v>
      </c>
      <c r="I556" s="89" t="s">
        <v>3970</v>
      </c>
      <c r="J556" s="89" t="s">
        <v>3971</v>
      </c>
      <c r="K556" s="88" t="s">
        <v>2256</v>
      </c>
      <c r="L556" s="90">
        <v>0</v>
      </c>
    </row>
    <row r="557" spans="1:12" x14ac:dyDescent="0.3">
      <c r="A557" s="88" t="s">
        <v>3999</v>
      </c>
      <c r="B557" s="88" t="s">
        <v>2264</v>
      </c>
      <c r="C557" s="88" t="s">
        <v>4000</v>
      </c>
      <c r="D557" s="88" t="s">
        <v>4000</v>
      </c>
      <c r="E557" s="88" t="s">
        <v>2254</v>
      </c>
      <c r="F557" s="88" t="s">
        <v>2267</v>
      </c>
      <c r="G557" s="88" t="s">
        <v>2256</v>
      </c>
      <c r="H557" s="89" t="s">
        <v>3917</v>
      </c>
      <c r="I557" s="89" t="s">
        <v>3970</v>
      </c>
      <c r="J557" s="89" t="s">
        <v>3971</v>
      </c>
      <c r="K557" s="88" t="s">
        <v>2256</v>
      </c>
      <c r="L557" s="90">
        <v>20000</v>
      </c>
    </row>
    <row r="558" spans="1:12" x14ac:dyDescent="0.3">
      <c r="A558" s="88" t="s">
        <v>4001</v>
      </c>
      <c r="B558" s="88" t="s">
        <v>2269</v>
      </c>
      <c r="C558" s="88" t="s">
        <v>4002</v>
      </c>
      <c r="D558" s="88" t="s">
        <v>4003</v>
      </c>
      <c r="E558" s="88" t="s">
        <v>2348</v>
      </c>
      <c r="F558" s="88" t="s">
        <v>2284</v>
      </c>
      <c r="G558" s="88" t="s">
        <v>2256</v>
      </c>
      <c r="H558" s="89" t="s">
        <v>3917</v>
      </c>
      <c r="I558" s="89" t="s">
        <v>3970</v>
      </c>
      <c r="J558" s="89" t="s">
        <v>3971</v>
      </c>
      <c r="K558" s="88" t="s">
        <v>2256</v>
      </c>
      <c r="L558" s="90">
        <v>0</v>
      </c>
    </row>
    <row r="559" spans="1:12" x14ac:dyDescent="0.3">
      <c r="A559" s="88" t="s">
        <v>4004</v>
      </c>
      <c r="B559" s="88" t="s">
        <v>2251</v>
      </c>
      <c r="C559" s="88" t="s">
        <v>4005</v>
      </c>
      <c r="D559" s="88" t="s">
        <v>4006</v>
      </c>
      <c r="E559" s="88" t="s">
        <v>2348</v>
      </c>
      <c r="F559" s="88" t="s">
        <v>2255</v>
      </c>
      <c r="G559" s="88" t="s">
        <v>2256</v>
      </c>
      <c r="H559" s="89" t="s">
        <v>3917</v>
      </c>
      <c r="I559" s="89" t="s">
        <v>3970</v>
      </c>
      <c r="J559" s="89" t="s">
        <v>3971</v>
      </c>
      <c r="K559" s="88" t="s">
        <v>2256</v>
      </c>
      <c r="L559" s="90">
        <v>400</v>
      </c>
    </row>
    <row r="560" spans="1:12" x14ac:dyDescent="0.3">
      <c r="A560" s="88" t="s">
        <v>4007</v>
      </c>
      <c r="B560" s="88" t="s">
        <v>2269</v>
      </c>
      <c r="C560" s="88" t="s">
        <v>4008</v>
      </c>
      <c r="D560" s="88" t="s">
        <v>4009</v>
      </c>
      <c r="E560" s="88" t="s">
        <v>2348</v>
      </c>
      <c r="F560" s="88" t="s">
        <v>2284</v>
      </c>
      <c r="G560" s="88" t="s">
        <v>2256</v>
      </c>
      <c r="H560" s="89" t="s">
        <v>3917</v>
      </c>
      <c r="I560" s="89" t="s">
        <v>3970</v>
      </c>
      <c r="J560" s="89" t="s">
        <v>3971</v>
      </c>
      <c r="K560" s="88" t="s">
        <v>2256</v>
      </c>
      <c r="L560" s="90">
        <v>1500</v>
      </c>
    </row>
    <row r="561" spans="1:12" x14ac:dyDescent="0.3">
      <c r="A561" s="88" t="s">
        <v>4010</v>
      </c>
      <c r="B561" s="88" t="s">
        <v>2269</v>
      </c>
      <c r="C561" s="88" t="s">
        <v>4011</v>
      </c>
      <c r="D561" s="88" t="s">
        <v>4012</v>
      </c>
      <c r="E561" s="88" t="s">
        <v>2348</v>
      </c>
      <c r="F561" s="88" t="s">
        <v>2284</v>
      </c>
      <c r="G561" s="88" t="s">
        <v>2256</v>
      </c>
      <c r="H561" s="89" t="s">
        <v>3917</v>
      </c>
      <c r="I561" s="89" t="s">
        <v>3970</v>
      </c>
      <c r="J561" s="89" t="s">
        <v>3971</v>
      </c>
      <c r="K561" s="88" t="s">
        <v>2256</v>
      </c>
      <c r="L561" s="90">
        <v>0</v>
      </c>
    </row>
    <row r="562" spans="1:12" x14ac:dyDescent="0.3">
      <c r="A562" s="88" t="s">
        <v>4013</v>
      </c>
      <c r="B562" s="88" t="s">
        <v>2269</v>
      </c>
      <c r="C562" s="88" t="s">
        <v>4014</v>
      </c>
      <c r="D562" s="88" t="s">
        <v>4015</v>
      </c>
      <c r="E562" s="88" t="s">
        <v>2348</v>
      </c>
      <c r="F562" s="88" t="s">
        <v>2255</v>
      </c>
      <c r="G562" s="88" t="s">
        <v>2256</v>
      </c>
      <c r="H562" s="89" t="s">
        <v>3917</v>
      </c>
      <c r="I562" s="89" t="s">
        <v>3970</v>
      </c>
      <c r="J562" s="89" t="s">
        <v>3971</v>
      </c>
      <c r="K562" s="88" t="s">
        <v>2256</v>
      </c>
      <c r="L562" s="90">
        <v>18000</v>
      </c>
    </row>
    <row r="563" spans="1:12" x14ac:dyDescent="0.3">
      <c r="A563" s="88" t="s">
        <v>4016</v>
      </c>
      <c r="B563" s="88" t="s">
        <v>2269</v>
      </c>
      <c r="C563" s="88" t="s">
        <v>4017</v>
      </c>
      <c r="D563" s="88" t="s">
        <v>4018</v>
      </c>
      <c r="E563" s="88" t="s">
        <v>2348</v>
      </c>
      <c r="F563" s="88" t="s">
        <v>2267</v>
      </c>
      <c r="G563" s="88" t="s">
        <v>2256</v>
      </c>
      <c r="H563" s="89" t="s">
        <v>3917</v>
      </c>
      <c r="I563" s="89" t="s">
        <v>3970</v>
      </c>
      <c r="J563" s="89" t="s">
        <v>3971</v>
      </c>
      <c r="K563" s="88" t="s">
        <v>2256</v>
      </c>
      <c r="L563" s="90">
        <v>4000</v>
      </c>
    </row>
    <row r="564" spans="1:12" x14ac:dyDescent="0.3">
      <c r="A564" s="88" t="s">
        <v>4019</v>
      </c>
      <c r="B564" s="88" t="s">
        <v>2251</v>
      </c>
      <c r="C564" s="88" t="s">
        <v>4020</v>
      </c>
      <c r="D564" s="88" t="s">
        <v>4021</v>
      </c>
      <c r="E564" s="88" t="s">
        <v>2348</v>
      </c>
      <c r="F564" s="88" t="s">
        <v>2284</v>
      </c>
      <c r="G564" s="88" t="s">
        <v>2256</v>
      </c>
      <c r="H564" s="89" t="s">
        <v>3917</v>
      </c>
      <c r="I564" s="89" t="s">
        <v>3970</v>
      </c>
      <c r="J564" s="89" t="s">
        <v>3971</v>
      </c>
      <c r="K564" s="88" t="s">
        <v>2256</v>
      </c>
      <c r="L564" s="90">
        <v>0</v>
      </c>
    </row>
    <row r="565" spans="1:12" x14ac:dyDescent="0.3">
      <c r="A565" s="88" t="s">
        <v>4022</v>
      </c>
      <c r="B565" s="88" t="s">
        <v>2269</v>
      </c>
      <c r="C565" s="88" t="s">
        <v>4023</v>
      </c>
      <c r="D565" s="88" t="s">
        <v>4024</v>
      </c>
      <c r="E565" s="88" t="s">
        <v>2254</v>
      </c>
      <c r="F565" s="88" t="s">
        <v>2267</v>
      </c>
      <c r="G565" s="88" t="s">
        <v>2256</v>
      </c>
      <c r="H565" s="89" t="s">
        <v>3917</v>
      </c>
      <c r="I565" s="89" t="s">
        <v>3970</v>
      </c>
      <c r="J565" s="89" t="s">
        <v>4025</v>
      </c>
      <c r="K565" s="88" t="s">
        <v>2256</v>
      </c>
      <c r="L565" s="90">
        <v>2500</v>
      </c>
    </row>
    <row r="566" spans="1:12" x14ac:dyDescent="0.3">
      <c r="A566" s="88" t="s">
        <v>4026</v>
      </c>
      <c r="B566" s="88" t="s">
        <v>2269</v>
      </c>
      <c r="C566" s="88" t="s">
        <v>4023</v>
      </c>
      <c r="D566" s="88" t="s">
        <v>4024</v>
      </c>
      <c r="E566" s="88" t="s">
        <v>2254</v>
      </c>
      <c r="F566" s="88" t="s">
        <v>2267</v>
      </c>
      <c r="G566" s="88" t="s">
        <v>2256</v>
      </c>
      <c r="H566" s="89" t="s">
        <v>3917</v>
      </c>
      <c r="I566" s="89" t="s">
        <v>3970</v>
      </c>
      <c r="J566" s="89" t="s">
        <v>4025</v>
      </c>
      <c r="K566" s="88" t="s">
        <v>2256</v>
      </c>
      <c r="L566" s="90">
        <v>2500</v>
      </c>
    </row>
    <row r="567" spans="1:12" x14ac:dyDescent="0.3">
      <c r="A567" s="88" t="s">
        <v>4027</v>
      </c>
      <c r="B567" s="88" t="s">
        <v>2251</v>
      </c>
      <c r="C567" s="88" t="s">
        <v>4028</v>
      </c>
      <c r="D567" s="88" t="s">
        <v>4024</v>
      </c>
      <c r="E567" s="88" t="s">
        <v>2254</v>
      </c>
      <c r="F567" s="88" t="s">
        <v>2255</v>
      </c>
      <c r="G567" s="88" t="s">
        <v>2256</v>
      </c>
      <c r="H567" s="89" t="s">
        <v>3917</v>
      </c>
      <c r="I567" s="89" t="s">
        <v>3970</v>
      </c>
      <c r="J567" s="89" t="s">
        <v>4025</v>
      </c>
      <c r="K567" s="88" t="s">
        <v>2256</v>
      </c>
      <c r="L567" s="90">
        <v>3000</v>
      </c>
    </row>
    <row r="568" spans="1:12" x14ac:dyDescent="0.3">
      <c r="A568" s="88" t="s">
        <v>4029</v>
      </c>
      <c r="B568" s="88" t="s">
        <v>2260</v>
      </c>
      <c r="C568" s="88" t="s">
        <v>4030</v>
      </c>
      <c r="D568" s="88" t="s">
        <v>4031</v>
      </c>
      <c r="E568" s="88" t="s">
        <v>2254</v>
      </c>
      <c r="F568" s="88" t="s">
        <v>2267</v>
      </c>
      <c r="G568" s="88" t="s">
        <v>2256</v>
      </c>
      <c r="H568" s="89" t="s">
        <v>3917</v>
      </c>
      <c r="I568" s="89" t="s">
        <v>3970</v>
      </c>
      <c r="J568" s="89" t="s">
        <v>4025</v>
      </c>
      <c r="K568" s="88" t="s">
        <v>2256</v>
      </c>
      <c r="L568" s="90">
        <v>0</v>
      </c>
    </row>
    <row r="569" spans="1:12" x14ac:dyDescent="0.3">
      <c r="A569" s="88" t="s">
        <v>4032</v>
      </c>
      <c r="B569" s="88" t="s">
        <v>2251</v>
      </c>
      <c r="C569" s="88" t="s">
        <v>4033</v>
      </c>
      <c r="D569" s="88" t="s">
        <v>4034</v>
      </c>
      <c r="E569" s="88" t="s">
        <v>2348</v>
      </c>
      <c r="F569" s="88" t="s">
        <v>2255</v>
      </c>
      <c r="G569" s="88" t="s">
        <v>2256</v>
      </c>
      <c r="H569" s="89" t="s">
        <v>3917</v>
      </c>
      <c r="I569" s="89" t="s">
        <v>3970</v>
      </c>
      <c r="J569" s="89" t="s">
        <v>4025</v>
      </c>
      <c r="K569" s="88" t="s">
        <v>2256</v>
      </c>
      <c r="L569" s="90">
        <v>11000</v>
      </c>
    </row>
    <row r="570" spans="1:12" x14ac:dyDescent="0.3">
      <c r="A570" s="88" t="s">
        <v>4035</v>
      </c>
      <c r="B570" s="88" t="s">
        <v>2251</v>
      </c>
      <c r="C570" s="88" t="s">
        <v>4036</v>
      </c>
      <c r="D570" s="88" t="s">
        <v>4037</v>
      </c>
      <c r="E570" s="88" t="s">
        <v>2254</v>
      </c>
      <c r="F570" s="88" t="s">
        <v>2255</v>
      </c>
      <c r="G570" s="88" t="s">
        <v>2256</v>
      </c>
      <c r="H570" s="89" t="s">
        <v>3917</v>
      </c>
      <c r="I570" s="89" t="s">
        <v>3970</v>
      </c>
      <c r="J570" s="89" t="s">
        <v>4025</v>
      </c>
      <c r="K570" s="88" t="s">
        <v>2256</v>
      </c>
      <c r="L570" s="90">
        <v>4500</v>
      </c>
    </row>
    <row r="571" spans="1:12" x14ac:dyDescent="0.3">
      <c r="A571" s="88" t="s">
        <v>4038</v>
      </c>
      <c r="B571" s="88" t="s">
        <v>2260</v>
      </c>
      <c r="C571" s="88" t="s">
        <v>4039</v>
      </c>
      <c r="D571" s="88" t="s">
        <v>4039</v>
      </c>
      <c r="E571" s="88" t="s">
        <v>2254</v>
      </c>
      <c r="F571" s="88" t="s">
        <v>2363</v>
      </c>
      <c r="G571" s="88" t="s">
        <v>2256</v>
      </c>
      <c r="H571" s="89" t="s">
        <v>3917</v>
      </c>
      <c r="I571" s="89" t="s">
        <v>3970</v>
      </c>
      <c r="J571" s="89" t="s">
        <v>4025</v>
      </c>
      <c r="K571" s="88" t="s">
        <v>2256</v>
      </c>
      <c r="L571" s="90">
        <v>15000</v>
      </c>
    </row>
    <row r="572" spans="1:12" x14ac:dyDescent="0.3">
      <c r="A572" s="88" t="s">
        <v>4040</v>
      </c>
      <c r="B572" s="88" t="s">
        <v>2251</v>
      </c>
      <c r="C572" s="88" t="s">
        <v>4041</v>
      </c>
      <c r="D572" s="88" t="s">
        <v>4042</v>
      </c>
      <c r="E572" s="88" t="s">
        <v>2254</v>
      </c>
      <c r="F572" s="88" t="s">
        <v>2255</v>
      </c>
      <c r="G572" s="88" t="s">
        <v>2256</v>
      </c>
      <c r="H572" s="89" t="s">
        <v>3917</v>
      </c>
      <c r="I572" s="89" t="s">
        <v>3970</v>
      </c>
      <c r="J572" s="89" t="s">
        <v>4025</v>
      </c>
      <c r="K572" s="88" t="s">
        <v>2256</v>
      </c>
      <c r="L572" s="90">
        <v>3000</v>
      </c>
    </row>
    <row r="573" spans="1:12" x14ac:dyDescent="0.3">
      <c r="A573" s="88" t="s">
        <v>4043</v>
      </c>
      <c r="B573" s="88" t="s">
        <v>2260</v>
      </c>
      <c r="C573" s="88" t="s">
        <v>4044</v>
      </c>
      <c r="D573" s="88" t="s">
        <v>4042</v>
      </c>
      <c r="E573" s="88" t="s">
        <v>2254</v>
      </c>
      <c r="F573" s="88" t="s">
        <v>2267</v>
      </c>
      <c r="G573" s="88" t="s">
        <v>2256</v>
      </c>
      <c r="H573" s="89" t="s">
        <v>3917</v>
      </c>
      <c r="I573" s="89" t="s">
        <v>3970</v>
      </c>
      <c r="J573" s="89" t="s">
        <v>4025</v>
      </c>
      <c r="K573" s="88" t="s">
        <v>2256</v>
      </c>
      <c r="L573" s="90">
        <v>10000</v>
      </c>
    </row>
    <row r="574" spans="1:12" x14ac:dyDescent="0.3">
      <c r="A574" s="88" t="s">
        <v>4045</v>
      </c>
      <c r="B574" s="88" t="s">
        <v>2269</v>
      </c>
      <c r="C574" s="88" t="s">
        <v>4046</v>
      </c>
      <c r="D574" s="88" t="s">
        <v>4047</v>
      </c>
      <c r="E574" s="88" t="s">
        <v>2254</v>
      </c>
      <c r="F574" s="88" t="s">
        <v>2267</v>
      </c>
      <c r="G574" s="88" t="s">
        <v>2256</v>
      </c>
      <c r="H574" s="89" t="s">
        <v>3917</v>
      </c>
      <c r="I574" s="89" t="s">
        <v>3970</v>
      </c>
      <c r="J574" s="89" t="s">
        <v>4025</v>
      </c>
      <c r="K574" s="88" t="s">
        <v>2256</v>
      </c>
      <c r="L574" s="90">
        <v>15000</v>
      </c>
    </row>
    <row r="575" spans="1:12" x14ac:dyDescent="0.3">
      <c r="A575" s="88" t="s">
        <v>4048</v>
      </c>
      <c r="B575" s="88" t="s">
        <v>2260</v>
      </c>
      <c r="C575" s="88" t="s">
        <v>4049</v>
      </c>
      <c r="D575" s="88" t="s">
        <v>4050</v>
      </c>
      <c r="E575" s="88" t="s">
        <v>2348</v>
      </c>
      <c r="F575" s="88" t="s">
        <v>2284</v>
      </c>
      <c r="G575" s="88" t="s">
        <v>2256</v>
      </c>
      <c r="H575" s="89" t="s">
        <v>3917</v>
      </c>
      <c r="I575" s="89" t="s">
        <v>4051</v>
      </c>
      <c r="J575" s="89" t="s">
        <v>4052</v>
      </c>
      <c r="K575" s="88" t="s">
        <v>2256</v>
      </c>
      <c r="L575" s="90">
        <v>160000</v>
      </c>
    </row>
    <row r="576" spans="1:12" x14ac:dyDescent="0.3">
      <c r="A576" s="88" t="s">
        <v>4053</v>
      </c>
      <c r="B576" s="88" t="s">
        <v>2251</v>
      </c>
      <c r="C576" s="88" t="s">
        <v>4054</v>
      </c>
      <c r="D576" s="88" t="s">
        <v>4055</v>
      </c>
      <c r="E576" s="88" t="s">
        <v>2348</v>
      </c>
      <c r="F576" s="88" t="s">
        <v>2284</v>
      </c>
      <c r="G576" s="88" t="s">
        <v>2256</v>
      </c>
      <c r="H576" s="89" t="s">
        <v>3917</v>
      </c>
      <c r="I576" s="89" t="s">
        <v>4051</v>
      </c>
      <c r="J576" s="89" t="s">
        <v>4052</v>
      </c>
      <c r="K576" s="88" t="s">
        <v>2256</v>
      </c>
      <c r="L576" s="90">
        <v>225000</v>
      </c>
    </row>
    <row r="577" spans="1:12" x14ac:dyDescent="0.3">
      <c r="A577" s="88" t="s">
        <v>4056</v>
      </c>
      <c r="B577" s="88" t="s">
        <v>2269</v>
      </c>
      <c r="C577" s="88" t="s">
        <v>4057</v>
      </c>
      <c r="D577" s="88" t="s">
        <v>4058</v>
      </c>
      <c r="E577" s="88" t="s">
        <v>2254</v>
      </c>
      <c r="F577" s="88" t="s">
        <v>2267</v>
      </c>
      <c r="G577" s="88" t="s">
        <v>2256</v>
      </c>
      <c r="H577" s="89" t="s">
        <v>3917</v>
      </c>
      <c r="I577" s="89" t="s">
        <v>4051</v>
      </c>
      <c r="J577" s="89" t="s">
        <v>4052</v>
      </c>
      <c r="K577" s="88" t="s">
        <v>2256</v>
      </c>
      <c r="L577" s="90">
        <v>350000</v>
      </c>
    </row>
    <row r="578" spans="1:12" x14ac:dyDescent="0.3">
      <c r="A578" s="88" t="s">
        <v>4059</v>
      </c>
      <c r="B578" s="88" t="s">
        <v>2360</v>
      </c>
      <c r="C578" s="88" t="s">
        <v>4060</v>
      </c>
      <c r="D578" s="88" t="s">
        <v>4061</v>
      </c>
      <c r="E578" s="88" t="s">
        <v>2254</v>
      </c>
      <c r="F578" s="88" t="s">
        <v>2363</v>
      </c>
      <c r="G578" s="88" t="s">
        <v>2256</v>
      </c>
      <c r="H578" s="89" t="s">
        <v>3917</v>
      </c>
      <c r="I578" s="89" t="s">
        <v>4051</v>
      </c>
      <c r="J578" s="89" t="s">
        <v>4052</v>
      </c>
      <c r="K578" s="88" t="s">
        <v>2256</v>
      </c>
      <c r="L578" s="90">
        <v>0</v>
      </c>
    </row>
    <row r="579" spans="1:12" x14ac:dyDescent="0.3">
      <c r="A579" s="88" t="s">
        <v>4062</v>
      </c>
      <c r="B579" s="88" t="s">
        <v>2251</v>
      </c>
      <c r="C579" s="88" t="s">
        <v>4063</v>
      </c>
      <c r="D579" s="88" t="s">
        <v>4064</v>
      </c>
      <c r="E579" s="88" t="s">
        <v>2254</v>
      </c>
      <c r="F579" s="88" t="s">
        <v>2255</v>
      </c>
      <c r="G579" s="88" t="s">
        <v>2256</v>
      </c>
      <c r="H579" s="89" t="s">
        <v>3917</v>
      </c>
      <c r="I579" s="89" t="s">
        <v>4051</v>
      </c>
      <c r="J579" s="89" t="s">
        <v>4052</v>
      </c>
      <c r="K579" s="88" t="s">
        <v>2256</v>
      </c>
      <c r="L579" s="90">
        <v>0</v>
      </c>
    </row>
    <row r="580" spans="1:12" x14ac:dyDescent="0.3">
      <c r="A580" s="88" t="s">
        <v>4065</v>
      </c>
      <c r="B580" s="88" t="s">
        <v>2269</v>
      </c>
      <c r="C580" s="88" t="s">
        <v>4066</v>
      </c>
      <c r="D580" s="88" t="s">
        <v>4066</v>
      </c>
      <c r="E580" s="88" t="s">
        <v>2254</v>
      </c>
      <c r="F580" s="88" t="s">
        <v>2267</v>
      </c>
      <c r="G580" s="88" t="s">
        <v>2256</v>
      </c>
      <c r="H580" s="89" t="s">
        <v>3917</v>
      </c>
      <c r="I580" s="89" t="s">
        <v>4051</v>
      </c>
      <c r="J580" s="89" t="s">
        <v>4052</v>
      </c>
      <c r="K580" s="88" t="s">
        <v>2256</v>
      </c>
      <c r="L580" s="90">
        <v>620000</v>
      </c>
    </row>
    <row r="581" spans="1:12" x14ac:dyDescent="0.3">
      <c r="A581" s="88" t="s">
        <v>4067</v>
      </c>
      <c r="B581" s="88" t="s">
        <v>2251</v>
      </c>
      <c r="C581" s="88" t="s">
        <v>4068</v>
      </c>
      <c r="D581" s="88" t="s">
        <v>4069</v>
      </c>
      <c r="E581" s="88" t="s">
        <v>2254</v>
      </c>
      <c r="F581" s="88" t="s">
        <v>2255</v>
      </c>
      <c r="G581" s="88" t="s">
        <v>2256</v>
      </c>
      <c r="H581" s="89" t="s">
        <v>3917</v>
      </c>
      <c r="I581" s="89" t="s">
        <v>4051</v>
      </c>
      <c r="J581" s="89" t="s">
        <v>4052</v>
      </c>
      <c r="K581" s="88" t="s">
        <v>2256</v>
      </c>
      <c r="L581" s="90">
        <v>0</v>
      </c>
    </row>
    <row r="582" spans="1:12" x14ac:dyDescent="0.3">
      <c r="A582" s="88" t="s">
        <v>4070</v>
      </c>
      <c r="B582" s="88" t="s">
        <v>2260</v>
      </c>
      <c r="C582" s="88" t="s">
        <v>4071</v>
      </c>
      <c r="D582" s="88" t="s">
        <v>4072</v>
      </c>
      <c r="E582" s="88" t="s">
        <v>2254</v>
      </c>
      <c r="F582" s="88" t="s">
        <v>2284</v>
      </c>
      <c r="G582" s="88" t="s">
        <v>2256</v>
      </c>
      <c r="H582" s="89" t="s">
        <v>3917</v>
      </c>
      <c r="I582" s="89" t="s">
        <v>4051</v>
      </c>
      <c r="J582" s="89" t="s">
        <v>4052</v>
      </c>
      <c r="K582" s="88" t="s">
        <v>2256</v>
      </c>
      <c r="L582" s="90">
        <v>0</v>
      </c>
    </row>
    <row r="583" spans="1:12" x14ac:dyDescent="0.3">
      <c r="A583" s="88" t="s">
        <v>4073</v>
      </c>
      <c r="B583" s="88" t="s">
        <v>2269</v>
      </c>
      <c r="C583" s="88" t="s">
        <v>4074</v>
      </c>
      <c r="D583" s="88" t="s">
        <v>4075</v>
      </c>
      <c r="E583" s="88" t="s">
        <v>2254</v>
      </c>
      <c r="F583" s="88" t="s">
        <v>2284</v>
      </c>
      <c r="G583" s="88" t="s">
        <v>2256</v>
      </c>
      <c r="H583" s="89" t="s">
        <v>3917</v>
      </c>
      <c r="I583" s="89" t="s">
        <v>4051</v>
      </c>
      <c r="J583" s="89" t="s">
        <v>4052</v>
      </c>
      <c r="K583" s="88" t="s">
        <v>2256</v>
      </c>
      <c r="L583" s="90">
        <v>0</v>
      </c>
    </row>
    <row r="584" spans="1:12" x14ac:dyDescent="0.3">
      <c r="A584" s="88" t="s">
        <v>4076</v>
      </c>
      <c r="B584" s="88" t="s">
        <v>3613</v>
      </c>
      <c r="C584" s="88" t="s">
        <v>4077</v>
      </c>
      <c r="D584" s="88" t="s">
        <v>4078</v>
      </c>
      <c r="E584" s="88" t="s">
        <v>3675</v>
      </c>
      <c r="F584" s="88" t="s">
        <v>3616</v>
      </c>
      <c r="G584" s="88" t="s">
        <v>2256</v>
      </c>
      <c r="H584" s="89" t="s">
        <v>3917</v>
      </c>
      <c r="I584" s="89" t="s">
        <v>4079</v>
      </c>
      <c r="J584" s="89" t="s">
        <v>4080</v>
      </c>
      <c r="K584" s="88" t="s">
        <v>2256</v>
      </c>
      <c r="L584" s="90">
        <v>0</v>
      </c>
    </row>
    <row r="585" spans="1:12" x14ac:dyDescent="0.3">
      <c r="A585" s="88" t="s">
        <v>4081</v>
      </c>
      <c r="B585" s="88" t="s">
        <v>2260</v>
      </c>
      <c r="C585" s="88" t="s">
        <v>4082</v>
      </c>
      <c r="D585" s="88" t="s">
        <v>4083</v>
      </c>
      <c r="E585" s="88" t="s">
        <v>2254</v>
      </c>
      <c r="F585" s="88" t="s">
        <v>2262</v>
      </c>
      <c r="G585" s="88" t="s">
        <v>2256</v>
      </c>
      <c r="H585" s="89" t="s">
        <v>3917</v>
      </c>
      <c r="I585" s="89" t="s">
        <v>4079</v>
      </c>
      <c r="J585" s="89" t="s">
        <v>4080</v>
      </c>
      <c r="K585" s="88" t="s">
        <v>2256</v>
      </c>
      <c r="L585" s="90">
        <v>38000</v>
      </c>
    </row>
    <row r="586" spans="1:12" x14ac:dyDescent="0.3">
      <c r="A586" s="88" t="s">
        <v>4084</v>
      </c>
      <c r="B586" s="88" t="s">
        <v>2260</v>
      </c>
      <c r="C586" s="88" t="s">
        <v>4085</v>
      </c>
      <c r="D586" s="88" t="s">
        <v>4085</v>
      </c>
      <c r="E586" s="88" t="s">
        <v>2254</v>
      </c>
      <c r="F586" s="88" t="s">
        <v>2255</v>
      </c>
      <c r="G586" s="88" t="s">
        <v>2256</v>
      </c>
      <c r="H586" s="89" t="s">
        <v>3917</v>
      </c>
      <c r="I586" s="89" t="s">
        <v>4079</v>
      </c>
      <c r="J586" s="89" t="s">
        <v>4080</v>
      </c>
      <c r="K586" s="88" t="s">
        <v>2256</v>
      </c>
      <c r="L586" s="90">
        <v>70000</v>
      </c>
    </row>
    <row r="587" spans="1:12" x14ac:dyDescent="0.3">
      <c r="A587" s="88" t="s">
        <v>4086</v>
      </c>
      <c r="B587" s="88" t="s">
        <v>2467</v>
      </c>
      <c r="C587" s="88" t="s">
        <v>4087</v>
      </c>
      <c r="D587" s="88" t="s">
        <v>4088</v>
      </c>
      <c r="E587" s="88" t="s">
        <v>2254</v>
      </c>
      <c r="F587" s="88" t="s">
        <v>2469</v>
      </c>
      <c r="G587" s="88" t="s">
        <v>2256</v>
      </c>
      <c r="H587" s="89" t="s">
        <v>3917</v>
      </c>
      <c r="I587" s="89" t="s">
        <v>4079</v>
      </c>
      <c r="J587" s="89" t="s">
        <v>4080</v>
      </c>
      <c r="K587" s="88" t="s">
        <v>2256</v>
      </c>
      <c r="L587" s="90">
        <v>0</v>
      </c>
    </row>
    <row r="588" spans="1:12" x14ac:dyDescent="0.3">
      <c r="A588" s="88" t="s">
        <v>4089</v>
      </c>
      <c r="B588" s="88" t="s">
        <v>2260</v>
      </c>
      <c r="C588" s="88" t="s">
        <v>4090</v>
      </c>
      <c r="D588" s="88" t="s">
        <v>4090</v>
      </c>
      <c r="E588" s="88" t="s">
        <v>2254</v>
      </c>
      <c r="F588" s="88" t="s">
        <v>2363</v>
      </c>
      <c r="G588" s="88" t="s">
        <v>2256</v>
      </c>
      <c r="H588" s="89" t="s">
        <v>3917</v>
      </c>
      <c r="I588" s="89" t="s">
        <v>4079</v>
      </c>
      <c r="J588" s="89" t="s">
        <v>4080</v>
      </c>
      <c r="K588" s="88" t="s">
        <v>2256</v>
      </c>
      <c r="L588" s="90">
        <v>4000</v>
      </c>
    </row>
    <row r="589" spans="1:12" x14ac:dyDescent="0.3">
      <c r="A589" s="88" t="s">
        <v>4091</v>
      </c>
      <c r="B589" s="88" t="s">
        <v>2260</v>
      </c>
      <c r="C589" s="88" t="s">
        <v>4092</v>
      </c>
      <c r="D589" s="88" t="s">
        <v>4093</v>
      </c>
      <c r="E589" s="88" t="s">
        <v>2254</v>
      </c>
      <c r="F589" s="88" t="s">
        <v>2469</v>
      </c>
      <c r="G589" s="88" t="s">
        <v>2256</v>
      </c>
      <c r="H589" s="89" t="s">
        <v>3917</v>
      </c>
      <c r="I589" s="89" t="s">
        <v>4079</v>
      </c>
      <c r="J589" s="89" t="s">
        <v>4080</v>
      </c>
      <c r="K589" s="88" t="s">
        <v>2256</v>
      </c>
      <c r="L589" s="90">
        <v>40000</v>
      </c>
    </row>
    <row r="590" spans="1:12" x14ac:dyDescent="0.3">
      <c r="A590" s="88" t="s">
        <v>4094</v>
      </c>
      <c r="B590" s="88" t="s">
        <v>2260</v>
      </c>
      <c r="C590" s="88" t="s">
        <v>4095</v>
      </c>
      <c r="D590" s="88" t="s">
        <v>4095</v>
      </c>
      <c r="E590" s="88" t="s">
        <v>2254</v>
      </c>
      <c r="F590" s="88" t="s">
        <v>2363</v>
      </c>
      <c r="G590" s="88" t="s">
        <v>2256</v>
      </c>
      <c r="H590" s="89" t="s">
        <v>3917</v>
      </c>
      <c r="I590" s="89" t="s">
        <v>4079</v>
      </c>
      <c r="J590" s="89" t="s">
        <v>4080</v>
      </c>
      <c r="K590" s="88" t="s">
        <v>2256</v>
      </c>
      <c r="L590" s="90">
        <v>80000</v>
      </c>
    </row>
    <row r="591" spans="1:12" x14ac:dyDescent="0.3">
      <c r="A591" s="88" t="s">
        <v>4096</v>
      </c>
      <c r="B591" s="88" t="s">
        <v>2269</v>
      </c>
      <c r="C591" s="88" t="s">
        <v>4097</v>
      </c>
      <c r="D591" s="88" t="s">
        <v>4098</v>
      </c>
      <c r="E591" s="88" t="s">
        <v>2254</v>
      </c>
      <c r="F591" s="88" t="s">
        <v>2267</v>
      </c>
      <c r="G591" s="88" t="s">
        <v>2256</v>
      </c>
      <c r="H591" s="89" t="s">
        <v>3917</v>
      </c>
      <c r="I591" s="89" t="s">
        <v>4079</v>
      </c>
      <c r="J591" s="89" t="s">
        <v>4080</v>
      </c>
      <c r="K591" s="88" t="s">
        <v>2256</v>
      </c>
      <c r="L591" s="90">
        <v>0</v>
      </c>
    </row>
    <row r="592" spans="1:12" x14ac:dyDescent="0.3">
      <c r="A592" s="88" t="s">
        <v>4099</v>
      </c>
      <c r="B592" s="88" t="s">
        <v>2269</v>
      </c>
      <c r="C592" s="88" t="s">
        <v>4100</v>
      </c>
      <c r="D592" s="88" t="s">
        <v>4101</v>
      </c>
      <c r="E592" s="88" t="s">
        <v>2254</v>
      </c>
      <c r="F592" s="88" t="s">
        <v>2267</v>
      </c>
      <c r="G592" s="88" t="s">
        <v>2256</v>
      </c>
      <c r="H592" s="89" t="s">
        <v>3917</v>
      </c>
      <c r="I592" s="89" t="s">
        <v>4102</v>
      </c>
      <c r="J592" s="89" t="s">
        <v>4103</v>
      </c>
      <c r="K592" s="88" t="s">
        <v>2256</v>
      </c>
      <c r="L592" s="90">
        <v>0</v>
      </c>
    </row>
    <row r="593" spans="1:12" x14ac:dyDescent="0.3">
      <c r="A593" s="88" t="s">
        <v>4104</v>
      </c>
      <c r="B593" s="88" t="s">
        <v>2269</v>
      </c>
      <c r="C593" s="88" t="s">
        <v>4105</v>
      </c>
      <c r="D593" s="88" t="s">
        <v>4106</v>
      </c>
      <c r="E593" s="88" t="s">
        <v>2254</v>
      </c>
      <c r="F593" s="88" t="s">
        <v>3284</v>
      </c>
      <c r="G593" s="88" t="s">
        <v>2256</v>
      </c>
      <c r="H593" s="89" t="s">
        <v>3917</v>
      </c>
      <c r="I593" s="89" t="s">
        <v>4102</v>
      </c>
      <c r="J593" s="89" t="s">
        <v>4103</v>
      </c>
      <c r="K593" s="88" t="s">
        <v>2256</v>
      </c>
      <c r="L593" s="90">
        <v>2500</v>
      </c>
    </row>
    <row r="594" spans="1:12" x14ac:dyDescent="0.3">
      <c r="A594" s="88" t="s">
        <v>4107</v>
      </c>
      <c r="B594" s="88" t="s">
        <v>2309</v>
      </c>
      <c r="C594" s="88" t="s">
        <v>4108</v>
      </c>
      <c r="D594" s="88" t="s">
        <v>4109</v>
      </c>
      <c r="E594" s="88" t="s">
        <v>2254</v>
      </c>
      <c r="F594" s="88" t="s">
        <v>2267</v>
      </c>
      <c r="G594" s="88" t="s">
        <v>2256</v>
      </c>
      <c r="H594" s="89" t="s">
        <v>3917</v>
      </c>
      <c r="I594" s="89" t="s">
        <v>4102</v>
      </c>
      <c r="J594" s="89" t="s">
        <v>4103</v>
      </c>
      <c r="K594" s="88" t="s">
        <v>2256</v>
      </c>
      <c r="L594" s="90">
        <v>1500</v>
      </c>
    </row>
    <row r="595" spans="1:12" x14ac:dyDescent="0.3">
      <c r="A595" s="88" t="s">
        <v>4110</v>
      </c>
      <c r="B595" s="88" t="s">
        <v>2269</v>
      </c>
      <c r="C595" s="88" t="s">
        <v>4111</v>
      </c>
      <c r="D595" s="88" t="s">
        <v>4112</v>
      </c>
      <c r="E595" s="88" t="s">
        <v>2254</v>
      </c>
      <c r="F595" s="88" t="s">
        <v>2267</v>
      </c>
      <c r="G595" s="88" t="s">
        <v>2256</v>
      </c>
      <c r="H595" s="89" t="s">
        <v>3917</v>
      </c>
      <c r="I595" s="89" t="s">
        <v>4102</v>
      </c>
      <c r="J595" s="89" t="s">
        <v>4103</v>
      </c>
      <c r="K595" s="88" t="s">
        <v>2256</v>
      </c>
      <c r="L595" s="90">
        <v>2000</v>
      </c>
    </row>
    <row r="596" spans="1:12" x14ac:dyDescent="0.3">
      <c r="A596" s="88" t="s">
        <v>4113</v>
      </c>
      <c r="B596" s="88" t="s">
        <v>3613</v>
      </c>
      <c r="C596" s="88" t="s">
        <v>4114</v>
      </c>
      <c r="D596" s="88" t="s">
        <v>4115</v>
      </c>
      <c r="E596" s="88" t="s">
        <v>3675</v>
      </c>
      <c r="F596" s="88" t="s">
        <v>3616</v>
      </c>
      <c r="G596" s="88" t="s">
        <v>2256</v>
      </c>
      <c r="H596" s="89" t="s">
        <v>3917</v>
      </c>
      <c r="I596" s="89" t="s">
        <v>4102</v>
      </c>
      <c r="J596" s="89" t="s">
        <v>4103</v>
      </c>
      <c r="K596" s="88" t="s">
        <v>2256</v>
      </c>
      <c r="L596" s="90">
        <v>6000</v>
      </c>
    </row>
    <row r="597" spans="1:12" x14ac:dyDescent="0.3">
      <c r="A597" s="88" t="s">
        <v>4116</v>
      </c>
      <c r="B597" s="88" t="s">
        <v>2269</v>
      </c>
      <c r="C597" s="88" t="s">
        <v>4117</v>
      </c>
      <c r="D597" s="88" t="s">
        <v>4118</v>
      </c>
      <c r="E597" s="88" t="s">
        <v>2254</v>
      </c>
      <c r="F597" s="88" t="s">
        <v>2267</v>
      </c>
      <c r="G597" s="88" t="s">
        <v>2256</v>
      </c>
      <c r="H597" s="89" t="s">
        <v>3917</v>
      </c>
      <c r="I597" s="89" t="s">
        <v>4102</v>
      </c>
      <c r="J597" s="89" t="s">
        <v>4103</v>
      </c>
      <c r="K597" s="88" t="s">
        <v>2256</v>
      </c>
      <c r="L597" s="90">
        <v>2500</v>
      </c>
    </row>
    <row r="598" spans="1:12" x14ac:dyDescent="0.3">
      <c r="A598" s="88" t="s">
        <v>4119</v>
      </c>
      <c r="B598" s="88" t="s">
        <v>2309</v>
      </c>
      <c r="C598" s="88" t="s">
        <v>4120</v>
      </c>
      <c r="D598" s="88" t="s">
        <v>4121</v>
      </c>
      <c r="E598" s="88" t="s">
        <v>2254</v>
      </c>
      <c r="F598" s="88" t="s">
        <v>2267</v>
      </c>
      <c r="G598" s="88" t="s">
        <v>2256</v>
      </c>
      <c r="H598" s="89" t="s">
        <v>3917</v>
      </c>
      <c r="I598" s="89" t="s">
        <v>4102</v>
      </c>
      <c r="J598" s="89" t="s">
        <v>4103</v>
      </c>
      <c r="K598" s="88" t="s">
        <v>2256</v>
      </c>
      <c r="L598" s="90">
        <v>0</v>
      </c>
    </row>
    <row r="599" spans="1:12" x14ac:dyDescent="0.3">
      <c r="A599" s="88" t="s">
        <v>4122</v>
      </c>
      <c r="B599" s="88" t="s">
        <v>2269</v>
      </c>
      <c r="C599" s="88" t="s">
        <v>4123</v>
      </c>
      <c r="D599" s="88" t="s">
        <v>4124</v>
      </c>
      <c r="E599" s="88" t="s">
        <v>2254</v>
      </c>
      <c r="F599" s="88" t="s">
        <v>2267</v>
      </c>
      <c r="G599" s="88" t="s">
        <v>2256</v>
      </c>
      <c r="H599" s="89" t="s">
        <v>3917</v>
      </c>
      <c r="I599" s="89" t="s">
        <v>4102</v>
      </c>
      <c r="J599" s="89" t="s">
        <v>4103</v>
      </c>
      <c r="K599" s="88" t="s">
        <v>2256</v>
      </c>
      <c r="L599" s="90">
        <v>2000</v>
      </c>
    </row>
    <row r="600" spans="1:12" x14ac:dyDescent="0.3">
      <c r="A600" s="88" t="s">
        <v>4125</v>
      </c>
      <c r="B600" s="88" t="s">
        <v>2269</v>
      </c>
      <c r="C600" s="88" t="s">
        <v>4126</v>
      </c>
      <c r="D600" s="88" t="s">
        <v>4127</v>
      </c>
      <c r="E600" s="88" t="s">
        <v>2254</v>
      </c>
      <c r="F600" s="88" t="s">
        <v>2267</v>
      </c>
      <c r="G600" s="88" t="s">
        <v>2256</v>
      </c>
      <c r="H600" s="89" t="s">
        <v>3917</v>
      </c>
      <c r="I600" s="89" t="s">
        <v>4102</v>
      </c>
      <c r="J600" s="89" t="s">
        <v>4103</v>
      </c>
      <c r="K600" s="88" t="s">
        <v>2256</v>
      </c>
      <c r="L600" s="90">
        <v>0</v>
      </c>
    </row>
    <row r="601" spans="1:12" x14ac:dyDescent="0.3">
      <c r="A601" s="88" t="s">
        <v>4128</v>
      </c>
      <c r="B601" s="88" t="s">
        <v>2269</v>
      </c>
      <c r="C601" s="88" t="s">
        <v>4129</v>
      </c>
      <c r="D601" s="88" t="s">
        <v>4129</v>
      </c>
      <c r="E601" s="88" t="s">
        <v>2254</v>
      </c>
      <c r="F601" s="88" t="s">
        <v>2267</v>
      </c>
      <c r="G601" s="88" t="s">
        <v>2256</v>
      </c>
      <c r="H601" s="89" t="s">
        <v>4130</v>
      </c>
      <c r="I601" s="89" t="s">
        <v>4131</v>
      </c>
      <c r="J601" s="89" t="s">
        <v>4132</v>
      </c>
      <c r="K601" s="88" t="s">
        <v>2256</v>
      </c>
      <c r="L601" s="90">
        <v>0</v>
      </c>
    </row>
    <row r="602" spans="1:12" x14ac:dyDescent="0.3">
      <c r="A602" s="88" t="s">
        <v>4133</v>
      </c>
      <c r="B602" s="88" t="s">
        <v>2260</v>
      </c>
      <c r="C602" s="88" t="s">
        <v>4134</v>
      </c>
      <c r="D602" s="88" t="s">
        <v>4135</v>
      </c>
      <c r="E602" s="88" t="s">
        <v>2254</v>
      </c>
      <c r="F602" s="88" t="s">
        <v>2284</v>
      </c>
      <c r="G602" s="88" t="s">
        <v>2256</v>
      </c>
      <c r="H602" s="89" t="s">
        <v>4130</v>
      </c>
      <c r="I602" s="89" t="s">
        <v>4136</v>
      </c>
      <c r="J602" s="89" t="s">
        <v>4137</v>
      </c>
      <c r="K602" s="88" t="s">
        <v>2256</v>
      </c>
      <c r="L602" s="90">
        <v>63000</v>
      </c>
    </row>
    <row r="603" spans="1:12" x14ac:dyDescent="0.3">
      <c r="A603" s="88" t="s">
        <v>4138</v>
      </c>
      <c r="B603" s="88" t="s">
        <v>2251</v>
      </c>
      <c r="C603" s="88" t="s">
        <v>4139</v>
      </c>
      <c r="D603" s="88" t="s">
        <v>4140</v>
      </c>
      <c r="E603" s="88" t="s">
        <v>2254</v>
      </c>
      <c r="F603" s="88" t="s">
        <v>2255</v>
      </c>
      <c r="G603" s="88" t="s">
        <v>2256</v>
      </c>
      <c r="H603" s="89" t="s">
        <v>4141</v>
      </c>
      <c r="I603" s="89" t="s">
        <v>4142</v>
      </c>
      <c r="J603" s="89" t="s">
        <v>4143</v>
      </c>
      <c r="K603" s="88" t="s">
        <v>2256</v>
      </c>
      <c r="L603" s="90">
        <v>0</v>
      </c>
    </row>
    <row r="604" spans="1:12" x14ac:dyDescent="0.3">
      <c r="A604" s="88" t="s">
        <v>4144</v>
      </c>
      <c r="B604" s="88" t="s">
        <v>2269</v>
      </c>
      <c r="C604" s="88" t="s">
        <v>4145</v>
      </c>
      <c r="D604" s="88" t="s">
        <v>4146</v>
      </c>
      <c r="E604" s="88" t="s">
        <v>2254</v>
      </c>
      <c r="F604" s="88" t="s">
        <v>2267</v>
      </c>
      <c r="G604" s="88" t="s">
        <v>2256</v>
      </c>
      <c r="H604" s="89" t="s">
        <v>4141</v>
      </c>
      <c r="I604" s="89" t="s">
        <v>4142</v>
      </c>
      <c r="J604" s="89" t="s">
        <v>4143</v>
      </c>
      <c r="K604" s="88" t="s">
        <v>2256</v>
      </c>
      <c r="L604" s="90">
        <v>95000</v>
      </c>
    </row>
    <row r="605" spans="1:12" x14ac:dyDescent="0.3">
      <c r="A605" s="88" t="s">
        <v>4147</v>
      </c>
      <c r="B605" s="88" t="s">
        <v>2260</v>
      </c>
      <c r="C605" s="88" t="s">
        <v>4148</v>
      </c>
      <c r="D605" s="88" t="s">
        <v>4140</v>
      </c>
      <c r="E605" s="88" t="s">
        <v>2560</v>
      </c>
      <c r="F605" s="88" t="s">
        <v>2262</v>
      </c>
      <c r="G605" s="88" t="s">
        <v>2256</v>
      </c>
      <c r="H605" s="89" t="s">
        <v>4141</v>
      </c>
      <c r="I605" s="89" t="s">
        <v>4142</v>
      </c>
      <c r="J605" s="89" t="s">
        <v>4143</v>
      </c>
      <c r="K605" s="88" t="s">
        <v>2256</v>
      </c>
      <c r="L605" s="90">
        <v>105000</v>
      </c>
    </row>
    <row r="606" spans="1:12" x14ac:dyDescent="0.3">
      <c r="A606" s="88" t="s">
        <v>4149</v>
      </c>
      <c r="B606" s="88" t="s">
        <v>2322</v>
      </c>
      <c r="C606" s="88" t="s">
        <v>4150</v>
      </c>
      <c r="D606" s="88" t="s">
        <v>4150</v>
      </c>
      <c r="E606" s="88" t="s">
        <v>2254</v>
      </c>
      <c r="F606" s="88" t="s">
        <v>2262</v>
      </c>
      <c r="G606" s="88" t="s">
        <v>2256</v>
      </c>
      <c r="H606" s="89" t="s">
        <v>4141</v>
      </c>
      <c r="I606" s="89" t="s">
        <v>4142</v>
      </c>
      <c r="J606" s="89" t="s">
        <v>4143</v>
      </c>
      <c r="K606" s="88" t="s">
        <v>2256</v>
      </c>
      <c r="L606" s="90">
        <v>0</v>
      </c>
    </row>
    <row r="607" spans="1:12" x14ac:dyDescent="0.3">
      <c r="A607" s="88" t="s">
        <v>4151</v>
      </c>
      <c r="B607" s="88" t="s">
        <v>2467</v>
      </c>
      <c r="C607" s="88" t="s">
        <v>4152</v>
      </c>
      <c r="D607" s="88" t="s">
        <v>4150</v>
      </c>
      <c r="E607" s="88" t="s">
        <v>2254</v>
      </c>
      <c r="F607" s="88" t="s">
        <v>2469</v>
      </c>
      <c r="G607" s="88" t="s">
        <v>2256</v>
      </c>
      <c r="H607" s="89" t="s">
        <v>4141</v>
      </c>
      <c r="I607" s="89" t="s">
        <v>4142</v>
      </c>
      <c r="J607" s="89" t="s">
        <v>4143</v>
      </c>
      <c r="K607" s="88" t="s">
        <v>2256</v>
      </c>
      <c r="L607" s="90">
        <v>80000</v>
      </c>
    </row>
    <row r="608" spans="1:12" x14ac:dyDescent="0.3">
      <c r="A608" s="88" t="s">
        <v>4153</v>
      </c>
      <c r="B608" s="88" t="s">
        <v>2269</v>
      </c>
      <c r="C608" s="88" t="s">
        <v>4154</v>
      </c>
      <c r="D608" s="88" t="s">
        <v>4155</v>
      </c>
      <c r="E608" s="88" t="s">
        <v>2254</v>
      </c>
      <c r="F608" s="88" t="s">
        <v>2267</v>
      </c>
      <c r="G608" s="88" t="s">
        <v>2256</v>
      </c>
      <c r="H608" s="89" t="s">
        <v>4141</v>
      </c>
      <c r="I608" s="89" t="s">
        <v>4142</v>
      </c>
      <c r="J608" s="89" t="s">
        <v>4143</v>
      </c>
      <c r="K608" s="88" t="s">
        <v>2256</v>
      </c>
      <c r="L608" s="90">
        <v>50000</v>
      </c>
    </row>
    <row r="609" spans="1:12" x14ac:dyDescent="0.3">
      <c r="A609" s="88" t="s">
        <v>4156</v>
      </c>
      <c r="B609" s="88" t="s">
        <v>2251</v>
      </c>
      <c r="C609" s="88" t="s">
        <v>4157</v>
      </c>
      <c r="D609" s="88" t="s">
        <v>4155</v>
      </c>
      <c r="E609" s="88" t="s">
        <v>2254</v>
      </c>
      <c r="F609" s="88" t="s">
        <v>2255</v>
      </c>
      <c r="G609" s="88" t="s">
        <v>2256</v>
      </c>
      <c r="H609" s="89" t="s">
        <v>4141</v>
      </c>
      <c r="I609" s="89" t="s">
        <v>4142</v>
      </c>
      <c r="J609" s="89" t="s">
        <v>4143</v>
      </c>
      <c r="K609" s="88" t="s">
        <v>2256</v>
      </c>
      <c r="L609" s="90">
        <v>0</v>
      </c>
    </row>
    <row r="610" spans="1:12" x14ac:dyDescent="0.3">
      <c r="A610" s="88" t="s">
        <v>4158</v>
      </c>
      <c r="B610" s="88" t="s">
        <v>2260</v>
      </c>
      <c r="C610" s="88" t="s">
        <v>4159</v>
      </c>
      <c r="D610" s="88" t="s">
        <v>4155</v>
      </c>
      <c r="E610" s="88" t="s">
        <v>2560</v>
      </c>
      <c r="F610" s="88" t="s">
        <v>2262</v>
      </c>
      <c r="G610" s="88" t="s">
        <v>2256</v>
      </c>
      <c r="H610" s="89" t="s">
        <v>4141</v>
      </c>
      <c r="I610" s="89" t="s">
        <v>4142</v>
      </c>
      <c r="J610" s="89" t="s">
        <v>4143</v>
      </c>
      <c r="K610" s="88" t="s">
        <v>2256</v>
      </c>
      <c r="L610" s="90">
        <v>55000</v>
      </c>
    </row>
    <row r="611" spans="1:12" x14ac:dyDescent="0.3">
      <c r="A611" s="88" t="s">
        <v>4160</v>
      </c>
      <c r="B611" s="88" t="s">
        <v>2467</v>
      </c>
      <c r="C611" s="88" t="s">
        <v>4161</v>
      </c>
      <c r="D611" s="88" t="s">
        <v>4162</v>
      </c>
      <c r="E611" s="88" t="s">
        <v>2254</v>
      </c>
      <c r="F611" s="88" t="s">
        <v>2469</v>
      </c>
      <c r="G611" s="88" t="s">
        <v>2256</v>
      </c>
      <c r="H611" s="89" t="s">
        <v>4141</v>
      </c>
      <c r="I611" s="89" t="s">
        <v>4142</v>
      </c>
      <c r="J611" s="89" t="s">
        <v>4143</v>
      </c>
      <c r="K611" s="88" t="s">
        <v>2256</v>
      </c>
      <c r="L611" s="90">
        <v>0</v>
      </c>
    </row>
    <row r="612" spans="1:12" x14ac:dyDescent="0.3">
      <c r="A612" s="88" t="s">
        <v>4163</v>
      </c>
      <c r="B612" s="88" t="s">
        <v>2896</v>
      </c>
      <c r="C612" s="88" t="s">
        <v>4164</v>
      </c>
      <c r="D612" s="88" t="s">
        <v>4165</v>
      </c>
      <c r="E612" s="88" t="s">
        <v>2254</v>
      </c>
      <c r="F612" s="88" t="s">
        <v>2363</v>
      </c>
      <c r="G612" s="88" t="s">
        <v>2256</v>
      </c>
      <c r="H612" s="89" t="s">
        <v>4141</v>
      </c>
      <c r="I612" s="89" t="s">
        <v>4142</v>
      </c>
      <c r="J612" s="89" t="s">
        <v>4143</v>
      </c>
      <c r="K612" s="88" t="s">
        <v>2256</v>
      </c>
      <c r="L612" s="90">
        <v>0</v>
      </c>
    </row>
    <row r="613" spans="1:12" x14ac:dyDescent="0.3">
      <c r="A613" s="88" t="s">
        <v>4166</v>
      </c>
      <c r="B613" s="88" t="s">
        <v>2260</v>
      </c>
      <c r="C613" s="88" t="s">
        <v>4167</v>
      </c>
      <c r="D613" s="88" t="s">
        <v>4168</v>
      </c>
      <c r="E613" s="88" t="s">
        <v>2254</v>
      </c>
      <c r="F613" s="88" t="s">
        <v>2255</v>
      </c>
      <c r="G613" s="88" t="s">
        <v>2256</v>
      </c>
      <c r="H613" s="89" t="s">
        <v>4141</v>
      </c>
      <c r="I613" s="89" t="s">
        <v>4142</v>
      </c>
      <c r="J613" s="89" t="s">
        <v>4143</v>
      </c>
      <c r="K613" s="88" t="s">
        <v>2256</v>
      </c>
      <c r="L613" s="90">
        <v>700000</v>
      </c>
    </row>
    <row r="614" spans="1:12" x14ac:dyDescent="0.3">
      <c r="A614" s="88" t="s">
        <v>4169</v>
      </c>
      <c r="B614" s="88" t="s">
        <v>2360</v>
      </c>
      <c r="C614" s="88" t="s">
        <v>4170</v>
      </c>
      <c r="D614" s="88" t="s">
        <v>4171</v>
      </c>
      <c r="E614" s="88" t="s">
        <v>2254</v>
      </c>
      <c r="F614" s="88" t="s">
        <v>2363</v>
      </c>
      <c r="G614" s="88" t="s">
        <v>2256</v>
      </c>
      <c r="H614" s="89" t="s">
        <v>4141</v>
      </c>
      <c r="I614" s="89" t="s">
        <v>4142</v>
      </c>
      <c r="J614" s="89" t="s">
        <v>4143</v>
      </c>
      <c r="K614" s="88" t="s">
        <v>2256</v>
      </c>
      <c r="L614" s="90">
        <v>0</v>
      </c>
    </row>
    <row r="615" spans="1:12" x14ac:dyDescent="0.3">
      <c r="A615" s="88" t="s">
        <v>4172</v>
      </c>
      <c r="B615" s="88" t="s">
        <v>2467</v>
      </c>
      <c r="C615" s="88" t="s">
        <v>4173</v>
      </c>
      <c r="D615" s="88" t="s">
        <v>4171</v>
      </c>
      <c r="E615" s="88" t="s">
        <v>2254</v>
      </c>
      <c r="F615" s="88" t="s">
        <v>2469</v>
      </c>
      <c r="G615" s="88" t="s">
        <v>2256</v>
      </c>
      <c r="H615" s="89" t="s">
        <v>4141</v>
      </c>
      <c r="I615" s="89" t="s">
        <v>4142</v>
      </c>
      <c r="J615" s="89" t="s">
        <v>4143</v>
      </c>
      <c r="K615" s="88" t="s">
        <v>2256</v>
      </c>
      <c r="L615" s="90">
        <v>0</v>
      </c>
    </row>
    <row r="616" spans="1:12" x14ac:dyDescent="0.3">
      <c r="A616" s="88" t="s">
        <v>4174</v>
      </c>
      <c r="B616" s="88" t="s">
        <v>2260</v>
      </c>
      <c r="C616" s="88" t="s">
        <v>4175</v>
      </c>
      <c r="D616" s="88" t="s">
        <v>4175</v>
      </c>
      <c r="E616" s="88" t="s">
        <v>2254</v>
      </c>
      <c r="F616" s="88" t="s">
        <v>2304</v>
      </c>
      <c r="G616" s="88" t="s">
        <v>2256</v>
      </c>
      <c r="H616" s="89" t="s">
        <v>4141</v>
      </c>
      <c r="I616" s="89" t="s">
        <v>4142</v>
      </c>
      <c r="J616" s="89" t="s">
        <v>4143</v>
      </c>
      <c r="K616" s="88" t="s">
        <v>2256</v>
      </c>
      <c r="L616" s="90">
        <v>140000</v>
      </c>
    </row>
    <row r="617" spans="1:12" x14ac:dyDescent="0.3">
      <c r="A617" s="88" t="s">
        <v>4176</v>
      </c>
      <c r="B617" s="88" t="s">
        <v>2251</v>
      </c>
      <c r="C617" s="88" t="s">
        <v>4177</v>
      </c>
      <c r="D617" s="88" t="s">
        <v>4178</v>
      </c>
      <c r="E617" s="88" t="s">
        <v>2254</v>
      </c>
      <c r="F617" s="88" t="s">
        <v>2267</v>
      </c>
      <c r="G617" s="88" t="s">
        <v>2256</v>
      </c>
      <c r="H617" s="89" t="s">
        <v>4141</v>
      </c>
      <c r="I617" s="89" t="s">
        <v>4142</v>
      </c>
      <c r="J617" s="89" t="s">
        <v>4143</v>
      </c>
      <c r="K617" s="88" t="s">
        <v>2256</v>
      </c>
      <c r="L617" s="90">
        <v>0</v>
      </c>
    </row>
    <row r="618" spans="1:12" x14ac:dyDescent="0.3">
      <c r="A618" s="88" t="s">
        <v>4179</v>
      </c>
      <c r="B618" s="88" t="s">
        <v>2269</v>
      </c>
      <c r="C618" s="88" t="s">
        <v>4180</v>
      </c>
      <c r="D618" s="88" t="s">
        <v>4180</v>
      </c>
      <c r="E618" s="88" t="s">
        <v>2254</v>
      </c>
      <c r="F618" s="88" t="s">
        <v>2267</v>
      </c>
      <c r="G618" s="88" t="s">
        <v>2256</v>
      </c>
      <c r="H618" s="89" t="s">
        <v>4141</v>
      </c>
      <c r="I618" s="89" t="s">
        <v>4142</v>
      </c>
      <c r="J618" s="89" t="s">
        <v>4143</v>
      </c>
      <c r="K618" s="88" t="s">
        <v>2256</v>
      </c>
      <c r="L618" s="90">
        <v>15000</v>
      </c>
    </row>
    <row r="619" spans="1:12" x14ac:dyDescent="0.3">
      <c r="A619" s="88" t="s">
        <v>4181</v>
      </c>
      <c r="B619" s="88" t="s">
        <v>2896</v>
      </c>
      <c r="C619" s="88" t="s">
        <v>4182</v>
      </c>
      <c r="D619" s="88" t="s">
        <v>4180</v>
      </c>
      <c r="E619" s="88" t="s">
        <v>2254</v>
      </c>
      <c r="F619" s="88" t="s">
        <v>2363</v>
      </c>
      <c r="G619" s="88" t="s">
        <v>2256</v>
      </c>
      <c r="H619" s="89" t="s">
        <v>4141</v>
      </c>
      <c r="I619" s="89" t="s">
        <v>4142</v>
      </c>
      <c r="J619" s="89" t="s">
        <v>4143</v>
      </c>
      <c r="K619" s="88" t="s">
        <v>2256</v>
      </c>
      <c r="L619" s="90">
        <v>0</v>
      </c>
    </row>
    <row r="620" spans="1:12" x14ac:dyDescent="0.3">
      <c r="A620" s="88" t="s">
        <v>4183</v>
      </c>
      <c r="B620" s="88" t="s">
        <v>2251</v>
      </c>
      <c r="C620" s="88" t="s">
        <v>4184</v>
      </c>
      <c r="D620" s="88" t="s">
        <v>4180</v>
      </c>
      <c r="E620" s="88" t="s">
        <v>2254</v>
      </c>
      <c r="F620" s="88" t="s">
        <v>2255</v>
      </c>
      <c r="G620" s="88" t="s">
        <v>2256</v>
      </c>
      <c r="H620" s="89" t="s">
        <v>4141</v>
      </c>
      <c r="I620" s="89" t="s">
        <v>4142</v>
      </c>
      <c r="J620" s="89" t="s">
        <v>4143</v>
      </c>
      <c r="K620" s="88" t="s">
        <v>2256</v>
      </c>
      <c r="L620" s="90">
        <v>30000</v>
      </c>
    </row>
    <row r="621" spans="1:12" x14ac:dyDescent="0.3">
      <c r="A621" s="88" t="s">
        <v>4185</v>
      </c>
      <c r="B621" s="88" t="s">
        <v>2449</v>
      </c>
      <c r="C621" s="88" t="s">
        <v>4186</v>
      </c>
      <c r="D621" s="88" t="s">
        <v>4180</v>
      </c>
      <c r="E621" s="88" t="s">
        <v>2254</v>
      </c>
      <c r="F621" s="88" t="s">
        <v>2267</v>
      </c>
      <c r="G621" s="88" t="s">
        <v>2256</v>
      </c>
      <c r="H621" s="89" t="s">
        <v>4141</v>
      </c>
      <c r="I621" s="89" t="s">
        <v>4142</v>
      </c>
      <c r="J621" s="89" t="s">
        <v>4143</v>
      </c>
      <c r="K621" s="88" t="s">
        <v>2256</v>
      </c>
      <c r="L621" s="90">
        <v>15000</v>
      </c>
    </row>
    <row r="622" spans="1:12" x14ac:dyDescent="0.3">
      <c r="A622" s="88" t="s">
        <v>4187</v>
      </c>
      <c r="B622" s="88" t="s">
        <v>2269</v>
      </c>
      <c r="C622" s="88" t="s">
        <v>4188</v>
      </c>
      <c r="D622" s="88" t="s">
        <v>4189</v>
      </c>
      <c r="E622" s="88" t="s">
        <v>2254</v>
      </c>
      <c r="F622" s="88" t="s">
        <v>2267</v>
      </c>
      <c r="G622" s="88" t="s">
        <v>2256</v>
      </c>
      <c r="H622" s="89" t="s">
        <v>4141</v>
      </c>
      <c r="I622" s="89" t="s">
        <v>4142</v>
      </c>
      <c r="J622" s="89" t="s">
        <v>4190</v>
      </c>
      <c r="K622" s="88" t="s">
        <v>2256</v>
      </c>
      <c r="L622" s="90">
        <v>0</v>
      </c>
    </row>
    <row r="623" spans="1:12" x14ac:dyDescent="0.3">
      <c r="A623" s="88" t="s">
        <v>4191</v>
      </c>
      <c r="B623" s="88" t="s">
        <v>2269</v>
      </c>
      <c r="C623" s="88" t="s">
        <v>4192</v>
      </c>
      <c r="D623" s="88" t="s">
        <v>4193</v>
      </c>
      <c r="E623" s="88" t="s">
        <v>2254</v>
      </c>
      <c r="F623" s="88" t="s">
        <v>2267</v>
      </c>
      <c r="G623" s="88" t="s">
        <v>2256</v>
      </c>
      <c r="H623" s="89" t="s">
        <v>4141</v>
      </c>
      <c r="I623" s="89" t="s">
        <v>4142</v>
      </c>
      <c r="J623" s="89" t="s">
        <v>4194</v>
      </c>
      <c r="K623" s="88" t="s">
        <v>2256</v>
      </c>
      <c r="L623" s="90">
        <v>0</v>
      </c>
    </row>
    <row r="624" spans="1:12" x14ac:dyDescent="0.3">
      <c r="A624" s="88" t="s">
        <v>4195</v>
      </c>
      <c r="B624" s="88" t="s">
        <v>2251</v>
      </c>
      <c r="C624" s="88" t="s">
        <v>4196</v>
      </c>
      <c r="D624" s="88" t="s">
        <v>4197</v>
      </c>
      <c r="E624" s="88" t="s">
        <v>2254</v>
      </c>
      <c r="F624" s="88" t="s">
        <v>2255</v>
      </c>
      <c r="G624" s="88" t="s">
        <v>2256</v>
      </c>
      <c r="H624" s="89" t="s">
        <v>4141</v>
      </c>
      <c r="I624" s="89" t="s">
        <v>4142</v>
      </c>
      <c r="J624" s="89" t="s">
        <v>4194</v>
      </c>
      <c r="K624" s="88" t="s">
        <v>2256</v>
      </c>
      <c r="L624" s="90">
        <v>35000</v>
      </c>
    </row>
    <row r="625" spans="1:12" x14ac:dyDescent="0.3">
      <c r="A625" s="88" t="s">
        <v>4198</v>
      </c>
      <c r="B625" s="88" t="s">
        <v>2251</v>
      </c>
      <c r="C625" s="88" t="s">
        <v>4199</v>
      </c>
      <c r="D625" s="88" t="s">
        <v>4200</v>
      </c>
      <c r="E625" s="88" t="s">
        <v>2254</v>
      </c>
      <c r="F625" s="88" t="s">
        <v>2255</v>
      </c>
      <c r="G625" s="88" t="s">
        <v>2256</v>
      </c>
      <c r="H625" s="89" t="s">
        <v>4141</v>
      </c>
      <c r="I625" s="89" t="s">
        <v>4142</v>
      </c>
      <c r="J625" s="89" t="s">
        <v>4194</v>
      </c>
      <c r="K625" s="88" t="s">
        <v>2256</v>
      </c>
      <c r="L625" s="90">
        <v>0</v>
      </c>
    </row>
    <row r="626" spans="1:12" x14ac:dyDescent="0.3">
      <c r="A626" s="88" t="s">
        <v>4201</v>
      </c>
      <c r="B626" s="88" t="s">
        <v>2309</v>
      </c>
      <c r="C626" s="88" t="s">
        <v>4202</v>
      </c>
      <c r="D626" s="88" t="s">
        <v>4203</v>
      </c>
      <c r="E626" s="88" t="s">
        <v>2254</v>
      </c>
      <c r="F626" s="88" t="s">
        <v>2267</v>
      </c>
      <c r="G626" s="88" t="s">
        <v>2256</v>
      </c>
      <c r="H626" s="89" t="s">
        <v>4141</v>
      </c>
      <c r="I626" s="89" t="s">
        <v>4142</v>
      </c>
      <c r="J626" s="89" t="s">
        <v>4194</v>
      </c>
      <c r="K626" s="88" t="s">
        <v>2256</v>
      </c>
      <c r="L626" s="90">
        <v>10000</v>
      </c>
    </row>
    <row r="627" spans="1:12" x14ac:dyDescent="0.3">
      <c r="A627" s="88" t="s">
        <v>4204</v>
      </c>
      <c r="B627" s="88" t="s">
        <v>2269</v>
      </c>
      <c r="C627" s="88" t="s">
        <v>4205</v>
      </c>
      <c r="D627" s="88" t="s">
        <v>4206</v>
      </c>
      <c r="E627" s="88" t="s">
        <v>2254</v>
      </c>
      <c r="F627" s="88" t="s">
        <v>2267</v>
      </c>
      <c r="G627" s="88" t="s">
        <v>2256</v>
      </c>
      <c r="H627" s="89" t="s">
        <v>4141</v>
      </c>
      <c r="I627" s="89" t="s">
        <v>4142</v>
      </c>
      <c r="J627" s="89" t="s">
        <v>4194</v>
      </c>
      <c r="K627" s="88" t="s">
        <v>2256</v>
      </c>
      <c r="L627" s="90">
        <v>0</v>
      </c>
    </row>
    <row r="628" spans="1:12" x14ac:dyDescent="0.3">
      <c r="A628" s="88" t="s">
        <v>4207</v>
      </c>
      <c r="B628" s="88" t="s">
        <v>2322</v>
      </c>
      <c r="C628" s="88" t="s">
        <v>4208</v>
      </c>
      <c r="D628" s="88" t="s">
        <v>4209</v>
      </c>
      <c r="E628" s="88" t="s">
        <v>2254</v>
      </c>
      <c r="F628" s="88" t="s">
        <v>2262</v>
      </c>
      <c r="G628" s="88" t="s">
        <v>2256</v>
      </c>
      <c r="H628" s="89" t="s">
        <v>4141</v>
      </c>
      <c r="I628" s="89" t="s">
        <v>4142</v>
      </c>
      <c r="J628" s="89" t="s">
        <v>4194</v>
      </c>
      <c r="K628" s="88" t="s">
        <v>2256</v>
      </c>
      <c r="L628" s="90">
        <v>0</v>
      </c>
    </row>
    <row r="629" spans="1:12" x14ac:dyDescent="0.3">
      <c r="A629" s="88" t="s">
        <v>4210</v>
      </c>
      <c r="B629" s="88" t="s">
        <v>2260</v>
      </c>
      <c r="C629" s="88" t="s">
        <v>4211</v>
      </c>
      <c r="D629" s="88" t="s">
        <v>4209</v>
      </c>
      <c r="E629" s="88" t="s">
        <v>2254</v>
      </c>
      <c r="F629" s="88" t="s">
        <v>2469</v>
      </c>
      <c r="G629" s="88" t="s">
        <v>2256</v>
      </c>
      <c r="H629" s="89" t="s">
        <v>4141</v>
      </c>
      <c r="I629" s="89" t="s">
        <v>4142</v>
      </c>
      <c r="J629" s="89" t="s">
        <v>4194</v>
      </c>
      <c r="K629" s="88" t="s">
        <v>2256</v>
      </c>
      <c r="L629" s="90">
        <v>22000</v>
      </c>
    </row>
    <row r="630" spans="1:12" x14ac:dyDescent="0.3">
      <c r="A630" s="88" t="s">
        <v>4212</v>
      </c>
      <c r="B630" s="88" t="s">
        <v>2251</v>
      </c>
      <c r="C630" s="88" t="s">
        <v>4213</v>
      </c>
      <c r="D630" s="88" t="s">
        <v>4214</v>
      </c>
      <c r="E630" s="88" t="s">
        <v>2254</v>
      </c>
      <c r="F630" s="88" t="s">
        <v>2255</v>
      </c>
      <c r="G630" s="88" t="s">
        <v>2256</v>
      </c>
      <c r="H630" s="89" t="s">
        <v>4141</v>
      </c>
      <c r="I630" s="89" t="s">
        <v>4142</v>
      </c>
      <c r="J630" s="89" t="s">
        <v>4194</v>
      </c>
      <c r="K630" s="88" t="s">
        <v>2256</v>
      </c>
      <c r="L630" s="90">
        <v>270000</v>
      </c>
    </row>
    <row r="631" spans="1:12" x14ac:dyDescent="0.3">
      <c r="A631" s="88" t="s">
        <v>4215</v>
      </c>
      <c r="B631" s="88" t="s">
        <v>2251</v>
      </c>
      <c r="C631" s="88" t="s">
        <v>4216</v>
      </c>
      <c r="D631" s="88" t="s">
        <v>4217</v>
      </c>
      <c r="E631" s="88" t="s">
        <v>2254</v>
      </c>
      <c r="F631" s="88" t="s">
        <v>2255</v>
      </c>
      <c r="G631" s="88" t="s">
        <v>2256</v>
      </c>
      <c r="H631" s="89" t="s">
        <v>4141</v>
      </c>
      <c r="I631" s="89" t="s">
        <v>4142</v>
      </c>
      <c r="J631" s="89" t="s">
        <v>4194</v>
      </c>
      <c r="K631" s="88" t="s">
        <v>2256</v>
      </c>
      <c r="L631" s="90">
        <v>50000</v>
      </c>
    </row>
    <row r="632" spans="1:12" x14ac:dyDescent="0.3">
      <c r="A632" s="88" t="s">
        <v>4218</v>
      </c>
      <c r="B632" s="88" t="s">
        <v>2269</v>
      </c>
      <c r="C632" s="88" t="s">
        <v>4219</v>
      </c>
      <c r="D632" s="88" t="s">
        <v>4220</v>
      </c>
      <c r="E632" s="88" t="s">
        <v>2254</v>
      </c>
      <c r="F632" s="88" t="s">
        <v>2267</v>
      </c>
      <c r="G632" s="88" t="s">
        <v>2256</v>
      </c>
      <c r="H632" s="89" t="s">
        <v>4141</v>
      </c>
      <c r="I632" s="89" t="s">
        <v>4142</v>
      </c>
      <c r="J632" s="89" t="s">
        <v>4221</v>
      </c>
      <c r="K632" s="88" t="s">
        <v>2256</v>
      </c>
      <c r="L632" s="90">
        <v>7000</v>
      </c>
    </row>
    <row r="633" spans="1:12" x14ac:dyDescent="0.3">
      <c r="A633" s="88" t="s">
        <v>4222</v>
      </c>
      <c r="B633" s="88" t="s">
        <v>2441</v>
      </c>
      <c r="C633" s="88" t="s">
        <v>4223</v>
      </c>
      <c r="D633" s="88" t="s">
        <v>4223</v>
      </c>
      <c r="E633" s="88" t="s">
        <v>2254</v>
      </c>
      <c r="F633" s="88" t="s">
        <v>2267</v>
      </c>
      <c r="G633" s="88" t="s">
        <v>2256</v>
      </c>
      <c r="H633" s="89" t="s">
        <v>4141</v>
      </c>
      <c r="I633" s="89" t="s">
        <v>4142</v>
      </c>
      <c r="J633" s="89" t="s">
        <v>4221</v>
      </c>
      <c r="K633" s="88" t="s">
        <v>2256</v>
      </c>
      <c r="L633" s="90">
        <v>20000</v>
      </c>
    </row>
    <row r="634" spans="1:12" x14ac:dyDescent="0.3">
      <c r="A634" s="88" t="s">
        <v>4224</v>
      </c>
      <c r="B634" s="88" t="s">
        <v>2269</v>
      </c>
      <c r="C634" s="88" t="s">
        <v>4225</v>
      </c>
      <c r="D634" s="88" t="s">
        <v>4226</v>
      </c>
      <c r="E634" s="88" t="s">
        <v>2254</v>
      </c>
      <c r="F634" s="88" t="s">
        <v>2267</v>
      </c>
      <c r="G634" s="88" t="s">
        <v>2256</v>
      </c>
      <c r="H634" s="89" t="s">
        <v>4141</v>
      </c>
      <c r="I634" s="89" t="s">
        <v>4142</v>
      </c>
      <c r="J634" s="89" t="s">
        <v>4227</v>
      </c>
      <c r="K634" s="88" t="s">
        <v>2256</v>
      </c>
      <c r="L634" s="90">
        <v>40000</v>
      </c>
    </row>
    <row r="635" spans="1:12" x14ac:dyDescent="0.3">
      <c r="A635" s="88" t="s">
        <v>4228</v>
      </c>
      <c r="B635" s="88" t="s">
        <v>2322</v>
      </c>
      <c r="C635" s="88" t="s">
        <v>4229</v>
      </c>
      <c r="D635" s="88" t="s">
        <v>4230</v>
      </c>
      <c r="E635" s="88" t="s">
        <v>2254</v>
      </c>
      <c r="F635" s="88" t="s">
        <v>2262</v>
      </c>
      <c r="G635" s="88" t="s">
        <v>2256</v>
      </c>
      <c r="H635" s="89" t="s">
        <v>4141</v>
      </c>
      <c r="I635" s="89" t="s">
        <v>4142</v>
      </c>
      <c r="J635" s="89" t="s">
        <v>4227</v>
      </c>
      <c r="K635" s="88" t="s">
        <v>2256</v>
      </c>
      <c r="L635" s="90">
        <v>0</v>
      </c>
    </row>
    <row r="636" spans="1:12" x14ac:dyDescent="0.3">
      <c r="A636" s="88" t="s">
        <v>4231</v>
      </c>
      <c r="B636" s="88" t="s">
        <v>2260</v>
      </c>
      <c r="C636" s="88" t="s">
        <v>4232</v>
      </c>
      <c r="D636" s="88" t="s">
        <v>4226</v>
      </c>
      <c r="E636" s="88" t="s">
        <v>2254</v>
      </c>
      <c r="F636" s="88" t="s">
        <v>2255</v>
      </c>
      <c r="G636" s="88" t="s">
        <v>2256</v>
      </c>
      <c r="H636" s="89" t="s">
        <v>4141</v>
      </c>
      <c r="I636" s="89" t="s">
        <v>4142</v>
      </c>
      <c r="J636" s="89" t="s">
        <v>4227</v>
      </c>
      <c r="K636" s="88" t="s">
        <v>2256</v>
      </c>
      <c r="L636" s="90">
        <v>60000</v>
      </c>
    </row>
    <row r="637" spans="1:12" x14ac:dyDescent="0.3">
      <c r="A637" s="88" t="s">
        <v>4233</v>
      </c>
      <c r="B637" s="88" t="s">
        <v>2260</v>
      </c>
      <c r="C637" s="88" t="s">
        <v>4234</v>
      </c>
      <c r="D637" s="88" t="s">
        <v>4230</v>
      </c>
      <c r="E637" s="88" t="s">
        <v>2254</v>
      </c>
      <c r="F637" s="88" t="s">
        <v>2469</v>
      </c>
      <c r="G637" s="88" t="s">
        <v>2256</v>
      </c>
      <c r="H637" s="89" t="s">
        <v>4141</v>
      </c>
      <c r="I637" s="89" t="s">
        <v>4142</v>
      </c>
      <c r="J637" s="89" t="s">
        <v>4227</v>
      </c>
      <c r="K637" s="88" t="s">
        <v>2256</v>
      </c>
      <c r="L637" s="90">
        <v>25000</v>
      </c>
    </row>
    <row r="638" spans="1:12" x14ac:dyDescent="0.3">
      <c r="A638" s="88" t="s">
        <v>4235</v>
      </c>
      <c r="B638" s="88" t="s">
        <v>2260</v>
      </c>
      <c r="C638" s="88" t="s">
        <v>4236</v>
      </c>
      <c r="D638" s="88" t="s">
        <v>4237</v>
      </c>
      <c r="E638" s="88" t="s">
        <v>2254</v>
      </c>
      <c r="F638" s="88" t="s">
        <v>2267</v>
      </c>
      <c r="G638" s="88" t="s">
        <v>2256</v>
      </c>
      <c r="H638" s="89" t="s">
        <v>4141</v>
      </c>
      <c r="I638" s="89" t="s">
        <v>4238</v>
      </c>
      <c r="J638" s="89" t="s">
        <v>4239</v>
      </c>
      <c r="K638" s="88" t="s">
        <v>2256</v>
      </c>
      <c r="L638" s="90">
        <v>80000</v>
      </c>
    </row>
    <row r="639" spans="1:12" x14ac:dyDescent="0.3">
      <c r="A639" s="88" t="s">
        <v>4240</v>
      </c>
      <c r="B639" s="88" t="s">
        <v>2251</v>
      </c>
      <c r="C639" s="88" t="s">
        <v>4241</v>
      </c>
      <c r="D639" s="88" t="s">
        <v>4242</v>
      </c>
      <c r="E639" s="88" t="s">
        <v>2254</v>
      </c>
      <c r="F639" s="88" t="s">
        <v>2255</v>
      </c>
      <c r="G639" s="88" t="s">
        <v>2256</v>
      </c>
      <c r="H639" s="89" t="s">
        <v>4141</v>
      </c>
      <c r="I639" s="89" t="s">
        <v>4238</v>
      </c>
      <c r="J639" s="89" t="s">
        <v>4239</v>
      </c>
      <c r="K639" s="88" t="s">
        <v>2256</v>
      </c>
      <c r="L639" s="90">
        <v>13000</v>
      </c>
    </row>
    <row r="640" spans="1:12" x14ac:dyDescent="0.3">
      <c r="A640" s="88" t="s">
        <v>4243</v>
      </c>
      <c r="B640" s="88" t="s">
        <v>2251</v>
      </c>
      <c r="C640" s="88" t="s">
        <v>4244</v>
      </c>
      <c r="D640" s="88" t="s">
        <v>4245</v>
      </c>
      <c r="E640" s="88" t="s">
        <v>2254</v>
      </c>
      <c r="F640" s="88" t="s">
        <v>2255</v>
      </c>
      <c r="G640" s="88" t="s">
        <v>2256</v>
      </c>
      <c r="H640" s="89" t="s">
        <v>4141</v>
      </c>
      <c r="I640" s="89" t="s">
        <v>4238</v>
      </c>
      <c r="J640" s="89" t="s">
        <v>4239</v>
      </c>
      <c r="K640" s="88" t="s">
        <v>2256</v>
      </c>
      <c r="L640" s="90">
        <v>15000</v>
      </c>
    </row>
    <row r="641" spans="1:12" x14ac:dyDescent="0.3">
      <c r="A641" s="88" t="s">
        <v>4246</v>
      </c>
      <c r="B641" s="88" t="s">
        <v>2260</v>
      </c>
      <c r="C641" s="88" t="s">
        <v>4247</v>
      </c>
      <c r="D641" s="88" t="s">
        <v>4248</v>
      </c>
      <c r="E641" s="88" t="s">
        <v>2254</v>
      </c>
      <c r="F641" s="88" t="s">
        <v>2267</v>
      </c>
      <c r="G641" s="88" t="s">
        <v>2256</v>
      </c>
      <c r="H641" s="89" t="s">
        <v>4141</v>
      </c>
      <c r="I641" s="89" t="s">
        <v>4238</v>
      </c>
      <c r="J641" s="89" t="s">
        <v>4239</v>
      </c>
      <c r="K641" s="88" t="s">
        <v>2256</v>
      </c>
      <c r="L641" s="90">
        <v>0</v>
      </c>
    </row>
    <row r="642" spans="1:12" x14ac:dyDescent="0.3">
      <c r="A642" s="88" t="s">
        <v>4249</v>
      </c>
      <c r="B642" s="88" t="s">
        <v>2251</v>
      </c>
      <c r="C642" s="88" t="s">
        <v>4250</v>
      </c>
      <c r="D642" s="88" t="s">
        <v>4251</v>
      </c>
      <c r="E642" s="88" t="s">
        <v>2254</v>
      </c>
      <c r="F642" s="88" t="s">
        <v>2255</v>
      </c>
      <c r="G642" s="88" t="s">
        <v>2256</v>
      </c>
      <c r="H642" s="89" t="s">
        <v>4141</v>
      </c>
      <c r="I642" s="89" t="s">
        <v>4238</v>
      </c>
      <c r="J642" s="89" t="s">
        <v>4239</v>
      </c>
      <c r="K642" s="88" t="s">
        <v>2256</v>
      </c>
      <c r="L642" s="90">
        <v>15000</v>
      </c>
    </row>
    <row r="643" spans="1:12" x14ac:dyDescent="0.3">
      <c r="A643" s="88" t="s">
        <v>4252</v>
      </c>
      <c r="B643" s="88" t="s">
        <v>2269</v>
      </c>
      <c r="C643" s="88" t="s">
        <v>4253</v>
      </c>
      <c r="D643" s="88" t="s">
        <v>4254</v>
      </c>
      <c r="E643" s="88" t="s">
        <v>2254</v>
      </c>
      <c r="F643" s="88" t="s">
        <v>2284</v>
      </c>
      <c r="G643" s="88" t="s">
        <v>2256</v>
      </c>
      <c r="H643" s="89" t="s">
        <v>4141</v>
      </c>
      <c r="I643" s="89" t="s">
        <v>4238</v>
      </c>
      <c r="J643" s="89" t="s">
        <v>4239</v>
      </c>
      <c r="K643" s="88" t="s">
        <v>2256</v>
      </c>
      <c r="L643" s="90">
        <v>13500</v>
      </c>
    </row>
    <row r="644" spans="1:12" x14ac:dyDescent="0.3">
      <c r="A644" s="88" t="s">
        <v>4255</v>
      </c>
      <c r="B644" s="88" t="s">
        <v>2251</v>
      </c>
      <c r="C644" s="88" t="s">
        <v>4256</v>
      </c>
      <c r="D644" s="88" t="s">
        <v>4254</v>
      </c>
      <c r="E644" s="88" t="s">
        <v>2254</v>
      </c>
      <c r="F644" s="88" t="s">
        <v>2255</v>
      </c>
      <c r="G644" s="88" t="s">
        <v>2256</v>
      </c>
      <c r="H644" s="89" t="s">
        <v>4141</v>
      </c>
      <c r="I644" s="89" t="s">
        <v>4238</v>
      </c>
      <c r="J644" s="89" t="s">
        <v>4239</v>
      </c>
      <c r="K644" s="88" t="s">
        <v>2256</v>
      </c>
      <c r="L644" s="90">
        <v>13500</v>
      </c>
    </row>
    <row r="645" spans="1:12" x14ac:dyDescent="0.3">
      <c r="A645" s="88" t="s">
        <v>4257</v>
      </c>
      <c r="B645" s="88" t="s">
        <v>2269</v>
      </c>
      <c r="C645" s="88" t="s">
        <v>4258</v>
      </c>
      <c r="D645" s="88" t="s">
        <v>4259</v>
      </c>
      <c r="E645" s="88" t="s">
        <v>2254</v>
      </c>
      <c r="F645" s="88" t="s">
        <v>2267</v>
      </c>
      <c r="G645" s="88" t="s">
        <v>2256</v>
      </c>
      <c r="H645" s="89" t="s">
        <v>4141</v>
      </c>
      <c r="I645" s="89" t="s">
        <v>4238</v>
      </c>
      <c r="J645" s="89" t="s">
        <v>4239</v>
      </c>
      <c r="K645" s="88" t="s">
        <v>2256</v>
      </c>
      <c r="L645" s="90">
        <v>50000</v>
      </c>
    </row>
    <row r="646" spans="1:12" x14ac:dyDescent="0.3">
      <c r="A646" s="88" t="s">
        <v>4260</v>
      </c>
      <c r="B646" s="88" t="s">
        <v>2251</v>
      </c>
      <c r="C646" s="88" t="s">
        <v>4261</v>
      </c>
      <c r="D646" s="88" t="s">
        <v>4262</v>
      </c>
      <c r="E646" s="88" t="s">
        <v>2254</v>
      </c>
      <c r="F646" s="88" t="s">
        <v>2255</v>
      </c>
      <c r="G646" s="88" t="s">
        <v>2256</v>
      </c>
      <c r="H646" s="89" t="s">
        <v>4141</v>
      </c>
      <c r="I646" s="89" t="s">
        <v>4238</v>
      </c>
      <c r="J646" s="89" t="s">
        <v>4239</v>
      </c>
      <c r="K646" s="88" t="s">
        <v>2256</v>
      </c>
      <c r="L646" s="90">
        <v>150000</v>
      </c>
    </row>
    <row r="647" spans="1:12" x14ac:dyDescent="0.3">
      <c r="A647" s="88" t="s">
        <v>4263</v>
      </c>
      <c r="B647" s="88" t="s">
        <v>2269</v>
      </c>
      <c r="C647" s="88" t="s">
        <v>4264</v>
      </c>
      <c r="D647" s="88" t="s">
        <v>4265</v>
      </c>
      <c r="E647" s="88" t="s">
        <v>2254</v>
      </c>
      <c r="F647" s="88" t="s">
        <v>2267</v>
      </c>
      <c r="G647" s="88" t="s">
        <v>2256</v>
      </c>
      <c r="H647" s="89" t="s">
        <v>4141</v>
      </c>
      <c r="I647" s="89" t="s">
        <v>4238</v>
      </c>
      <c r="J647" s="89" t="s">
        <v>4239</v>
      </c>
      <c r="K647" s="88" t="s">
        <v>2256</v>
      </c>
      <c r="L647" s="90">
        <v>8000</v>
      </c>
    </row>
    <row r="648" spans="1:12" x14ac:dyDescent="0.3">
      <c r="A648" s="88" t="s">
        <v>4266</v>
      </c>
      <c r="B648" s="88" t="s">
        <v>2260</v>
      </c>
      <c r="C648" s="88" t="s">
        <v>4267</v>
      </c>
      <c r="D648" s="88" t="s">
        <v>4268</v>
      </c>
      <c r="E648" s="88" t="s">
        <v>2254</v>
      </c>
      <c r="F648" s="88" t="s">
        <v>2255</v>
      </c>
      <c r="G648" s="88" t="s">
        <v>2256</v>
      </c>
      <c r="H648" s="89" t="s">
        <v>4141</v>
      </c>
      <c r="I648" s="89" t="s">
        <v>4238</v>
      </c>
      <c r="J648" s="89" t="s">
        <v>4239</v>
      </c>
      <c r="K648" s="88" t="s">
        <v>2256</v>
      </c>
      <c r="L648" s="90">
        <v>0</v>
      </c>
    </row>
    <row r="649" spans="1:12" x14ac:dyDescent="0.3">
      <c r="A649" s="88" t="s">
        <v>4269</v>
      </c>
      <c r="B649" s="88" t="s">
        <v>2309</v>
      </c>
      <c r="C649" s="88" t="s">
        <v>4270</v>
      </c>
      <c r="D649" s="88" t="s">
        <v>4271</v>
      </c>
      <c r="E649" s="88" t="s">
        <v>2254</v>
      </c>
      <c r="F649" s="88" t="s">
        <v>2267</v>
      </c>
      <c r="G649" s="88" t="s">
        <v>2256</v>
      </c>
      <c r="H649" s="89" t="s">
        <v>4141</v>
      </c>
      <c r="I649" s="89" t="s">
        <v>4238</v>
      </c>
      <c r="J649" s="89" t="s">
        <v>4239</v>
      </c>
      <c r="K649" s="88" t="s">
        <v>2256</v>
      </c>
      <c r="L649" s="90">
        <v>0</v>
      </c>
    </row>
    <row r="650" spans="1:12" x14ac:dyDescent="0.3">
      <c r="A650" s="88" t="s">
        <v>4272</v>
      </c>
      <c r="B650" s="88" t="s">
        <v>2322</v>
      </c>
      <c r="C650" s="88" t="s">
        <v>4273</v>
      </c>
      <c r="D650" s="88" t="s">
        <v>4274</v>
      </c>
      <c r="E650" s="88" t="s">
        <v>2254</v>
      </c>
      <c r="F650" s="88" t="s">
        <v>2262</v>
      </c>
      <c r="G650" s="88" t="s">
        <v>2256</v>
      </c>
      <c r="H650" s="89" t="s">
        <v>4141</v>
      </c>
      <c r="I650" s="89" t="s">
        <v>4238</v>
      </c>
      <c r="J650" s="89" t="s">
        <v>4239</v>
      </c>
      <c r="K650" s="88" t="s">
        <v>2256</v>
      </c>
      <c r="L650" s="90">
        <v>0</v>
      </c>
    </row>
    <row r="651" spans="1:12" x14ac:dyDescent="0.3">
      <c r="A651" s="88" t="s">
        <v>4275</v>
      </c>
      <c r="B651" s="88" t="s">
        <v>2260</v>
      </c>
      <c r="C651" s="88" t="s">
        <v>4276</v>
      </c>
      <c r="D651" s="88" t="s">
        <v>4271</v>
      </c>
      <c r="E651" s="88" t="s">
        <v>2254</v>
      </c>
      <c r="F651" s="88" t="s">
        <v>2267</v>
      </c>
      <c r="G651" s="88" t="s">
        <v>2256</v>
      </c>
      <c r="H651" s="89" t="s">
        <v>4141</v>
      </c>
      <c r="I651" s="89" t="s">
        <v>4238</v>
      </c>
      <c r="J651" s="89" t="s">
        <v>4239</v>
      </c>
      <c r="K651" s="88" t="s">
        <v>2256</v>
      </c>
      <c r="L651" s="90">
        <v>28000</v>
      </c>
    </row>
    <row r="652" spans="1:12" x14ac:dyDescent="0.3">
      <c r="A652" s="88" t="s">
        <v>4277</v>
      </c>
      <c r="B652" s="88" t="s">
        <v>2260</v>
      </c>
      <c r="C652" s="88" t="s">
        <v>4278</v>
      </c>
      <c r="D652" s="88" t="s">
        <v>4271</v>
      </c>
      <c r="E652" s="88" t="s">
        <v>2254</v>
      </c>
      <c r="F652" s="88" t="s">
        <v>2267</v>
      </c>
      <c r="G652" s="88" t="s">
        <v>2256</v>
      </c>
      <c r="H652" s="89" t="s">
        <v>4141</v>
      </c>
      <c r="I652" s="89" t="s">
        <v>4238</v>
      </c>
      <c r="J652" s="89" t="s">
        <v>4239</v>
      </c>
      <c r="K652" s="88" t="s">
        <v>2256</v>
      </c>
      <c r="L652" s="90">
        <v>28000</v>
      </c>
    </row>
    <row r="653" spans="1:12" x14ac:dyDescent="0.3">
      <c r="A653" s="88" t="s">
        <v>4279</v>
      </c>
      <c r="B653" s="88" t="s">
        <v>2264</v>
      </c>
      <c r="C653" s="88" t="s">
        <v>4280</v>
      </c>
      <c r="D653" s="88" t="s">
        <v>4280</v>
      </c>
      <c r="E653" s="88" t="s">
        <v>2254</v>
      </c>
      <c r="F653" s="88" t="s">
        <v>2267</v>
      </c>
      <c r="G653" s="88" t="s">
        <v>2256</v>
      </c>
      <c r="H653" s="89" t="s">
        <v>4141</v>
      </c>
      <c r="I653" s="89" t="s">
        <v>4238</v>
      </c>
      <c r="J653" s="89" t="s">
        <v>4239</v>
      </c>
      <c r="K653" s="88" t="s">
        <v>2256</v>
      </c>
      <c r="L653" s="90">
        <v>7000</v>
      </c>
    </row>
    <row r="654" spans="1:12" x14ac:dyDescent="0.3">
      <c r="A654" s="88" t="s">
        <v>4281</v>
      </c>
      <c r="B654" s="88" t="s">
        <v>2251</v>
      </c>
      <c r="C654" s="88" t="s">
        <v>4282</v>
      </c>
      <c r="D654" s="88" t="s">
        <v>4282</v>
      </c>
      <c r="E654" s="88" t="s">
        <v>2254</v>
      </c>
      <c r="F654" s="88" t="s">
        <v>2255</v>
      </c>
      <c r="G654" s="88" t="s">
        <v>2256</v>
      </c>
      <c r="H654" s="89" t="s">
        <v>4141</v>
      </c>
      <c r="I654" s="89" t="s">
        <v>4238</v>
      </c>
      <c r="J654" s="89" t="s">
        <v>4239</v>
      </c>
      <c r="K654" s="88" t="s">
        <v>2256</v>
      </c>
      <c r="L654" s="90">
        <v>10000</v>
      </c>
    </row>
    <row r="655" spans="1:12" x14ac:dyDescent="0.3">
      <c r="A655" s="88" t="s">
        <v>4283</v>
      </c>
      <c r="B655" s="88" t="s">
        <v>2251</v>
      </c>
      <c r="C655" s="88" t="s">
        <v>4284</v>
      </c>
      <c r="D655" s="88" t="s">
        <v>4282</v>
      </c>
      <c r="E655" s="88" t="s">
        <v>2254</v>
      </c>
      <c r="F655" s="88" t="s">
        <v>2255</v>
      </c>
      <c r="G655" s="88" t="s">
        <v>2256</v>
      </c>
      <c r="H655" s="89" t="s">
        <v>4141</v>
      </c>
      <c r="I655" s="89" t="s">
        <v>4238</v>
      </c>
      <c r="J655" s="89" t="s">
        <v>4239</v>
      </c>
      <c r="K655" s="88" t="s">
        <v>2256</v>
      </c>
      <c r="L655" s="90">
        <v>0</v>
      </c>
    </row>
    <row r="656" spans="1:12" x14ac:dyDescent="0.3">
      <c r="A656" s="88" t="s">
        <v>4285</v>
      </c>
      <c r="B656" s="88" t="s">
        <v>2260</v>
      </c>
      <c r="C656" s="88" t="s">
        <v>4286</v>
      </c>
      <c r="D656" s="88" t="s">
        <v>4287</v>
      </c>
      <c r="E656" s="88" t="s">
        <v>2254</v>
      </c>
      <c r="F656" s="88" t="s">
        <v>2255</v>
      </c>
      <c r="G656" s="88" t="s">
        <v>2256</v>
      </c>
      <c r="H656" s="89" t="s">
        <v>4141</v>
      </c>
      <c r="I656" s="89" t="s">
        <v>4238</v>
      </c>
      <c r="J656" s="89" t="s">
        <v>4239</v>
      </c>
      <c r="K656" s="88" t="s">
        <v>2256</v>
      </c>
      <c r="L656" s="90">
        <v>5000</v>
      </c>
    </row>
    <row r="657" spans="1:12" x14ac:dyDescent="0.3">
      <c r="A657" s="88" t="s">
        <v>4288</v>
      </c>
      <c r="B657" s="88" t="s">
        <v>2260</v>
      </c>
      <c r="C657" s="88" t="s">
        <v>4289</v>
      </c>
      <c r="D657" s="88" t="s">
        <v>4290</v>
      </c>
      <c r="E657" s="88" t="s">
        <v>2254</v>
      </c>
      <c r="F657" s="88" t="s">
        <v>2267</v>
      </c>
      <c r="G657" s="88" t="s">
        <v>2256</v>
      </c>
      <c r="H657" s="89" t="s">
        <v>4141</v>
      </c>
      <c r="I657" s="89" t="s">
        <v>4291</v>
      </c>
      <c r="J657" s="89" t="s">
        <v>4292</v>
      </c>
      <c r="K657" s="88" t="s">
        <v>2256</v>
      </c>
      <c r="L657" s="90">
        <v>2700000</v>
      </c>
    </row>
    <row r="658" spans="1:12" x14ac:dyDescent="0.3">
      <c r="A658" s="88" t="s">
        <v>4293</v>
      </c>
      <c r="B658" s="88" t="s">
        <v>2260</v>
      </c>
      <c r="C658" s="88" t="s">
        <v>4294</v>
      </c>
      <c r="D658" s="88" t="s">
        <v>4294</v>
      </c>
      <c r="E658" s="88" t="s">
        <v>2254</v>
      </c>
      <c r="F658" s="88" t="s">
        <v>2267</v>
      </c>
      <c r="G658" s="88" t="s">
        <v>2256</v>
      </c>
      <c r="H658" s="89" t="s">
        <v>4141</v>
      </c>
      <c r="I658" s="89" t="s">
        <v>4291</v>
      </c>
      <c r="J658" s="89" t="s">
        <v>4292</v>
      </c>
      <c r="K658" s="88" t="s">
        <v>2256</v>
      </c>
      <c r="L658" s="90">
        <v>260000</v>
      </c>
    </row>
    <row r="659" spans="1:12" x14ac:dyDescent="0.3">
      <c r="A659" s="88" t="s">
        <v>4295</v>
      </c>
      <c r="B659" s="88" t="s">
        <v>2251</v>
      </c>
      <c r="C659" s="88" t="s">
        <v>4296</v>
      </c>
      <c r="D659" s="88" t="s">
        <v>4297</v>
      </c>
      <c r="E659" s="88" t="s">
        <v>2254</v>
      </c>
      <c r="F659" s="88" t="s">
        <v>2255</v>
      </c>
      <c r="G659" s="88" t="s">
        <v>2256</v>
      </c>
      <c r="H659" s="89" t="s">
        <v>4141</v>
      </c>
      <c r="I659" s="89" t="s">
        <v>4291</v>
      </c>
      <c r="J659" s="89" t="s">
        <v>4298</v>
      </c>
      <c r="K659" s="88" t="s">
        <v>2256</v>
      </c>
      <c r="L659" s="90">
        <v>15000</v>
      </c>
    </row>
    <row r="660" spans="1:12" x14ac:dyDescent="0.3">
      <c r="A660" s="88" t="s">
        <v>4299</v>
      </c>
      <c r="B660" s="88" t="s">
        <v>2251</v>
      </c>
      <c r="C660" s="88" t="s">
        <v>4300</v>
      </c>
      <c r="D660" s="88" t="s">
        <v>4301</v>
      </c>
      <c r="E660" s="88" t="s">
        <v>2254</v>
      </c>
      <c r="F660" s="88" t="s">
        <v>2255</v>
      </c>
      <c r="G660" s="88" t="s">
        <v>2256</v>
      </c>
      <c r="H660" s="89" t="s">
        <v>4141</v>
      </c>
      <c r="I660" s="89" t="s">
        <v>4291</v>
      </c>
      <c r="J660" s="89" t="s">
        <v>4298</v>
      </c>
      <c r="K660" s="88" t="s">
        <v>2256</v>
      </c>
      <c r="L660" s="90">
        <v>300</v>
      </c>
    </row>
    <row r="661" spans="1:12" x14ac:dyDescent="0.3">
      <c r="A661" s="88" t="s">
        <v>4302</v>
      </c>
      <c r="B661" s="88" t="s">
        <v>2441</v>
      </c>
      <c r="C661" s="88" t="s">
        <v>4303</v>
      </c>
      <c r="D661" s="88" t="s">
        <v>4303</v>
      </c>
      <c r="E661" s="88" t="s">
        <v>2254</v>
      </c>
      <c r="F661" s="88" t="s">
        <v>2267</v>
      </c>
      <c r="G661" s="88" t="s">
        <v>2256</v>
      </c>
      <c r="H661" s="89" t="s">
        <v>4141</v>
      </c>
      <c r="I661" s="89" t="s">
        <v>4291</v>
      </c>
      <c r="J661" s="89" t="s">
        <v>4298</v>
      </c>
      <c r="K661" s="88" t="s">
        <v>2256</v>
      </c>
      <c r="L661" s="90">
        <v>3000</v>
      </c>
    </row>
    <row r="662" spans="1:12" x14ac:dyDescent="0.3">
      <c r="A662" s="88" t="s">
        <v>4304</v>
      </c>
      <c r="B662" s="88" t="s">
        <v>2441</v>
      </c>
      <c r="C662" s="88" t="s">
        <v>4305</v>
      </c>
      <c r="D662" s="88" t="s">
        <v>4305</v>
      </c>
      <c r="E662" s="88" t="s">
        <v>2254</v>
      </c>
      <c r="F662" s="88" t="s">
        <v>2267</v>
      </c>
      <c r="G662" s="88" t="s">
        <v>2256</v>
      </c>
      <c r="H662" s="89" t="s">
        <v>4141</v>
      </c>
      <c r="I662" s="89" t="s">
        <v>4291</v>
      </c>
      <c r="J662" s="89" t="s">
        <v>4298</v>
      </c>
      <c r="K662" s="88" t="s">
        <v>2256</v>
      </c>
      <c r="L662" s="90">
        <v>2500</v>
      </c>
    </row>
    <row r="663" spans="1:12" x14ac:dyDescent="0.3">
      <c r="A663" s="88" t="s">
        <v>4306</v>
      </c>
      <c r="B663" s="88" t="s">
        <v>2449</v>
      </c>
      <c r="C663" s="88" t="s">
        <v>4307</v>
      </c>
      <c r="D663" s="88" t="s">
        <v>4308</v>
      </c>
      <c r="E663" s="88" t="s">
        <v>2254</v>
      </c>
      <c r="F663" s="88" t="s">
        <v>2267</v>
      </c>
      <c r="G663" s="88" t="s">
        <v>2256</v>
      </c>
      <c r="H663" s="89" t="s">
        <v>4141</v>
      </c>
      <c r="I663" s="89" t="s">
        <v>4291</v>
      </c>
      <c r="J663" s="89" t="s">
        <v>4298</v>
      </c>
      <c r="K663" s="88" t="s">
        <v>2256</v>
      </c>
      <c r="L663" s="90">
        <v>15000</v>
      </c>
    </row>
    <row r="664" spans="1:12" x14ac:dyDescent="0.3">
      <c r="A664" s="88" t="s">
        <v>4309</v>
      </c>
      <c r="B664" s="88" t="s">
        <v>2264</v>
      </c>
      <c r="C664" s="88" t="s">
        <v>4310</v>
      </c>
      <c r="D664" s="88" t="s">
        <v>4311</v>
      </c>
      <c r="E664" s="88" t="s">
        <v>2254</v>
      </c>
      <c r="F664" s="88" t="s">
        <v>2267</v>
      </c>
      <c r="G664" s="88" t="s">
        <v>2256</v>
      </c>
      <c r="H664" s="89" t="s">
        <v>4141</v>
      </c>
      <c r="I664" s="89" t="s">
        <v>4291</v>
      </c>
      <c r="J664" s="89" t="s">
        <v>4298</v>
      </c>
      <c r="K664" s="88" t="s">
        <v>2256</v>
      </c>
      <c r="L664" s="90">
        <v>300</v>
      </c>
    </row>
    <row r="665" spans="1:12" x14ac:dyDescent="0.3">
      <c r="A665" s="88" t="s">
        <v>4312</v>
      </c>
      <c r="B665" s="88" t="s">
        <v>2269</v>
      </c>
      <c r="C665" s="88" t="s">
        <v>4313</v>
      </c>
      <c r="D665" s="88" t="s">
        <v>4314</v>
      </c>
      <c r="E665" s="88" t="s">
        <v>2254</v>
      </c>
      <c r="F665" s="88" t="s">
        <v>2267</v>
      </c>
      <c r="G665" s="88" t="s">
        <v>2256</v>
      </c>
      <c r="H665" s="89" t="s">
        <v>4141</v>
      </c>
      <c r="I665" s="89" t="s">
        <v>4291</v>
      </c>
      <c r="J665" s="89" t="s">
        <v>4298</v>
      </c>
      <c r="K665" s="88" t="s">
        <v>2256</v>
      </c>
      <c r="L665" s="90">
        <v>500</v>
      </c>
    </row>
    <row r="666" spans="1:12" x14ac:dyDescent="0.3">
      <c r="A666" s="88" t="s">
        <v>4315</v>
      </c>
      <c r="B666" s="88" t="s">
        <v>2322</v>
      </c>
      <c r="C666" s="88" t="s">
        <v>4316</v>
      </c>
      <c r="D666" s="88" t="s">
        <v>4317</v>
      </c>
      <c r="E666" s="88" t="s">
        <v>2254</v>
      </c>
      <c r="F666" s="88" t="s">
        <v>2262</v>
      </c>
      <c r="G666" s="88" t="s">
        <v>2256</v>
      </c>
      <c r="H666" s="89" t="s">
        <v>4141</v>
      </c>
      <c r="I666" s="89" t="s">
        <v>4291</v>
      </c>
      <c r="J666" s="89" t="s">
        <v>4298</v>
      </c>
      <c r="K666" s="88" t="s">
        <v>2256</v>
      </c>
      <c r="L666" s="90">
        <v>0</v>
      </c>
    </row>
    <row r="667" spans="1:12" x14ac:dyDescent="0.3">
      <c r="A667" s="88" t="s">
        <v>4318</v>
      </c>
      <c r="B667" s="88" t="s">
        <v>2260</v>
      </c>
      <c r="C667" s="88" t="s">
        <v>4319</v>
      </c>
      <c r="D667" s="88" t="s">
        <v>4320</v>
      </c>
      <c r="E667" s="88" t="s">
        <v>2254</v>
      </c>
      <c r="F667" s="88" t="s">
        <v>2255</v>
      </c>
      <c r="G667" s="88" t="s">
        <v>2256</v>
      </c>
      <c r="H667" s="89" t="s">
        <v>4141</v>
      </c>
      <c r="I667" s="89" t="s">
        <v>4291</v>
      </c>
      <c r="J667" s="89" t="s">
        <v>4298</v>
      </c>
      <c r="K667" s="88" t="s">
        <v>2256</v>
      </c>
      <c r="L667" s="90">
        <v>600000</v>
      </c>
    </row>
    <row r="668" spans="1:12" x14ac:dyDescent="0.3">
      <c r="A668" s="88" t="s">
        <v>4321</v>
      </c>
      <c r="B668" s="88" t="s">
        <v>2441</v>
      </c>
      <c r="C668" s="88" t="s">
        <v>4322</v>
      </c>
      <c r="D668" s="88" t="s">
        <v>4322</v>
      </c>
      <c r="E668" s="88" t="s">
        <v>2254</v>
      </c>
      <c r="F668" s="88" t="s">
        <v>2267</v>
      </c>
      <c r="G668" s="88" t="s">
        <v>2256</v>
      </c>
      <c r="H668" s="89" t="s">
        <v>4141</v>
      </c>
      <c r="I668" s="89" t="s">
        <v>4291</v>
      </c>
      <c r="J668" s="89" t="s">
        <v>4323</v>
      </c>
      <c r="K668" s="88" t="s">
        <v>2256</v>
      </c>
      <c r="L668" s="90">
        <v>4500</v>
      </c>
    </row>
    <row r="669" spans="1:12" x14ac:dyDescent="0.3">
      <c r="A669" s="88" t="s">
        <v>4324</v>
      </c>
      <c r="B669" s="88" t="s">
        <v>2269</v>
      </c>
      <c r="C669" s="88" t="s">
        <v>4325</v>
      </c>
      <c r="D669" s="88" t="s">
        <v>4326</v>
      </c>
      <c r="E669" s="88" t="s">
        <v>2254</v>
      </c>
      <c r="F669" s="88" t="s">
        <v>2267</v>
      </c>
      <c r="G669" s="88" t="s">
        <v>2256</v>
      </c>
      <c r="H669" s="89" t="s">
        <v>4141</v>
      </c>
      <c r="I669" s="89" t="s">
        <v>4291</v>
      </c>
      <c r="J669" s="89" t="s">
        <v>4323</v>
      </c>
      <c r="K669" s="88" t="s">
        <v>2256</v>
      </c>
      <c r="L669" s="90">
        <v>1500</v>
      </c>
    </row>
    <row r="670" spans="1:12" x14ac:dyDescent="0.3">
      <c r="A670" s="88" t="s">
        <v>4327</v>
      </c>
      <c r="B670" s="88" t="s">
        <v>2251</v>
      </c>
      <c r="C670" s="88" t="s">
        <v>4328</v>
      </c>
      <c r="D670" s="88" t="s">
        <v>4329</v>
      </c>
      <c r="E670" s="88" t="s">
        <v>2254</v>
      </c>
      <c r="F670" s="88" t="s">
        <v>2255</v>
      </c>
      <c r="G670" s="88" t="s">
        <v>2256</v>
      </c>
      <c r="H670" s="89" t="s">
        <v>4141</v>
      </c>
      <c r="I670" s="89" t="s">
        <v>4291</v>
      </c>
      <c r="J670" s="89" t="s">
        <v>4323</v>
      </c>
      <c r="K670" s="88" t="s">
        <v>2256</v>
      </c>
      <c r="L670" s="90">
        <v>3000</v>
      </c>
    </row>
    <row r="671" spans="1:12" x14ac:dyDescent="0.3">
      <c r="A671" s="88" t="s">
        <v>4330</v>
      </c>
      <c r="B671" s="88" t="s">
        <v>2309</v>
      </c>
      <c r="C671" s="88" t="s">
        <v>4331</v>
      </c>
      <c r="D671" s="88" t="s">
        <v>4332</v>
      </c>
      <c r="E671" s="88" t="s">
        <v>2254</v>
      </c>
      <c r="F671" s="88" t="s">
        <v>2262</v>
      </c>
      <c r="G671" s="88" t="s">
        <v>2256</v>
      </c>
      <c r="H671" s="89" t="s">
        <v>4141</v>
      </c>
      <c r="I671" s="89" t="s">
        <v>4291</v>
      </c>
      <c r="J671" s="89" t="s">
        <v>4323</v>
      </c>
      <c r="K671" s="88" t="s">
        <v>2256</v>
      </c>
      <c r="L671" s="90">
        <v>5500</v>
      </c>
    </row>
    <row r="672" spans="1:12" x14ac:dyDescent="0.3">
      <c r="A672" s="88" t="s">
        <v>4333</v>
      </c>
      <c r="B672" s="88" t="s">
        <v>2449</v>
      </c>
      <c r="C672" s="88" t="s">
        <v>4334</v>
      </c>
      <c r="D672" s="88" t="s">
        <v>4335</v>
      </c>
      <c r="E672" s="88" t="s">
        <v>2254</v>
      </c>
      <c r="F672" s="88" t="s">
        <v>2267</v>
      </c>
      <c r="G672" s="88" t="s">
        <v>2256</v>
      </c>
      <c r="H672" s="89" t="s">
        <v>4141</v>
      </c>
      <c r="I672" s="89" t="s">
        <v>4291</v>
      </c>
      <c r="J672" s="89" t="s">
        <v>4336</v>
      </c>
      <c r="K672" s="88" t="s">
        <v>2256</v>
      </c>
      <c r="L672" s="90">
        <v>6000</v>
      </c>
    </row>
    <row r="673" spans="1:12" x14ac:dyDescent="0.3">
      <c r="A673" s="88" t="s">
        <v>4337</v>
      </c>
      <c r="B673" s="88" t="s">
        <v>2449</v>
      </c>
      <c r="C673" s="88" t="s">
        <v>4338</v>
      </c>
      <c r="D673" s="88" t="s">
        <v>4339</v>
      </c>
      <c r="E673" s="88" t="s">
        <v>2254</v>
      </c>
      <c r="F673" s="88" t="s">
        <v>2267</v>
      </c>
      <c r="G673" s="88" t="s">
        <v>2660</v>
      </c>
      <c r="H673" s="89" t="s">
        <v>4141</v>
      </c>
      <c r="I673" s="89" t="s">
        <v>4291</v>
      </c>
      <c r="J673" s="89" t="s">
        <v>4336</v>
      </c>
      <c r="K673" s="88" t="s">
        <v>2256</v>
      </c>
      <c r="L673" s="90">
        <v>35000</v>
      </c>
    </row>
    <row r="674" spans="1:12" x14ac:dyDescent="0.3">
      <c r="A674" s="88" t="s">
        <v>4340</v>
      </c>
      <c r="B674" s="88" t="s">
        <v>2449</v>
      </c>
      <c r="C674" s="88" t="s">
        <v>4341</v>
      </c>
      <c r="D674" s="88" t="s">
        <v>4342</v>
      </c>
      <c r="E674" s="88" t="s">
        <v>2254</v>
      </c>
      <c r="F674" s="88" t="s">
        <v>2267</v>
      </c>
      <c r="G674" s="88" t="s">
        <v>2256</v>
      </c>
      <c r="H674" s="89" t="s">
        <v>4141</v>
      </c>
      <c r="I674" s="89" t="s">
        <v>4343</v>
      </c>
      <c r="J674" s="89" t="s">
        <v>4344</v>
      </c>
      <c r="K674" s="88" t="s">
        <v>2256</v>
      </c>
      <c r="L674" s="90">
        <v>0</v>
      </c>
    </row>
    <row r="675" spans="1:12" x14ac:dyDescent="0.3">
      <c r="A675" s="88" t="s">
        <v>4345</v>
      </c>
      <c r="B675" s="88" t="s">
        <v>2449</v>
      </c>
      <c r="C675" s="88" t="s">
        <v>4346</v>
      </c>
      <c r="D675" s="88" t="s">
        <v>4347</v>
      </c>
      <c r="E675" s="88" t="s">
        <v>2254</v>
      </c>
      <c r="F675" s="88" t="s">
        <v>2267</v>
      </c>
      <c r="G675" s="88" t="s">
        <v>2256</v>
      </c>
      <c r="H675" s="89" t="s">
        <v>4141</v>
      </c>
      <c r="I675" s="89" t="s">
        <v>4343</v>
      </c>
      <c r="J675" s="89" t="s">
        <v>4344</v>
      </c>
      <c r="K675" s="88" t="s">
        <v>2256</v>
      </c>
      <c r="L675" s="90">
        <v>500</v>
      </c>
    </row>
    <row r="676" spans="1:12" x14ac:dyDescent="0.3">
      <c r="A676" s="88" t="s">
        <v>4348</v>
      </c>
      <c r="B676" s="88" t="s">
        <v>2467</v>
      </c>
      <c r="C676" s="88" t="s">
        <v>4349</v>
      </c>
      <c r="D676" s="88" t="s">
        <v>4349</v>
      </c>
      <c r="E676" s="88" t="s">
        <v>2254</v>
      </c>
      <c r="F676" s="88" t="s">
        <v>2469</v>
      </c>
      <c r="G676" s="88" t="s">
        <v>2256</v>
      </c>
      <c r="H676" s="89" t="s">
        <v>4141</v>
      </c>
      <c r="I676" s="89" t="s">
        <v>4343</v>
      </c>
      <c r="J676" s="89" t="s">
        <v>4344</v>
      </c>
      <c r="K676" s="88" t="s">
        <v>2256</v>
      </c>
      <c r="L676" s="90">
        <v>30000</v>
      </c>
    </row>
    <row r="677" spans="1:12" x14ac:dyDescent="0.3">
      <c r="A677" s="88" t="s">
        <v>4350</v>
      </c>
      <c r="B677" s="88" t="s">
        <v>2260</v>
      </c>
      <c r="C677" s="88" t="s">
        <v>4351</v>
      </c>
      <c r="D677" s="88" t="s">
        <v>4351</v>
      </c>
      <c r="E677" s="88" t="s">
        <v>2254</v>
      </c>
      <c r="F677" s="88" t="s">
        <v>2267</v>
      </c>
      <c r="G677" s="88" t="s">
        <v>2256</v>
      </c>
      <c r="H677" s="89" t="s">
        <v>4141</v>
      </c>
      <c r="I677" s="89" t="s">
        <v>4343</v>
      </c>
      <c r="J677" s="89" t="s">
        <v>4344</v>
      </c>
      <c r="K677" s="88" t="s">
        <v>2256</v>
      </c>
      <c r="L677" s="90">
        <v>145000</v>
      </c>
    </row>
    <row r="678" spans="1:12" x14ac:dyDescent="0.3">
      <c r="A678" s="88" t="s">
        <v>4352</v>
      </c>
      <c r="B678" s="88" t="s">
        <v>2264</v>
      </c>
      <c r="C678" s="88" t="s">
        <v>4353</v>
      </c>
      <c r="D678" s="88" t="s">
        <v>4354</v>
      </c>
      <c r="E678" s="88" t="s">
        <v>2254</v>
      </c>
      <c r="F678" s="88" t="s">
        <v>2267</v>
      </c>
      <c r="G678" s="88" t="s">
        <v>2256</v>
      </c>
      <c r="H678" s="89" t="s">
        <v>4141</v>
      </c>
      <c r="I678" s="89" t="s">
        <v>4343</v>
      </c>
      <c r="J678" s="89" t="s">
        <v>4344</v>
      </c>
      <c r="K678" s="88" t="s">
        <v>2256</v>
      </c>
      <c r="L678" s="90">
        <v>18000</v>
      </c>
    </row>
    <row r="679" spans="1:12" x14ac:dyDescent="0.3">
      <c r="A679" s="88" t="s">
        <v>4355</v>
      </c>
      <c r="B679" s="88" t="s">
        <v>2269</v>
      </c>
      <c r="C679" s="88" t="s">
        <v>4356</v>
      </c>
      <c r="D679" s="88" t="s">
        <v>4357</v>
      </c>
      <c r="E679" s="88" t="s">
        <v>2254</v>
      </c>
      <c r="F679" s="88" t="s">
        <v>2267</v>
      </c>
      <c r="G679" s="88" t="s">
        <v>2256</v>
      </c>
      <c r="H679" s="89" t="s">
        <v>4141</v>
      </c>
      <c r="I679" s="89" t="s">
        <v>4343</v>
      </c>
      <c r="J679" s="89" t="s">
        <v>4344</v>
      </c>
      <c r="K679" s="88" t="s">
        <v>2256</v>
      </c>
      <c r="L679" s="90">
        <v>30000</v>
      </c>
    </row>
    <row r="680" spans="1:12" x14ac:dyDescent="0.3">
      <c r="A680" s="88" t="s">
        <v>4358</v>
      </c>
      <c r="B680" s="88" t="s">
        <v>2269</v>
      </c>
      <c r="C680" s="88" t="s">
        <v>4359</v>
      </c>
      <c r="D680" s="88" t="s">
        <v>4360</v>
      </c>
      <c r="E680" s="88" t="s">
        <v>2254</v>
      </c>
      <c r="F680" s="88" t="s">
        <v>2267</v>
      </c>
      <c r="G680" s="88" t="s">
        <v>2256</v>
      </c>
      <c r="H680" s="89" t="s">
        <v>4141</v>
      </c>
      <c r="I680" s="89" t="s">
        <v>4343</v>
      </c>
      <c r="J680" s="89" t="s">
        <v>4344</v>
      </c>
      <c r="K680" s="88" t="s">
        <v>2256</v>
      </c>
      <c r="L680" s="90">
        <v>3000</v>
      </c>
    </row>
    <row r="681" spans="1:12" x14ac:dyDescent="0.3">
      <c r="A681" s="88" t="s">
        <v>4361</v>
      </c>
      <c r="B681" s="88" t="s">
        <v>2251</v>
      </c>
      <c r="C681" s="88" t="s">
        <v>4362</v>
      </c>
      <c r="D681" s="88" t="s">
        <v>4360</v>
      </c>
      <c r="E681" s="88" t="s">
        <v>2254</v>
      </c>
      <c r="F681" s="88" t="s">
        <v>2255</v>
      </c>
      <c r="G681" s="88" t="s">
        <v>2256</v>
      </c>
      <c r="H681" s="89" t="s">
        <v>4141</v>
      </c>
      <c r="I681" s="89" t="s">
        <v>4343</v>
      </c>
      <c r="J681" s="89" t="s">
        <v>4344</v>
      </c>
      <c r="K681" s="88" t="s">
        <v>2256</v>
      </c>
      <c r="L681" s="90">
        <v>600</v>
      </c>
    </row>
    <row r="682" spans="1:12" x14ac:dyDescent="0.3">
      <c r="A682" s="88" t="s">
        <v>4363</v>
      </c>
      <c r="B682" s="88" t="s">
        <v>2322</v>
      </c>
      <c r="C682" s="88" t="s">
        <v>4364</v>
      </c>
      <c r="D682" s="88" t="s">
        <v>4365</v>
      </c>
      <c r="E682" s="88" t="s">
        <v>2254</v>
      </c>
      <c r="F682" s="88" t="s">
        <v>2262</v>
      </c>
      <c r="G682" s="88" t="s">
        <v>2256</v>
      </c>
      <c r="H682" s="89" t="s">
        <v>4141</v>
      </c>
      <c r="I682" s="89" t="s">
        <v>4343</v>
      </c>
      <c r="J682" s="89" t="s">
        <v>4344</v>
      </c>
      <c r="K682" s="88" t="s">
        <v>2256</v>
      </c>
      <c r="L682" s="90">
        <v>45000</v>
      </c>
    </row>
    <row r="683" spans="1:12" x14ac:dyDescent="0.3">
      <c r="A683" s="88" t="s">
        <v>4366</v>
      </c>
      <c r="B683" s="88" t="s">
        <v>2467</v>
      </c>
      <c r="C683" s="88" t="s">
        <v>4367</v>
      </c>
      <c r="D683" s="88" t="s">
        <v>4368</v>
      </c>
      <c r="E683" s="88" t="s">
        <v>2254</v>
      </c>
      <c r="F683" s="88" t="s">
        <v>2469</v>
      </c>
      <c r="G683" s="88" t="s">
        <v>2256</v>
      </c>
      <c r="H683" s="89" t="s">
        <v>4141</v>
      </c>
      <c r="I683" s="89" t="s">
        <v>4343</v>
      </c>
      <c r="J683" s="89" t="s">
        <v>4344</v>
      </c>
      <c r="K683" s="88" t="s">
        <v>2256</v>
      </c>
      <c r="L683" s="90">
        <v>0</v>
      </c>
    </row>
    <row r="684" spans="1:12" x14ac:dyDescent="0.3">
      <c r="A684" s="88" t="s">
        <v>4369</v>
      </c>
      <c r="B684" s="88" t="s">
        <v>2251</v>
      </c>
      <c r="C684" s="88" t="s">
        <v>4370</v>
      </c>
      <c r="D684" s="88" t="s">
        <v>4371</v>
      </c>
      <c r="E684" s="88" t="s">
        <v>2254</v>
      </c>
      <c r="F684" s="88" t="s">
        <v>2255</v>
      </c>
      <c r="G684" s="88" t="s">
        <v>2256</v>
      </c>
      <c r="H684" s="89" t="s">
        <v>4141</v>
      </c>
      <c r="I684" s="89" t="s">
        <v>4343</v>
      </c>
      <c r="J684" s="89" t="s">
        <v>4344</v>
      </c>
      <c r="K684" s="88" t="s">
        <v>2256</v>
      </c>
      <c r="L684" s="90">
        <v>0</v>
      </c>
    </row>
    <row r="685" spans="1:12" x14ac:dyDescent="0.3">
      <c r="A685" s="88" t="s">
        <v>4372</v>
      </c>
      <c r="B685" s="88" t="s">
        <v>2449</v>
      </c>
      <c r="C685" s="88" t="s">
        <v>4373</v>
      </c>
      <c r="D685" s="88" t="s">
        <v>4374</v>
      </c>
      <c r="E685" s="88" t="s">
        <v>2254</v>
      </c>
      <c r="F685" s="88" t="s">
        <v>2267</v>
      </c>
      <c r="G685" s="88" t="s">
        <v>2256</v>
      </c>
      <c r="H685" s="89" t="s">
        <v>4141</v>
      </c>
      <c r="I685" s="89" t="s">
        <v>4343</v>
      </c>
      <c r="J685" s="89" t="s">
        <v>4344</v>
      </c>
      <c r="K685" s="88" t="s">
        <v>2256</v>
      </c>
      <c r="L685" s="90">
        <v>22000</v>
      </c>
    </row>
    <row r="686" spans="1:12" x14ac:dyDescent="0.3">
      <c r="A686" s="88" t="s">
        <v>4375</v>
      </c>
      <c r="B686" s="88" t="s">
        <v>2449</v>
      </c>
      <c r="C686" s="88" t="s">
        <v>4376</v>
      </c>
      <c r="D686" s="88" t="s">
        <v>4376</v>
      </c>
      <c r="E686" s="88" t="s">
        <v>2254</v>
      </c>
      <c r="F686" s="88" t="s">
        <v>2267</v>
      </c>
      <c r="G686" s="88" t="s">
        <v>2256</v>
      </c>
      <c r="H686" s="89" t="s">
        <v>4141</v>
      </c>
      <c r="I686" s="89" t="s">
        <v>4343</v>
      </c>
      <c r="J686" s="89" t="s">
        <v>4344</v>
      </c>
      <c r="K686" s="88" t="s">
        <v>2256</v>
      </c>
      <c r="L686" s="90">
        <v>0</v>
      </c>
    </row>
    <row r="687" spans="1:12" x14ac:dyDescent="0.3">
      <c r="A687" s="88" t="s">
        <v>4377</v>
      </c>
      <c r="B687" s="88" t="s">
        <v>2269</v>
      </c>
      <c r="C687" s="88" t="s">
        <v>4378</v>
      </c>
      <c r="D687" s="88" t="s">
        <v>4379</v>
      </c>
      <c r="E687" s="88" t="s">
        <v>2254</v>
      </c>
      <c r="F687" s="88" t="s">
        <v>2284</v>
      </c>
      <c r="G687" s="88" t="s">
        <v>4380</v>
      </c>
      <c r="H687" s="89" t="s">
        <v>4381</v>
      </c>
      <c r="I687" s="89" t="s">
        <v>4382</v>
      </c>
      <c r="J687" s="89" t="s">
        <v>4383</v>
      </c>
      <c r="K687" s="88" t="s">
        <v>4380</v>
      </c>
      <c r="L687" s="90">
        <v>0</v>
      </c>
    </row>
    <row r="688" spans="1:12" x14ac:dyDescent="0.3">
      <c r="A688" s="88" t="s">
        <v>4384</v>
      </c>
      <c r="B688" s="88" t="s">
        <v>2269</v>
      </c>
      <c r="C688" s="88" t="s">
        <v>4385</v>
      </c>
      <c r="D688" s="88" t="s">
        <v>4386</v>
      </c>
      <c r="E688" s="88" t="s">
        <v>2254</v>
      </c>
      <c r="F688" s="88" t="s">
        <v>2284</v>
      </c>
      <c r="G688" s="88" t="s">
        <v>4380</v>
      </c>
      <c r="H688" s="89" t="s">
        <v>4381</v>
      </c>
      <c r="I688" s="89" t="s">
        <v>4382</v>
      </c>
      <c r="J688" s="89" t="s">
        <v>4387</v>
      </c>
      <c r="K688" s="88" t="s">
        <v>4380</v>
      </c>
      <c r="L688" s="90">
        <v>0</v>
      </c>
    </row>
    <row r="689" spans="1:12" x14ac:dyDescent="0.3">
      <c r="A689" s="88" t="s">
        <v>4388</v>
      </c>
      <c r="B689" s="88" t="s">
        <v>2269</v>
      </c>
      <c r="C689" s="88" t="s">
        <v>4389</v>
      </c>
      <c r="D689" s="88" t="s">
        <v>4390</v>
      </c>
      <c r="E689" s="88" t="s">
        <v>2254</v>
      </c>
      <c r="F689" s="88" t="s">
        <v>2284</v>
      </c>
      <c r="G689" s="88" t="s">
        <v>2256</v>
      </c>
      <c r="H689" s="89" t="s">
        <v>4381</v>
      </c>
      <c r="I689" s="89" t="s">
        <v>4382</v>
      </c>
      <c r="J689" s="89" t="s">
        <v>4391</v>
      </c>
      <c r="K689" s="88" t="s">
        <v>4380</v>
      </c>
      <c r="L689" s="90">
        <v>0</v>
      </c>
    </row>
    <row r="690" spans="1:12" x14ac:dyDescent="0.3">
      <c r="A690" s="88" t="s">
        <v>4392</v>
      </c>
      <c r="B690" s="88" t="s">
        <v>2269</v>
      </c>
      <c r="C690" s="88" t="s">
        <v>4393</v>
      </c>
      <c r="D690" s="88" t="s">
        <v>4394</v>
      </c>
      <c r="E690" s="88" t="s">
        <v>2254</v>
      </c>
      <c r="F690" s="88" t="s">
        <v>2284</v>
      </c>
      <c r="G690" s="88" t="s">
        <v>4380</v>
      </c>
      <c r="H690" s="89" t="s">
        <v>4381</v>
      </c>
      <c r="I690" s="89" t="s">
        <v>4395</v>
      </c>
      <c r="J690" s="89" t="s">
        <v>4396</v>
      </c>
      <c r="K690" s="88" t="s">
        <v>4380</v>
      </c>
      <c r="L690" s="90">
        <v>0</v>
      </c>
    </row>
    <row r="691" spans="1:12" x14ac:dyDescent="0.3">
      <c r="A691" s="88" t="s">
        <v>4397</v>
      </c>
      <c r="B691" s="88" t="s">
        <v>2260</v>
      </c>
      <c r="C691" s="88" t="s">
        <v>4398</v>
      </c>
      <c r="D691" s="88" t="s">
        <v>4398</v>
      </c>
      <c r="E691" s="88" t="s">
        <v>2254</v>
      </c>
      <c r="F691" s="88" t="s">
        <v>2304</v>
      </c>
      <c r="G691" s="88" t="s">
        <v>2256</v>
      </c>
      <c r="H691" s="89" t="s">
        <v>4381</v>
      </c>
      <c r="I691" s="89" t="s">
        <v>4395</v>
      </c>
      <c r="J691" s="89" t="s">
        <v>4399</v>
      </c>
      <c r="K691" s="88" t="s">
        <v>4380</v>
      </c>
      <c r="L691" s="90">
        <v>0</v>
      </c>
    </row>
    <row r="692" spans="1:12" x14ac:dyDescent="0.3">
      <c r="A692" s="88" t="s">
        <v>4400</v>
      </c>
      <c r="B692" s="88" t="s">
        <v>2251</v>
      </c>
      <c r="C692" s="88" t="s">
        <v>4401</v>
      </c>
      <c r="D692" s="88" t="s">
        <v>4402</v>
      </c>
      <c r="E692" s="88" t="s">
        <v>2254</v>
      </c>
      <c r="F692" s="88" t="s">
        <v>2284</v>
      </c>
      <c r="G692" s="88" t="s">
        <v>2256</v>
      </c>
      <c r="H692" s="89" t="s">
        <v>4381</v>
      </c>
      <c r="I692" s="89" t="s">
        <v>4403</v>
      </c>
      <c r="J692" s="89" t="s">
        <v>4404</v>
      </c>
      <c r="K692" s="88" t="s">
        <v>4380</v>
      </c>
      <c r="L692" s="90">
        <v>800</v>
      </c>
    </row>
    <row r="693" spans="1:12" x14ac:dyDescent="0.3">
      <c r="A693" s="88" t="s">
        <v>4405</v>
      </c>
      <c r="B693" s="88" t="s">
        <v>2269</v>
      </c>
      <c r="C693" s="88" t="s">
        <v>4406</v>
      </c>
      <c r="D693" s="88" t="s">
        <v>4407</v>
      </c>
      <c r="E693" s="88" t="s">
        <v>2254</v>
      </c>
      <c r="F693" s="88" t="s">
        <v>2284</v>
      </c>
      <c r="G693" s="88" t="s">
        <v>4380</v>
      </c>
      <c r="H693" s="89" t="s">
        <v>4381</v>
      </c>
      <c r="I693" s="89" t="s">
        <v>4403</v>
      </c>
      <c r="J693" s="89" t="s">
        <v>4404</v>
      </c>
      <c r="K693" s="88" t="s">
        <v>4380</v>
      </c>
      <c r="L693" s="90">
        <v>0</v>
      </c>
    </row>
    <row r="694" spans="1:12" x14ac:dyDescent="0.3">
      <c r="A694" s="88" t="s">
        <v>4408</v>
      </c>
      <c r="B694" s="88" t="s">
        <v>2260</v>
      </c>
      <c r="C694" s="88" t="s">
        <v>4409</v>
      </c>
      <c r="D694" s="88" t="s">
        <v>4410</v>
      </c>
      <c r="E694" s="88" t="s">
        <v>2254</v>
      </c>
      <c r="F694" s="88" t="s">
        <v>2284</v>
      </c>
      <c r="G694" s="88" t="s">
        <v>2256</v>
      </c>
      <c r="H694" s="89" t="s">
        <v>4381</v>
      </c>
      <c r="I694" s="89" t="s">
        <v>4403</v>
      </c>
      <c r="J694" s="89" t="s">
        <v>4404</v>
      </c>
      <c r="K694" s="88" t="s">
        <v>4380</v>
      </c>
      <c r="L694" s="90">
        <v>0</v>
      </c>
    </row>
    <row r="695" spans="1:12" x14ac:dyDescent="0.3">
      <c r="A695" s="88" t="s">
        <v>4411</v>
      </c>
      <c r="B695" s="88" t="s">
        <v>2260</v>
      </c>
      <c r="C695" s="88" t="s">
        <v>4412</v>
      </c>
      <c r="D695" s="88" t="s">
        <v>4412</v>
      </c>
      <c r="E695" s="88" t="s">
        <v>2254</v>
      </c>
      <c r="F695" s="88" t="s">
        <v>2304</v>
      </c>
      <c r="G695" s="88" t="s">
        <v>2256</v>
      </c>
      <c r="H695" s="89" t="s">
        <v>4381</v>
      </c>
      <c r="I695" s="89" t="s">
        <v>4403</v>
      </c>
      <c r="J695" s="89" t="s">
        <v>4404</v>
      </c>
      <c r="K695" s="88" t="s">
        <v>4380</v>
      </c>
      <c r="L695" s="90">
        <v>0</v>
      </c>
    </row>
    <row r="696" spans="1:12" x14ac:dyDescent="0.3">
      <c r="A696" s="88" t="s">
        <v>4413</v>
      </c>
      <c r="B696" s="88" t="s">
        <v>2269</v>
      </c>
      <c r="C696" s="88" t="s">
        <v>4414</v>
      </c>
      <c r="D696" s="88" t="s">
        <v>4415</v>
      </c>
      <c r="E696" s="88" t="s">
        <v>2254</v>
      </c>
      <c r="F696" s="88" t="s">
        <v>2284</v>
      </c>
      <c r="G696" s="88" t="s">
        <v>4380</v>
      </c>
      <c r="H696" s="89" t="s">
        <v>4381</v>
      </c>
      <c r="I696" s="89" t="s">
        <v>4403</v>
      </c>
      <c r="J696" s="89" t="s">
        <v>4404</v>
      </c>
      <c r="K696" s="88" t="s">
        <v>4380</v>
      </c>
      <c r="L696" s="90">
        <v>0</v>
      </c>
    </row>
    <row r="697" spans="1:12" x14ac:dyDescent="0.3">
      <c r="A697" s="88" t="s">
        <v>4416</v>
      </c>
      <c r="B697" s="88" t="s">
        <v>2251</v>
      </c>
      <c r="C697" s="88" t="s">
        <v>4417</v>
      </c>
      <c r="D697" s="88" t="s">
        <v>4418</v>
      </c>
      <c r="E697" s="88" t="s">
        <v>2254</v>
      </c>
      <c r="F697" s="88" t="s">
        <v>2284</v>
      </c>
      <c r="G697" s="88" t="s">
        <v>2256</v>
      </c>
      <c r="H697" s="89" t="s">
        <v>4381</v>
      </c>
      <c r="I697" s="89" t="s">
        <v>4403</v>
      </c>
      <c r="J697" s="89" t="s">
        <v>4404</v>
      </c>
      <c r="K697" s="88" t="s">
        <v>4380</v>
      </c>
      <c r="L697" s="90">
        <v>1000</v>
      </c>
    </row>
    <row r="698" spans="1:12" x14ac:dyDescent="0.3">
      <c r="A698" s="88" t="s">
        <v>4419</v>
      </c>
      <c r="B698" s="88" t="s">
        <v>2269</v>
      </c>
      <c r="C698" s="88" t="s">
        <v>4420</v>
      </c>
      <c r="D698" s="88" t="s">
        <v>4420</v>
      </c>
      <c r="E698" s="88" t="s">
        <v>2254</v>
      </c>
      <c r="F698" s="88" t="s">
        <v>2267</v>
      </c>
      <c r="G698" s="88" t="s">
        <v>4380</v>
      </c>
      <c r="H698" s="89" t="s">
        <v>4381</v>
      </c>
      <c r="I698" s="89" t="s">
        <v>4421</v>
      </c>
      <c r="J698" s="89" t="s">
        <v>4421</v>
      </c>
      <c r="K698" s="88" t="s">
        <v>4380</v>
      </c>
      <c r="L698" s="90">
        <v>235000</v>
      </c>
    </row>
    <row r="699" spans="1:12" x14ac:dyDescent="0.3">
      <c r="A699" s="88" t="s">
        <v>4422</v>
      </c>
      <c r="B699" s="88" t="s">
        <v>2251</v>
      </c>
      <c r="C699" s="88" t="s">
        <v>4423</v>
      </c>
      <c r="D699" s="88" t="s">
        <v>4423</v>
      </c>
      <c r="E699" s="88" t="s">
        <v>2254</v>
      </c>
      <c r="F699" s="88" t="s">
        <v>2255</v>
      </c>
      <c r="G699" s="88" t="s">
        <v>2256</v>
      </c>
      <c r="H699" s="89" t="s">
        <v>4381</v>
      </c>
      <c r="I699" s="89" t="s">
        <v>4421</v>
      </c>
      <c r="J699" s="89" t="s">
        <v>4421</v>
      </c>
      <c r="K699" s="88" t="s">
        <v>4380</v>
      </c>
      <c r="L699" s="90">
        <v>0</v>
      </c>
    </row>
    <row r="700" spans="1:12" x14ac:dyDescent="0.3">
      <c r="A700" s="88" t="s">
        <v>4424</v>
      </c>
      <c r="B700" s="88" t="s">
        <v>2269</v>
      </c>
      <c r="C700" s="88" t="s">
        <v>4425</v>
      </c>
      <c r="D700" s="88" t="s">
        <v>4425</v>
      </c>
      <c r="E700" s="88" t="s">
        <v>2254</v>
      </c>
      <c r="F700" s="88" t="s">
        <v>2267</v>
      </c>
      <c r="G700" s="88" t="s">
        <v>4380</v>
      </c>
      <c r="H700" s="89" t="s">
        <v>4381</v>
      </c>
      <c r="I700" s="89" t="s">
        <v>4421</v>
      </c>
      <c r="J700" s="89" t="s">
        <v>4421</v>
      </c>
      <c r="K700" s="88" t="s">
        <v>4380</v>
      </c>
      <c r="L700" s="90">
        <v>315000</v>
      </c>
    </row>
    <row r="701" spans="1:12" x14ac:dyDescent="0.3">
      <c r="A701" s="88" t="s">
        <v>4426</v>
      </c>
      <c r="B701" s="88" t="s">
        <v>2269</v>
      </c>
      <c r="C701" s="88" t="s">
        <v>4427</v>
      </c>
      <c r="D701" s="88" t="s">
        <v>4427</v>
      </c>
      <c r="E701" s="88" t="s">
        <v>2254</v>
      </c>
      <c r="F701" s="88" t="s">
        <v>2267</v>
      </c>
      <c r="G701" s="88" t="s">
        <v>4380</v>
      </c>
      <c r="H701" s="89" t="s">
        <v>4381</v>
      </c>
      <c r="I701" s="89" t="s">
        <v>4421</v>
      </c>
      <c r="J701" s="89" t="s">
        <v>4421</v>
      </c>
      <c r="K701" s="88" t="s">
        <v>4380</v>
      </c>
      <c r="L701" s="90">
        <v>350000</v>
      </c>
    </row>
    <row r="702" spans="1:12" x14ac:dyDescent="0.3">
      <c r="A702" s="88" t="s">
        <v>4428</v>
      </c>
      <c r="B702" s="88" t="s">
        <v>2269</v>
      </c>
      <c r="C702" s="88" t="s">
        <v>4429</v>
      </c>
      <c r="D702" s="88" t="s">
        <v>4430</v>
      </c>
      <c r="E702" s="88" t="s">
        <v>2254</v>
      </c>
      <c r="F702" s="88" t="s">
        <v>2284</v>
      </c>
      <c r="G702" s="88" t="s">
        <v>4380</v>
      </c>
      <c r="H702" s="89" t="s">
        <v>4381</v>
      </c>
      <c r="I702" s="89" t="s">
        <v>4421</v>
      </c>
      <c r="J702" s="89" t="s">
        <v>4421</v>
      </c>
      <c r="K702" s="88" t="s">
        <v>4380</v>
      </c>
      <c r="L702" s="90">
        <v>0</v>
      </c>
    </row>
    <row r="703" spans="1:12" x14ac:dyDescent="0.3">
      <c r="A703" s="88" t="s">
        <v>4431</v>
      </c>
      <c r="B703" s="88" t="s">
        <v>4432</v>
      </c>
      <c r="C703" s="88" t="s">
        <v>4433</v>
      </c>
      <c r="D703" s="88" t="s">
        <v>4434</v>
      </c>
      <c r="E703" s="88" t="s">
        <v>2254</v>
      </c>
      <c r="F703" s="88" t="s">
        <v>2255</v>
      </c>
      <c r="G703" s="88" t="s">
        <v>4380</v>
      </c>
      <c r="H703" s="89" t="s">
        <v>4381</v>
      </c>
      <c r="I703" s="89" t="s">
        <v>4421</v>
      </c>
      <c r="J703" s="89" t="s">
        <v>4421</v>
      </c>
      <c r="K703" s="88" t="s">
        <v>4380</v>
      </c>
      <c r="L703" s="90">
        <v>0</v>
      </c>
    </row>
    <row r="704" spans="1:12" x14ac:dyDescent="0.3">
      <c r="A704" s="88" t="s">
        <v>4435</v>
      </c>
      <c r="B704" s="88" t="s">
        <v>2896</v>
      </c>
      <c r="C704" s="88" t="s">
        <v>4436</v>
      </c>
      <c r="D704" s="88" t="s">
        <v>4437</v>
      </c>
      <c r="E704" s="88" t="s">
        <v>2254</v>
      </c>
      <c r="F704" s="88" t="s">
        <v>2363</v>
      </c>
      <c r="G704" s="88" t="s">
        <v>4380</v>
      </c>
      <c r="H704" s="89" t="s">
        <v>4381</v>
      </c>
      <c r="I704" s="89" t="s">
        <v>4421</v>
      </c>
      <c r="J704" s="89" t="s">
        <v>4421</v>
      </c>
      <c r="K704" s="88" t="s">
        <v>4380</v>
      </c>
      <c r="L704" s="90">
        <v>0</v>
      </c>
    </row>
    <row r="705" spans="1:12" x14ac:dyDescent="0.3">
      <c r="A705" s="88" t="s">
        <v>4438</v>
      </c>
      <c r="B705" s="88" t="s">
        <v>2467</v>
      </c>
      <c r="C705" s="88" t="s">
        <v>4439</v>
      </c>
      <c r="D705" s="88" t="s">
        <v>4440</v>
      </c>
      <c r="E705" s="88" t="s">
        <v>2254</v>
      </c>
      <c r="F705" s="88" t="s">
        <v>2469</v>
      </c>
      <c r="G705" s="88" t="s">
        <v>4380</v>
      </c>
      <c r="H705" s="89" t="s">
        <v>4381</v>
      </c>
      <c r="I705" s="89" t="s">
        <v>4421</v>
      </c>
      <c r="J705" s="89" t="s">
        <v>4421</v>
      </c>
      <c r="K705" s="88" t="s">
        <v>4380</v>
      </c>
      <c r="L705" s="90">
        <v>0</v>
      </c>
    </row>
    <row r="706" spans="1:12" x14ac:dyDescent="0.3">
      <c r="A706" s="88" t="s">
        <v>4441</v>
      </c>
      <c r="B706" s="88" t="s">
        <v>2322</v>
      </c>
      <c r="C706" s="88" t="s">
        <v>4442</v>
      </c>
      <c r="D706" s="88" t="s">
        <v>4443</v>
      </c>
      <c r="E706" s="88" t="s">
        <v>2254</v>
      </c>
      <c r="F706" s="88" t="s">
        <v>2262</v>
      </c>
      <c r="G706" s="88" t="s">
        <v>4380</v>
      </c>
      <c r="H706" s="89" t="s">
        <v>4381</v>
      </c>
      <c r="I706" s="89" t="s">
        <v>4421</v>
      </c>
      <c r="J706" s="89" t="s">
        <v>4421</v>
      </c>
      <c r="K706" s="88" t="s">
        <v>4380</v>
      </c>
      <c r="L706" s="90">
        <v>0</v>
      </c>
    </row>
    <row r="707" spans="1:12" x14ac:dyDescent="0.3">
      <c r="A707" s="88" t="s">
        <v>4444</v>
      </c>
      <c r="B707" s="88" t="s">
        <v>2251</v>
      </c>
      <c r="C707" s="88" t="s">
        <v>4445</v>
      </c>
      <c r="D707" s="88" t="s">
        <v>4446</v>
      </c>
      <c r="E707" s="88" t="s">
        <v>2254</v>
      </c>
      <c r="F707" s="88" t="s">
        <v>2284</v>
      </c>
      <c r="G707" s="88" t="s">
        <v>4380</v>
      </c>
      <c r="H707" s="89" t="s">
        <v>4381</v>
      </c>
      <c r="I707" s="89" t="s">
        <v>4421</v>
      </c>
      <c r="J707" s="89" t="s">
        <v>4421</v>
      </c>
      <c r="K707" s="88" t="s">
        <v>4380</v>
      </c>
      <c r="L707" s="90">
        <v>0</v>
      </c>
    </row>
    <row r="708" spans="1:12" x14ac:dyDescent="0.3">
      <c r="A708" s="88" t="s">
        <v>4447</v>
      </c>
      <c r="B708" s="88" t="s">
        <v>2251</v>
      </c>
      <c r="C708" s="88" t="s">
        <v>4448</v>
      </c>
      <c r="D708" s="88" t="s">
        <v>4449</v>
      </c>
      <c r="E708" s="88" t="s">
        <v>2254</v>
      </c>
      <c r="F708" s="88" t="s">
        <v>2255</v>
      </c>
      <c r="G708" s="88" t="s">
        <v>2256</v>
      </c>
      <c r="H708" s="89" t="s">
        <v>4381</v>
      </c>
      <c r="I708" s="89" t="s">
        <v>4450</v>
      </c>
      <c r="J708" s="89" t="s">
        <v>4451</v>
      </c>
      <c r="K708" s="88" t="s">
        <v>2256</v>
      </c>
      <c r="L708" s="90">
        <v>1500</v>
      </c>
    </row>
    <row r="709" spans="1:12" x14ac:dyDescent="0.3">
      <c r="A709" s="88" t="s">
        <v>4452</v>
      </c>
      <c r="B709" s="88" t="s">
        <v>2251</v>
      </c>
      <c r="C709" s="88" t="s">
        <v>4453</v>
      </c>
      <c r="D709" s="88" t="s">
        <v>4454</v>
      </c>
      <c r="E709" s="88" t="s">
        <v>2254</v>
      </c>
      <c r="F709" s="88" t="s">
        <v>2255</v>
      </c>
      <c r="G709" s="88" t="s">
        <v>2256</v>
      </c>
      <c r="H709" s="89" t="s">
        <v>4381</v>
      </c>
      <c r="I709" s="89" t="s">
        <v>4450</v>
      </c>
      <c r="J709" s="89" t="s">
        <v>4451</v>
      </c>
      <c r="K709" s="88" t="s">
        <v>2256</v>
      </c>
      <c r="L709" s="90">
        <v>1500</v>
      </c>
    </row>
    <row r="710" spans="1:12" x14ac:dyDescent="0.3">
      <c r="A710" s="88" t="s">
        <v>4455</v>
      </c>
      <c r="B710" s="88" t="s">
        <v>2260</v>
      </c>
      <c r="C710" s="88" t="s">
        <v>4456</v>
      </c>
      <c r="D710" s="88" t="s">
        <v>4457</v>
      </c>
      <c r="E710" s="88" t="s">
        <v>2254</v>
      </c>
      <c r="F710" s="88" t="s">
        <v>2255</v>
      </c>
      <c r="G710" s="88" t="s">
        <v>2256</v>
      </c>
      <c r="H710" s="89" t="s">
        <v>4381</v>
      </c>
      <c r="I710" s="89" t="s">
        <v>4450</v>
      </c>
      <c r="J710" s="89" t="s">
        <v>4451</v>
      </c>
      <c r="K710" s="88" t="s">
        <v>2256</v>
      </c>
      <c r="L710" s="90">
        <v>0</v>
      </c>
    </row>
    <row r="711" spans="1:12" x14ac:dyDescent="0.3">
      <c r="A711" s="88" t="s">
        <v>4458</v>
      </c>
      <c r="B711" s="88" t="s">
        <v>2251</v>
      </c>
      <c r="C711" s="88" t="s">
        <v>4459</v>
      </c>
      <c r="D711" s="88" t="s">
        <v>4460</v>
      </c>
      <c r="E711" s="88" t="s">
        <v>2254</v>
      </c>
      <c r="F711" s="88" t="s">
        <v>2255</v>
      </c>
      <c r="G711" s="88" t="s">
        <v>2256</v>
      </c>
      <c r="H711" s="89" t="s">
        <v>4381</v>
      </c>
      <c r="I711" s="89" t="s">
        <v>4450</v>
      </c>
      <c r="J711" s="89" t="s">
        <v>4451</v>
      </c>
      <c r="K711" s="88" t="s">
        <v>2256</v>
      </c>
      <c r="L711" s="90">
        <v>2500</v>
      </c>
    </row>
    <row r="712" spans="1:12" x14ac:dyDescent="0.3">
      <c r="A712" s="88" t="s">
        <v>4461</v>
      </c>
      <c r="B712" s="88" t="s">
        <v>2449</v>
      </c>
      <c r="C712" s="88" t="s">
        <v>4462</v>
      </c>
      <c r="D712" s="88" t="s">
        <v>4463</v>
      </c>
      <c r="E712" s="88" t="s">
        <v>2348</v>
      </c>
      <c r="F712" s="88" t="s">
        <v>2284</v>
      </c>
      <c r="G712" s="88" t="s">
        <v>2256</v>
      </c>
      <c r="H712" s="89" t="s">
        <v>4381</v>
      </c>
      <c r="I712" s="89" t="s">
        <v>4450</v>
      </c>
      <c r="J712" s="89" t="s">
        <v>4451</v>
      </c>
      <c r="K712" s="88" t="s">
        <v>2256</v>
      </c>
      <c r="L712" s="90">
        <v>2500</v>
      </c>
    </row>
    <row r="713" spans="1:12" x14ac:dyDescent="0.3">
      <c r="A713" s="88" t="s">
        <v>4464</v>
      </c>
      <c r="B713" s="88" t="s">
        <v>2260</v>
      </c>
      <c r="C713" s="88" t="s">
        <v>4465</v>
      </c>
      <c r="D713" s="88" t="s">
        <v>4466</v>
      </c>
      <c r="E713" s="88" t="s">
        <v>2348</v>
      </c>
      <c r="F713" s="88" t="s">
        <v>2284</v>
      </c>
      <c r="G713" s="88" t="s">
        <v>2256</v>
      </c>
      <c r="H713" s="89" t="s">
        <v>4381</v>
      </c>
      <c r="I713" s="89" t="s">
        <v>4450</v>
      </c>
      <c r="J713" s="89" t="s">
        <v>4451</v>
      </c>
      <c r="K713" s="88" t="s">
        <v>2256</v>
      </c>
      <c r="L713" s="90">
        <v>3000</v>
      </c>
    </row>
    <row r="714" spans="1:12" x14ac:dyDescent="0.3">
      <c r="A714" s="88" t="s">
        <v>4467</v>
      </c>
      <c r="B714" s="88" t="s">
        <v>2269</v>
      </c>
      <c r="C714" s="88" t="s">
        <v>4468</v>
      </c>
      <c r="D714" s="88" t="s">
        <v>4469</v>
      </c>
      <c r="E714" s="88" t="s">
        <v>2254</v>
      </c>
      <c r="F714" s="88" t="s">
        <v>2284</v>
      </c>
      <c r="G714" s="88" t="s">
        <v>2256</v>
      </c>
      <c r="H714" s="89" t="s">
        <v>4381</v>
      </c>
      <c r="I714" s="89" t="s">
        <v>4450</v>
      </c>
      <c r="J714" s="89" t="s">
        <v>4451</v>
      </c>
      <c r="K714" s="88" t="s">
        <v>2256</v>
      </c>
      <c r="L714" s="90">
        <v>1500</v>
      </c>
    </row>
    <row r="715" spans="1:12" x14ac:dyDescent="0.3">
      <c r="A715" s="88" t="s">
        <v>4470</v>
      </c>
      <c r="B715" s="88" t="s">
        <v>2269</v>
      </c>
      <c r="C715" s="88" t="s">
        <v>4471</v>
      </c>
      <c r="D715" s="88" t="s">
        <v>4471</v>
      </c>
      <c r="E715" s="88" t="s">
        <v>2254</v>
      </c>
      <c r="F715" s="88" t="s">
        <v>2267</v>
      </c>
      <c r="G715" s="88" t="s">
        <v>2256</v>
      </c>
      <c r="H715" s="89" t="s">
        <v>4381</v>
      </c>
      <c r="I715" s="89" t="s">
        <v>4450</v>
      </c>
      <c r="J715" s="89" t="s">
        <v>4451</v>
      </c>
      <c r="K715" s="88" t="s">
        <v>2256</v>
      </c>
      <c r="L715" s="90">
        <v>0</v>
      </c>
    </row>
    <row r="716" spans="1:12" x14ac:dyDescent="0.3">
      <c r="A716" s="88" t="s">
        <v>4472</v>
      </c>
      <c r="B716" s="88" t="s">
        <v>2269</v>
      </c>
      <c r="C716" s="88" t="s">
        <v>4473</v>
      </c>
      <c r="D716" s="88" t="s">
        <v>4473</v>
      </c>
      <c r="E716" s="88" t="s">
        <v>2254</v>
      </c>
      <c r="F716" s="88" t="s">
        <v>2267</v>
      </c>
      <c r="G716" s="88" t="s">
        <v>2256</v>
      </c>
      <c r="H716" s="89" t="s">
        <v>4381</v>
      </c>
      <c r="I716" s="89" t="s">
        <v>4450</v>
      </c>
      <c r="J716" s="89" t="s">
        <v>4451</v>
      </c>
      <c r="K716" s="88" t="s">
        <v>2256</v>
      </c>
      <c r="L716" s="90">
        <v>2000</v>
      </c>
    </row>
    <row r="717" spans="1:12" x14ac:dyDescent="0.3">
      <c r="A717" s="88" t="s">
        <v>4474</v>
      </c>
      <c r="B717" s="88" t="s">
        <v>2269</v>
      </c>
      <c r="C717" s="88" t="s">
        <v>4475</v>
      </c>
      <c r="D717" s="88" t="s">
        <v>4476</v>
      </c>
      <c r="E717" s="88" t="s">
        <v>2348</v>
      </c>
      <c r="F717" s="88" t="s">
        <v>2267</v>
      </c>
      <c r="G717" s="88" t="s">
        <v>2256</v>
      </c>
      <c r="H717" s="89" t="s">
        <v>4381</v>
      </c>
      <c r="I717" s="89" t="s">
        <v>4450</v>
      </c>
      <c r="J717" s="89" t="s">
        <v>4451</v>
      </c>
      <c r="K717" s="88" t="s">
        <v>2256</v>
      </c>
      <c r="L717" s="90">
        <v>1500</v>
      </c>
    </row>
    <row r="718" spans="1:12" x14ac:dyDescent="0.3">
      <c r="A718" s="88" t="s">
        <v>4477</v>
      </c>
      <c r="B718" s="88" t="s">
        <v>2269</v>
      </c>
      <c r="C718" s="88" t="s">
        <v>4478</v>
      </c>
      <c r="D718" s="88" t="s">
        <v>4479</v>
      </c>
      <c r="E718" s="88" t="s">
        <v>2254</v>
      </c>
      <c r="F718" s="88" t="s">
        <v>2284</v>
      </c>
      <c r="G718" s="88" t="s">
        <v>2256</v>
      </c>
      <c r="H718" s="89" t="s">
        <v>4381</v>
      </c>
      <c r="I718" s="89" t="s">
        <v>4480</v>
      </c>
      <c r="J718" s="89" t="s">
        <v>4481</v>
      </c>
      <c r="K718" s="88" t="s">
        <v>2256</v>
      </c>
      <c r="L718" s="90">
        <v>0</v>
      </c>
    </row>
    <row r="719" spans="1:12" x14ac:dyDescent="0.3">
      <c r="A719" s="88" t="s">
        <v>4482</v>
      </c>
      <c r="B719" s="88" t="s">
        <v>2269</v>
      </c>
      <c r="C719" s="88" t="s">
        <v>4483</v>
      </c>
      <c r="D719" s="88" t="s">
        <v>4484</v>
      </c>
      <c r="E719" s="88" t="s">
        <v>2348</v>
      </c>
      <c r="F719" s="88" t="s">
        <v>2284</v>
      </c>
      <c r="G719" s="88" t="s">
        <v>2256</v>
      </c>
      <c r="H719" s="89" t="s">
        <v>4485</v>
      </c>
      <c r="I719" s="89" t="s">
        <v>4486</v>
      </c>
      <c r="J719" s="89" t="s">
        <v>4484</v>
      </c>
      <c r="K719" s="88" t="s">
        <v>2256</v>
      </c>
      <c r="L719" s="90">
        <v>700</v>
      </c>
    </row>
    <row r="720" spans="1:12" x14ac:dyDescent="0.3">
      <c r="A720" s="88" t="s">
        <v>4487</v>
      </c>
      <c r="B720" s="88" t="s">
        <v>2269</v>
      </c>
      <c r="C720" s="88" t="s">
        <v>4488</v>
      </c>
      <c r="D720" s="88" t="s">
        <v>4489</v>
      </c>
      <c r="E720" s="88" t="s">
        <v>2295</v>
      </c>
      <c r="F720" s="88" t="s">
        <v>2284</v>
      </c>
      <c r="G720" s="88" t="s">
        <v>2256</v>
      </c>
      <c r="H720" s="89" t="s">
        <v>4485</v>
      </c>
      <c r="I720" s="89" t="s">
        <v>4486</v>
      </c>
      <c r="J720" s="89" t="s">
        <v>4489</v>
      </c>
      <c r="K720" s="88" t="s">
        <v>2256</v>
      </c>
      <c r="L720" s="90">
        <v>1000</v>
      </c>
    </row>
    <row r="721" spans="1:12" x14ac:dyDescent="0.3">
      <c r="A721" s="88" t="s">
        <v>4490</v>
      </c>
      <c r="B721" s="88" t="s">
        <v>2269</v>
      </c>
      <c r="C721" s="88" t="s">
        <v>4491</v>
      </c>
      <c r="D721" s="88" t="s">
        <v>4492</v>
      </c>
      <c r="E721" s="88" t="s">
        <v>3174</v>
      </c>
      <c r="F721" s="88" t="s">
        <v>3175</v>
      </c>
      <c r="G721" s="88" t="s">
        <v>2256</v>
      </c>
      <c r="H721" s="89" t="s">
        <v>4485</v>
      </c>
      <c r="I721" s="89" t="s">
        <v>4493</v>
      </c>
      <c r="J721" s="89" t="s">
        <v>4494</v>
      </c>
      <c r="K721" s="88" t="s">
        <v>2256</v>
      </c>
      <c r="L721" s="90">
        <v>1500</v>
      </c>
    </row>
    <row r="722" spans="1:12" x14ac:dyDescent="0.3">
      <c r="A722" s="88" t="s">
        <v>4495</v>
      </c>
      <c r="B722" s="88" t="s">
        <v>2269</v>
      </c>
      <c r="C722" s="88" t="s">
        <v>4496</v>
      </c>
      <c r="D722" s="88" t="s">
        <v>4497</v>
      </c>
      <c r="E722" s="88" t="s">
        <v>3174</v>
      </c>
      <c r="F722" s="88" t="s">
        <v>3175</v>
      </c>
      <c r="G722" s="88" t="s">
        <v>2256</v>
      </c>
      <c r="H722" s="89" t="s">
        <v>4485</v>
      </c>
      <c r="I722" s="89" t="s">
        <v>4493</v>
      </c>
      <c r="J722" s="89" t="s">
        <v>4494</v>
      </c>
      <c r="K722" s="88" t="s">
        <v>2256</v>
      </c>
      <c r="L722" s="90">
        <v>1500</v>
      </c>
    </row>
    <row r="723" spans="1:12" x14ac:dyDescent="0.3">
      <c r="A723" s="88" t="s">
        <v>4498</v>
      </c>
      <c r="B723" s="88" t="s">
        <v>2269</v>
      </c>
      <c r="C723" s="88" t="s">
        <v>4499</v>
      </c>
      <c r="D723" s="88" t="s">
        <v>4500</v>
      </c>
      <c r="E723" s="88" t="s">
        <v>3174</v>
      </c>
      <c r="F723" s="88" t="s">
        <v>3175</v>
      </c>
      <c r="G723" s="88" t="s">
        <v>2256</v>
      </c>
      <c r="H723" s="89" t="s">
        <v>4485</v>
      </c>
      <c r="I723" s="89" t="s">
        <v>4493</v>
      </c>
      <c r="J723" s="89" t="s">
        <v>4494</v>
      </c>
      <c r="K723" s="88" t="s">
        <v>2256</v>
      </c>
      <c r="L723" s="90">
        <v>1500</v>
      </c>
    </row>
    <row r="724" spans="1:12" x14ac:dyDescent="0.3">
      <c r="A724" s="88" t="s">
        <v>4501</v>
      </c>
      <c r="B724" s="88" t="s">
        <v>2269</v>
      </c>
      <c r="C724" s="88" t="s">
        <v>4502</v>
      </c>
      <c r="D724" s="88" t="s">
        <v>4503</v>
      </c>
      <c r="E724" s="88" t="s">
        <v>3174</v>
      </c>
      <c r="F724" s="88" t="s">
        <v>3175</v>
      </c>
      <c r="G724" s="88" t="s">
        <v>2256</v>
      </c>
      <c r="H724" s="89" t="s">
        <v>4485</v>
      </c>
      <c r="I724" s="89" t="s">
        <v>4493</v>
      </c>
      <c r="J724" s="89" t="s">
        <v>4494</v>
      </c>
      <c r="K724" s="88" t="s">
        <v>2256</v>
      </c>
      <c r="L724" s="90">
        <v>2000</v>
      </c>
    </row>
    <row r="725" spans="1:12" x14ac:dyDescent="0.3">
      <c r="A725" s="88" t="s">
        <v>4504</v>
      </c>
      <c r="B725" s="88" t="s">
        <v>2269</v>
      </c>
      <c r="C725" s="88" t="s">
        <v>4505</v>
      </c>
      <c r="D725" s="88" t="s">
        <v>4506</v>
      </c>
      <c r="E725" s="88" t="s">
        <v>3174</v>
      </c>
      <c r="F725" s="88" t="s">
        <v>3175</v>
      </c>
      <c r="G725" s="88" t="s">
        <v>2256</v>
      </c>
      <c r="H725" s="89" t="s">
        <v>4485</v>
      </c>
      <c r="I725" s="89" t="s">
        <v>4493</v>
      </c>
      <c r="J725" s="89" t="s">
        <v>4494</v>
      </c>
      <c r="K725" s="88" t="s">
        <v>2256</v>
      </c>
      <c r="L725" s="90">
        <v>300</v>
      </c>
    </row>
    <row r="726" spans="1:12" x14ac:dyDescent="0.3">
      <c r="A726" s="88" t="s">
        <v>4507</v>
      </c>
      <c r="B726" s="88" t="s">
        <v>2269</v>
      </c>
      <c r="C726" s="88" t="s">
        <v>4508</v>
      </c>
      <c r="D726" s="88" t="s">
        <v>4509</v>
      </c>
      <c r="E726" s="88" t="s">
        <v>2348</v>
      </c>
      <c r="F726" s="88" t="s">
        <v>2284</v>
      </c>
      <c r="G726" s="88" t="s">
        <v>2256</v>
      </c>
      <c r="H726" s="89" t="s">
        <v>4485</v>
      </c>
      <c r="I726" s="89" t="s">
        <v>4510</v>
      </c>
      <c r="J726" s="89" t="s">
        <v>4509</v>
      </c>
      <c r="K726" s="88" t="s">
        <v>2256</v>
      </c>
      <c r="L726" s="90">
        <v>0</v>
      </c>
    </row>
    <row r="727" spans="1:12" x14ac:dyDescent="0.3">
      <c r="A727" s="88" t="s">
        <v>4511</v>
      </c>
      <c r="B727" s="88" t="s">
        <v>2269</v>
      </c>
      <c r="C727" s="88" t="s">
        <v>4512</v>
      </c>
      <c r="D727" s="88" t="s">
        <v>4513</v>
      </c>
      <c r="E727" s="88" t="s">
        <v>2254</v>
      </c>
      <c r="F727" s="88" t="s">
        <v>2255</v>
      </c>
      <c r="G727" s="88" t="s">
        <v>2256</v>
      </c>
      <c r="H727" s="89" t="s">
        <v>4485</v>
      </c>
      <c r="I727" s="89" t="s">
        <v>4514</v>
      </c>
      <c r="J727" s="89" t="s">
        <v>4515</v>
      </c>
      <c r="K727" s="88" t="s">
        <v>2256</v>
      </c>
      <c r="L727" s="90">
        <v>300</v>
      </c>
    </row>
  </sheetData>
  <autoFilter ref="A1:L727" xr:uid="{C4C5CEB0-CDB5-4567-B80A-7BEF18E5F056}"/>
  <conditionalFormatting sqref="A2:A727">
    <cfRule type="duplicateValues" dxfId="0" priority="1"/>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C3C6D-20B6-42E9-97C6-E14E6F44FF55}">
  <dimension ref="A1:W132"/>
  <sheetViews>
    <sheetView tabSelected="1" topLeftCell="D1" workbookViewId="0">
      <selection activeCell="O3" sqref="O3"/>
    </sheetView>
  </sheetViews>
  <sheetFormatPr defaultRowHeight="14.4" x14ac:dyDescent="0.3"/>
  <cols>
    <col min="1" max="16384" width="8.88671875" style="12"/>
  </cols>
  <sheetData>
    <row r="1" spans="1:23" ht="72" x14ac:dyDescent="0.3">
      <c r="A1" s="56" t="s">
        <v>1975</v>
      </c>
      <c r="B1" s="57" t="s">
        <v>1976</v>
      </c>
      <c r="C1" s="58" t="s">
        <v>1977</v>
      </c>
      <c r="D1" s="59" t="s">
        <v>1978</v>
      </c>
      <c r="E1" s="60" t="s">
        <v>1979</v>
      </c>
      <c r="F1" s="61" t="s">
        <v>1980</v>
      </c>
      <c r="G1" s="62" t="s">
        <v>1981</v>
      </c>
      <c r="H1" s="62" t="s">
        <v>1982</v>
      </c>
      <c r="I1" s="62" t="s">
        <v>1983</v>
      </c>
      <c r="J1" s="62" t="s">
        <v>1984</v>
      </c>
      <c r="K1" s="62" t="s">
        <v>1985</v>
      </c>
      <c r="L1" s="58" t="s">
        <v>1986</v>
      </c>
      <c r="M1" s="62" t="s">
        <v>1987</v>
      </c>
      <c r="N1" s="62" t="s">
        <v>1988</v>
      </c>
      <c r="O1" s="63" t="s">
        <v>1547</v>
      </c>
      <c r="P1" s="63" t="s">
        <v>1989</v>
      </c>
      <c r="Q1" s="63" t="s">
        <v>2</v>
      </c>
      <c r="R1" s="63" t="s">
        <v>1990</v>
      </c>
      <c r="S1" s="62" t="s">
        <v>1991</v>
      </c>
      <c r="T1" s="62" t="s">
        <v>1992</v>
      </c>
      <c r="U1" s="62" t="s">
        <v>1993</v>
      </c>
      <c r="V1" s="62" t="s">
        <v>1994</v>
      </c>
      <c r="W1" s="62" t="s">
        <v>1995</v>
      </c>
    </row>
    <row r="2" spans="1:23" ht="43.2" x14ac:dyDescent="0.3">
      <c r="A2" s="12">
        <v>1</v>
      </c>
      <c r="B2" s="64" t="s">
        <v>1996</v>
      </c>
      <c r="C2" s="12" t="s">
        <v>1997</v>
      </c>
      <c r="D2" s="12" t="s">
        <v>1998</v>
      </c>
      <c r="E2" s="65" t="s">
        <v>168</v>
      </c>
      <c r="F2" s="66">
        <v>38341</v>
      </c>
      <c r="G2" s="12" t="s">
        <v>1999</v>
      </c>
      <c r="H2" s="12" t="s">
        <v>684</v>
      </c>
      <c r="I2" s="12" t="s">
        <v>2000</v>
      </c>
      <c r="J2" s="12" t="s">
        <v>547</v>
      </c>
      <c r="K2" s="67" t="s">
        <v>2001</v>
      </c>
      <c r="L2" s="67" t="s">
        <v>1428</v>
      </c>
      <c r="M2" s="12" t="s">
        <v>2002</v>
      </c>
      <c r="N2" s="12" t="s">
        <v>1428</v>
      </c>
      <c r="O2" s="12" t="s">
        <v>2003</v>
      </c>
      <c r="P2" s="12" t="s">
        <v>2004</v>
      </c>
      <c r="Q2" s="12" t="s">
        <v>2005</v>
      </c>
      <c r="R2" s="12" t="s">
        <v>2006</v>
      </c>
      <c r="S2" s="12" t="s">
        <v>2007</v>
      </c>
      <c r="T2" s="12" t="s">
        <v>2008</v>
      </c>
      <c r="U2" s="12" t="s">
        <v>2009</v>
      </c>
      <c r="V2" s="12" t="s">
        <v>1428</v>
      </c>
      <c r="W2" s="12" t="s">
        <v>2010</v>
      </c>
    </row>
    <row r="3" spans="1:23" ht="28.8" x14ac:dyDescent="0.3">
      <c r="A3" s="12">
        <v>2</v>
      </c>
      <c r="B3" s="64" t="s">
        <v>1890</v>
      </c>
      <c r="C3" s="12" t="s">
        <v>1888</v>
      </c>
      <c r="D3" s="12" t="s">
        <v>2011</v>
      </c>
      <c r="E3" s="65" t="s">
        <v>168</v>
      </c>
      <c r="F3" s="66">
        <v>41191</v>
      </c>
      <c r="G3" s="12" t="s">
        <v>1999</v>
      </c>
      <c r="H3" s="12" t="s">
        <v>684</v>
      </c>
      <c r="I3" s="12" t="s">
        <v>2000</v>
      </c>
      <c r="J3" s="12" t="s">
        <v>547</v>
      </c>
      <c r="K3" s="67" t="s">
        <v>2012</v>
      </c>
      <c r="L3" s="67" t="s">
        <v>590</v>
      </c>
      <c r="M3" s="12" t="s">
        <v>2013</v>
      </c>
      <c r="N3" s="12" t="s">
        <v>2014</v>
      </c>
      <c r="O3" s="12" t="s">
        <v>2003</v>
      </c>
      <c r="P3" s="12" t="s">
        <v>2014</v>
      </c>
      <c r="Q3" s="12" t="s">
        <v>2014</v>
      </c>
      <c r="R3" s="12" t="s">
        <v>2015</v>
      </c>
      <c r="S3" s="12" t="s">
        <v>2007</v>
      </c>
      <c r="T3" s="12" t="s">
        <v>2016</v>
      </c>
      <c r="U3" s="12" t="s">
        <v>1974</v>
      </c>
      <c r="V3" s="12" t="s">
        <v>2014</v>
      </c>
      <c r="W3" s="12" t="s">
        <v>2010</v>
      </c>
    </row>
    <row r="4" spans="1:23" ht="28.8" x14ac:dyDescent="0.3">
      <c r="A4" s="12">
        <f>A3+1</f>
        <v>3</v>
      </c>
      <c r="B4" s="64" t="s">
        <v>2017</v>
      </c>
      <c r="C4" s="12" t="s">
        <v>2018</v>
      </c>
      <c r="D4" s="12" t="s">
        <v>2011</v>
      </c>
      <c r="E4" s="65" t="s">
        <v>168</v>
      </c>
      <c r="F4" s="66">
        <v>42066</v>
      </c>
      <c r="G4" s="12" t="s">
        <v>1999</v>
      </c>
      <c r="H4" s="12" t="s">
        <v>684</v>
      </c>
      <c r="I4" s="12" t="s">
        <v>2019</v>
      </c>
      <c r="J4" s="12" t="s">
        <v>43</v>
      </c>
      <c r="K4" s="67" t="s">
        <v>2012</v>
      </c>
      <c r="L4" s="67" t="s">
        <v>590</v>
      </c>
      <c r="M4" s="12" t="s">
        <v>2013</v>
      </c>
      <c r="N4" s="12" t="s">
        <v>2014</v>
      </c>
      <c r="O4" s="12" t="s">
        <v>2003</v>
      </c>
      <c r="P4" s="12" t="s">
        <v>2014</v>
      </c>
      <c r="Q4" s="12" t="s">
        <v>2014</v>
      </c>
      <c r="R4" s="12" t="s">
        <v>2015</v>
      </c>
      <c r="S4" s="12" t="s">
        <v>2007</v>
      </c>
      <c r="T4" s="12" t="s">
        <v>2016</v>
      </c>
      <c r="U4" s="12" t="s">
        <v>1974</v>
      </c>
      <c r="V4" s="12" t="s">
        <v>2014</v>
      </c>
      <c r="W4" s="12" t="s">
        <v>2010</v>
      </c>
    </row>
    <row r="5" spans="1:23" ht="28.8" x14ac:dyDescent="0.3">
      <c r="A5" s="12">
        <f t="shared" ref="A5:A68" si="0">A4+1</f>
        <v>4</v>
      </c>
      <c r="B5" s="64" t="s">
        <v>2020</v>
      </c>
      <c r="C5" s="12" t="s">
        <v>2021</v>
      </c>
      <c r="D5" s="12" t="s">
        <v>2011</v>
      </c>
      <c r="E5" s="65" t="s">
        <v>168</v>
      </c>
      <c r="F5" s="66">
        <v>42887</v>
      </c>
      <c r="G5" s="12" t="s">
        <v>1999</v>
      </c>
      <c r="H5" s="12" t="s">
        <v>684</v>
      </c>
      <c r="I5" s="12" t="s">
        <v>2000</v>
      </c>
      <c r="J5" s="12" t="s">
        <v>547</v>
      </c>
      <c r="K5" s="67" t="s">
        <v>2012</v>
      </c>
      <c r="L5" s="67" t="s">
        <v>590</v>
      </c>
      <c r="M5" s="12" t="s">
        <v>2013</v>
      </c>
      <c r="N5" s="12" t="s">
        <v>2014</v>
      </c>
      <c r="O5" s="12" t="s">
        <v>2003</v>
      </c>
      <c r="P5" s="12" t="s">
        <v>2014</v>
      </c>
      <c r="Q5" s="12" t="s">
        <v>2014</v>
      </c>
      <c r="R5" s="12" t="s">
        <v>2015</v>
      </c>
      <c r="S5" s="12" t="s">
        <v>2007</v>
      </c>
      <c r="T5" s="12" t="s">
        <v>2016</v>
      </c>
      <c r="U5" s="12" t="s">
        <v>1974</v>
      </c>
      <c r="V5" s="12" t="s">
        <v>2014</v>
      </c>
      <c r="W5" s="12" t="s">
        <v>2010</v>
      </c>
    </row>
    <row r="6" spans="1:23" ht="57.6" x14ac:dyDescent="0.3">
      <c r="A6" s="12">
        <f t="shared" si="0"/>
        <v>5</v>
      </c>
      <c r="B6" s="64" t="s">
        <v>2022</v>
      </c>
      <c r="C6" s="12" t="s">
        <v>1973</v>
      </c>
      <c r="D6" s="12" t="s">
        <v>2023</v>
      </c>
      <c r="E6" s="65" t="s">
        <v>168</v>
      </c>
      <c r="F6" s="66">
        <v>41715</v>
      </c>
      <c r="G6" s="12" t="s">
        <v>2024</v>
      </c>
      <c r="H6" s="12" t="s">
        <v>684</v>
      </c>
      <c r="I6" s="12" t="s">
        <v>2000</v>
      </c>
      <c r="J6" s="12" t="s">
        <v>547</v>
      </c>
      <c r="K6" s="67" t="s">
        <v>2025</v>
      </c>
      <c r="L6" s="67" t="s">
        <v>2026</v>
      </c>
      <c r="M6" s="12" t="s">
        <v>2013</v>
      </c>
      <c r="N6" s="12" t="s">
        <v>2014</v>
      </c>
      <c r="O6" s="12" t="s">
        <v>2003</v>
      </c>
      <c r="P6" s="12" t="s">
        <v>2004</v>
      </c>
      <c r="Q6" s="12" t="s">
        <v>2014</v>
      </c>
      <c r="R6" s="12" t="s">
        <v>2015</v>
      </c>
      <c r="S6" s="12" t="s">
        <v>2007</v>
      </c>
      <c r="T6" s="12" t="s">
        <v>2016</v>
      </c>
      <c r="U6" s="12" t="s">
        <v>2027</v>
      </c>
      <c r="V6" s="12" t="s">
        <v>2014</v>
      </c>
      <c r="W6" s="12" t="s">
        <v>2010</v>
      </c>
    </row>
    <row r="7" spans="1:23" ht="43.2" x14ac:dyDescent="0.3">
      <c r="A7" s="12">
        <f t="shared" si="0"/>
        <v>6</v>
      </c>
      <c r="B7" s="64" t="s">
        <v>1911</v>
      </c>
      <c r="C7" s="12" t="s">
        <v>1909</v>
      </c>
      <c r="D7" s="12" t="s">
        <v>2028</v>
      </c>
      <c r="E7" s="65" t="s">
        <v>168</v>
      </c>
      <c r="F7" s="66">
        <v>41438</v>
      </c>
      <c r="G7" s="12" t="s">
        <v>1999</v>
      </c>
      <c r="H7" s="12" t="s">
        <v>684</v>
      </c>
      <c r="I7" s="12" t="s">
        <v>2000</v>
      </c>
      <c r="J7" s="12" t="s">
        <v>547</v>
      </c>
      <c r="K7" s="67" t="s">
        <v>2029</v>
      </c>
      <c r="L7" s="67" t="s">
        <v>511</v>
      </c>
      <c r="M7" s="12" t="s">
        <v>2013</v>
      </c>
      <c r="N7" s="12" t="s">
        <v>2014</v>
      </c>
      <c r="O7" s="12" t="s">
        <v>2003</v>
      </c>
      <c r="P7" s="12" t="s">
        <v>2014</v>
      </c>
      <c r="Q7" s="12" t="s">
        <v>2014</v>
      </c>
      <c r="R7" s="12" t="s">
        <v>2015</v>
      </c>
      <c r="S7" s="12" t="s">
        <v>2007</v>
      </c>
      <c r="T7" s="12" t="s">
        <v>2016</v>
      </c>
      <c r="U7" s="12" t="s">
        <v>1974</v>
      </c>
      <c r="V7" s="12" t="s">
        <v>2014</v>
      </c>
      <c r="W7" s="12" t="s">
        <v>2010</v>
      </c>
    </row>
    <row r="8" spans="1:23" x14ac:dyDescent="0.3">
      <c r="A8" s="12">
        <f t="shared" si="0"/>
        <v>7</v>
      </c>
      <c r="B8" s="64" t="s">
        <v>1876</v>
      </c>
      <c r="C8" s="12" t="s">
        <v>1874</v>
      </c>
      <c r="D8" s="12" t="s">
        <v>2030</v>
      </c>
      <c r="E8" s="65" t="s">
        <v>168</v>
      </c>
      <c r="F8" s="66">
        <v>41353</v>
      </c>
      <c r="G8" s="12" t="s">
        <v>1999</v>
      </c>
      <c r="H8" s="12" t="s">
        <v>684</v>
      </c>
      <c r="I8" s="12" t="s">
        <v>2000</v>
      </c>
      <c r="J8" s="12" t="s">
        <v>547</v>
      </c>
      <c r="K8" s="67" t="s">
        <v>2031</v>
      </c>
      <c r="L8" s="67" t="s">
        <v>2032</v>
      </c>
      <c r="M8" s="12" t="s">
        <v>2013</v>
      </c>
      <c r="N8" s="12" t="s">
        <v>2014</v>
      </c>
      <c r="O8" s="12" t="s">
        <v>2003</v>
      </c>
      <c r="P8" s="12" t="s">
        <v>2014</v>
      </c>
      <c r="Q8" s="12" t="s">
        <v>2014</v>
      </c>
      <c r="R8" s="12" t="s">
        <v>2015</v>
      </c>
      <c r="S8" s="12" t="s">
        <v>2007</v>
      </c>
      <c r="T8" s="12" t="s">
        <v>2016</v>
      </c>
      <c r="U8" s="12" t="s">
        <v>1970</v>
      </c>
      <c r="V8" s="12" t="s">
        <v>2014</v>
      </c>
      <c r="W8" s="12" t="s">
        <v>2010</v>
      </c>
    </row>
    <row r="9" spans="1:23" ht="43.2" x14ac:dyDescent="0.3">
      <c r="A9" s="12">
        <f t="shared" si="0"/>
        <v>8</v>
      </c>
      <c r="B9" s="64" t="s">
        <v>1685</v>
      </c>
      <c r="C9" s="12" t="s">
        <v>1683</v>
      </c>
      <c r="D9" s="12" t="s">
        <v>2030</v>
      </c>
      <c r="E9" s="65" t="s">
        <v>168</v>
      </c>
      <c r="F9" s="66">
        <v>41344</v>
      </c>
      <c r="G9" s="12" t="s">
        <v>1999</v>
      </c>
      <c r="H9" s="12" t="s">
        <v>684</v>
      </c>
      <c r="I9" s="12" t="s">
        <v>2000</v>
      </c>
      <c r="J9" s="12" t="s">
        <v>547</v>
      </c>
      <c r="K9" s="67" t="s">
        <v>2033</v>
      </c>
      <c r="L9" s="67" t="s">
        <v>2034</v>
      </c>
      <c r="M9" s="12" t="s">
        <v>2013</v>
      </c>
      <c r="N9" s="12" t="s">
        <v>2014</v>
      </c>
      <c r="O9" s="12" t="s">
        <v>2003</v>
      </c>
      <c r="P9" s="12" t="s">
        <v>2014</v>
      </c>
      <c r="Q9" s="12" t="s">
        <v>2014</v>
      </c>
      <c r="R9" s="12" t="s">
        <v>2015</v>
      </c>
      <c r="S9" s="12" t="s">
        <v>2007</v>
      </c>
      <c r="T9" s="12" t="s">
        <v>2016</v>
      </c>
      <c r="U9" s="12" t="s">
        <v>1973</v>
      </c>
      <c r="V9" s="12" t="s">
        <v>2014</v>
      </c>
      <c r="W9" s="12" t="s">
        <v>2010</v>
      </c>
    </row>
    <row r="10" spans="1:23" ht="28.8" x14ac:dyDescent="0.3">
      <c r="A10" s="12">
        <f t="shared" si="0"/>
        <v>9</v>
      </c>
      <c r="B10" s="64" t="s">
        <v>2035</v>
      </c>
      <c r="C10" s="12" t="s">
        <v>2036</v>
      </c>
      <c r="D10" s="12" t="s">
        <v>2011</v>
      </c>
      <c r="E10" s="65" t="s">
        <v>168</v>
      </c>
      <c r="F10" s="66">
        <v>42072</v>
      </c>
      <c r="G10" s="12" t="s">
        <v>1999</v>
      </c>
      <c r="H10" s="12" t="s">
        <v>684</v>
      </c>
      <c r="I10" s="12" t="s">
        <v>2000</v>
      </c>
      <c r="J10" s="12" t="s">
        <v>547</v>
      </c>
      <c r="K10" s="67" t="s">
        <v>2012</v>
      </c>
      <c r="L10" s="67" t="s">
        <v>590</v>
      </c>
      <c r="M10" s="12" t="s">
        <v>2013</v>
      </c>
      <c r="N10" s="12" t="s">
        <v>2014</v>
      </c>
      <c r="O10" s="12" t="s">
        <v>2003</v>
      </c>
      <c r="P10" s="12" t="s">
        <v>2014</v>
      </c>
      <c r="Q10" s="12" t="s">
        <v>2014</v>
      </c>
      <c r="R10" s="12" t="s">
        <v>2015</v>
      </c>
      <c r="S10" s="12" t="s">
        <v>2007</v>
      </c>
      <c r="T10" s="12" t="s">
        <v>2016</v>
      </c>
      <c r="U10" s="12" t="s">
        <v>1974</v>
      </c>
      <c r="V10" s="12" t="s">
        <v>2014</v>
      </c>
      <c r="W10" s="12" t="s">
        <v>2010</v>
      </c>
    </row>
    <row r="11" spans="1:23" x14ac:dyDescent="0.3">
      <c r="A11" s="12">
        <f t="shared" si="0"/>
        <v>10</v>
      </c>
      <c r="B11" s="64" t="s">
        <v>1718</v>
      </c>
      <c r="C11" s="12" t="s">
        <v>1716</v>
      </c>
      <c r="D11" s="12" t="s">
        <v>2030</v>
      </c>
      <c r="E11" s="65" t="s">
        <v>168</v>
      </c>
      <c r="F11" s="66">
        <v>42149</v>
      </c>
      <c r="G11" s="12" t="s">
        <v>1999</v>
      </c>
      <c r="H11" s="12" t="s">
        <v>684</v>
      </c>
      <c r="I11" s="12" t="s">
        <v>2000</v>
      </c>
      <c r="J11" s="12" t="s">
        <v>547</v>
      </c>
      <c r="K11" s="67" t="s">
        <v>2031</v>
      </c>
      <c r="L11" s="67" t="s">
        <v>2032</v>
      </c>
      <c r="M11" s="12" t="s">
        <v>2013</v>
      </c>
      <c r="N11" s="12" t="s">
        <v>2014</v>
      </c>
      <c r="O11" s="12" t="s">
        <v>2003</v>
      </c>
      <c r="P11" s="12" t="s">
        <v>2014</v>
      </c>
      <c r="Q11" s="12" t="s">
        <v>2014</v>
      </c>
      <c r="R11" s="12" t="s">
        <v>2015</v>
      </c>
      <c r="S11" s="12" t="s">
        <v>2007</v>
      </c>
      <c r="T11" s="12" t="s">
        <v>2016</v>
      </c>
      <c r="U11" s="12" t="s">
        <v>1973</v>
      </c>
      <c r="V11" s="12" t="s">
        <v>2014</v>
      </c>
      <c r="W11" s="12" t="s">
        <v>2010</v>
      </c>
    </row>
    <row r="12" spans="1:23" ht="43.2" x14ac:dyDescent="0.3">
      <c r="A12" s="12">
        <f t="shared" si="0"/>
        <v>11</v>
      </c>
      <c r="B12" s="64" t="s">
        <v>2037</v>
      </c>
      <c r="C12" s="12" t="s">
        <v>2038</v>
      </c>
      <c r="D12" s="12" t="s">
        <v>2039</v>
      </c>
      <c r="E12" s="65" t="s">
        <v>168</v>
      </c>
      <c r="F12" s="66">
        <v>44830</v>
      </c>
      <c r="G12" s="12" t="s">
        <v>2024</v>
      </c>
      <c r="H12" s="12" t="s">
        <v>684</v>
      </c>
      <c r="I12" s="12" t="s">
        <v>2040</v>
      </c>
      <c r="J12" s="12" t="s">
        <v>2041</v>
      </c>
      <c r="K12" s="67" t="s">
        <v>2042</v>
      </c>
      <c r="L12" s="67" t="s">
        <v>2043</v>
      </c>
      <c r="M12" s="12" t="s">
        <v>2013</v>
      </c>
      <c r="N12" s="12" t="s">
        <v>2014</v>
      </c>
      <c r="O12" s="12" t="s">
        <v>2044</v>
      </c>
      <c r="P12" s="12" t="s">
        <v>2004</v>
      </c>
      <c r="Q12" s="12" t="s">
        <v>2005</v>
      </c>
      <c r="R12" s="12" t="s">
        <v>2015</v>
      </c>
      <c r="S12" s="12" t="s">
        <v>2007</v>
      </c>
      <c r="T12" s="12" t="s">
        <v>2016</v>
      </c>
      <c r="U12" s="12" t="s">
        <v>2027</v>
      </c>
      <c r="V12" s="12" t="s">
        <v>2014</v>
      </c>
      <c r="W12" s="12" t="s">
        <v>2010</v>
      </c>
    </row>
    <row r="13" spans="1:23" ht="43.2" x14ac:dyDescent="0.3">
      <c r="A13" s="12">
        <f t="shared" si="0"/>
        <v>12</v>
      </c>
      <c r="B13" s="64" t="s">
        <v>2045</v>
      </c>
      <c r="C13" s="12" t="s">
        <v>2046</v>
      </c>
      <c r="D13" s="12" t="s">
        <v>2047</v>
      </c>
      <c r="E13" s="65" t="s">
        <v>168</v>
      </c>
      <c r="F13" s="66">
        <v>40882</v>
      </c>
      <c r="G13" s="12" t="s">
        <v>1999</v>
      </c>
      <c r="H13" s="12" t="s">
        <v>684</v>
      </c>
      <c r="I13" s="12" t="s">
        <v>2000</v>
      </c>
      <c r="J13" s="12" t="s">
        <v>547</v>
      </c>
      <c r="K13" s="67" t="s">
        <v>2033</v>
      </c>
      <c r="L13" s="67" t="s">
        <v>2034</v>
      </c>
      <c r="M13" s="12" t="s">
        <v>2013</v>
      </c>
      <c r="N13" s="12" t="s">
        <v>2014</v>
      </c>
      <c r="O13" s="12" t="s">
        <v>2003</v>
      </c>
      <c r="P13" s="12" t="s">
        <v>2014</v>
      </c>
      <c r="Q13" s="12" t="s">
        <v>2014</v>
      </c>
      <c r="R13" s="12" t="s">
        <v>2015</v>
      </c>
      <c r="S13" s="12" t="s">
        <v>2007</v>
      </c>
      <c r="T13" s="12" t="s">
        <v>2016</v>
      </c>
      <c r="U13" s="12" t="s">
        <v>1973</v>
      </c>
      <c r="V13" s="12" t="s">
        <v>2014</v>
      </c>
      <c r="W13" s="12" t="s">
        <v>2010</v>
      </c>
    </row>
    <row r="14" spans="1:23" ht="43.2" x14ac:dyDescent="0.3">
      <c r="A14" s="12">
        <f t="shared" si="0"/>
        <v>13</v>
      </c>
      <c r="B14" s="64" t="s">
        <v>1947</v>
      </c>
      <c r="C14" s="12" t="s">
        <v>1945</v>
      </c>
      <c r="D14" s="12" t="s">
        <v>2028</v>
      </c>
      <c r="E14" s="65" t="s">
        <v>168</v>
      </c>
      <c r="F14" s="66">
        <v>40330</v>
      </c>
      <c r="G14" s="12" t="s">
        <v>1999</v>
      </c>
      <c r="H14" s="12" t="s">
        <v>684</v>
      </c>
      <c r="I14" s="12" t="s">
        <v>2000</v>
      </c>
      <c r="J14" s="12" t="s">
        <v>547</v>
      </c>
      <c r="K14" s="67" t="s">
        <v>2029</v>
      </c>
      <c r="L14" s="67" t="s">
        <v>511</v>
      </c>
      <c r="M14" s="12" t="s">
        <v>2013</v>
      </c>
      <c r="N14" s="12" t="s">
        <v>2014</v>
      </c>
      <c r="O14" s="12" t="s">
        <v>2003</v>
      </c>
      <c r="P14" s="12" t="s">
        <v>2014</v>
      </c>
      <c r="Q14" s="12" t="s">
        <v>2014</v>
      </c>
      <c r="R14" s="12" t="s">
        <v>2015</v>
      </c>
      <c r="S14" s="12" t="s">
        <v>2007</v>
      </c>
      <c r="T14" s="12" t="s">
        <v>2016</v>
      </c>
      <c r="U14" s="12" t="s">
        <v>1974</v>
      </c>
      <c r="V14" s="12" t="s">
        <v>2014</v>
      </c>
      <c r="W14" s="12" t="s">
        <v>2010</v>
      </c>
    </row>
    <row r="15" spans="1:23" ht="57.6" x14ac:dyDescent="0.3">
      <c r="A15" s="12">
        <f t="shared" si="0"/>
        <v>14</v>
      </c>
      <c r="B15" s="64" t="s">
        <v>2048</v>
      </c>
      <c r="C15" s="12" t="s">
        <v>2049</v>
      </c>
      <c r="D15" s="12" t="s">
        <v>2011</v>
      </c>
      <c r="E15" s="65" t="s">
        <v>168</v>
      </c>
      <c r="F15" s="66">
        <v>42887</v>
      </c>
      <c r="G15" s="12" t="s">
        <v>1999</v>
      </c>
      <c r="H15" s="12" t="s">
        <v>684</v>
      </c>
      <c r="I15" s="12" t="s">
        <v>2019</v>
      </c>
      <c r="J15" s="12" t="s">
        <v>43</v>
      </c>
      <c r="K15" s="67" t="s">
        <v>2025</v>
      </c>
      <c r="L15" s="67" t="s">
        <v>2026</v>
      </c>
      <c r="M15" s="12" t="s">
        <v>2013</v>
      </c>
      <c r="N15" s="12" t="s">
        <v>2014</v>
      </c>
      <c r="O15" s="12" t="s">
        <v>2003</v>
      </c>
      <c r="P15" s="12" t="s">
        <v>2014</v>
      </c>
      <c r="Q15" s="12" t="s">
        <v>2014</v>
      </c>
      <c r="R15" s="12" t="s">
        <v>2015</v>
      </c>
      <c r="S15" s="12" t="s">
        <v>2007</v>
      </c>
      <c r="T15" s="12" t="s">
        <v>2016</v>
      </c>
      <c r="U15" s="12" t="s">
        <v>1974</v>
      </c>
      <c r="V15" s="12" t="s">
        <v>2014</v>
      </c>
      <c r="W15" s="12" t="s">
        <v>2010</v>
      </c>
    </row>
    <row r="16" spans="1:23" x14ac:dyDescent="0.3">
      <c r="A16" s="12">
        <f t="shared" si="0"/>
        <v>15</v>
      </c>
      <c r="B16" s="64" t="s">
        <v>1749</v>
      </c>
      <c r="C16" s="12" t="s">
        <v>1747</v>
      </c>
      <c r="D16" s="12" t="s">
        <v>2030</v>
      </c>
      <c r="E16" s="65" t="s">
        <v>168</v>
      </c>
      <c r="F16" s="66">
        <v>42051</v>
      </c>
      <c r="G16" s="12" t="s">
        <v>1999</v>
      </c>
      <c r="H16" s="12" t="s">
        <v>684</v>
      </c>
      <c r="I16" s="12" t="s">
        <v>2000</v>
      </c>
      <c r="J16" s="12" t="s">
        <v>547</v>
      </c>
      <c r="K16" s="67" t="s">
        <v>2031</v>
      </c>
      <c r="L16" s="67" t="s">
        <v>2032</v>
      </c>
      <c r="M16" s="12" t="s">
        <v>2013</v>
      </c>
      <c r="N16" s="12" t="s">
        <v>2014</v>
      </c>
      <c r="O16" s="12" t="s">
        <v>2003</v>
      </c>
      <c r="P16" s="12" t="s">
        <v>2014</v>
      </c>
      <c r="Q16" s="12" t="s">
        <v>2014</v>
      </c>
      <c r="R16" s="12" t="s">
        <v>2015</v>
      </c>
      <c r="S16" s="12" t="s">
        <v>2007</v>
      </c>
      <c r="T16" s="12" t="s">
        <v>2016</v>
      </c>
      <c r="U16" s="12" t="s">
        <v>1973</v>
      </c>
      <c r="V16" s="12" t="s">
        <v>2014</v>
      </c>
      <c r="W16" s="12" t="s">
        <v>2010</v>
      </c>
    </row>
    <row r="17" spans="1:23" x14ac:dyDescent="0.3">
      <c r="A17" s="12">
        <f t="shared" si="0"/>
        <v>16</v>
      </c>
      <c r="B17" s="64" t="s">
        <v>1705</v>
      </c>
      <c r="C17" s="12" t="s">
        <v>1703</v>
      </c>
      <c r="D17" s="12" t="s">
        <v>2030</v>
      </c>
      <c r="E17" s="65" t="s">
        <v>168</v>
      </c>
      <c r="F17" s="66">
        <v>40224</v>
      </c>
      <c r="G17" s="12" t="s">
        <v>1999</v>
      </c>
      <c r="H17" s="12" t="s">
        <v>684</v>
      </c>
      <c r="I17" s="12" t="s">
        <v>2000</v>
      </c>
      <c r="J17" s="12" t="s">
        <v>547</v>
      </c>
      <c r="K17" s="67" t="s">
        <v>2031</v>
      </c>
      <c r="L17" s="67" t="s">
        <v>2032</v>
      </c>
      <c r="M17" s="12" t="s">
        <v>2013</v>
      </c>
      <c r="N17" s="12" t="s">
        <v>2014</v>
      </c>
      <c r="O17" s="12" t="s">
        <v>2003</v>
      </c>
      <c r="P17" s="12" t="s">
        <v>2014</v>
      </c>
      <c r="Q17" s="12" t="s">
        <v>2014</v>
      </c>
      <c r="R17" s="12" t="s">
        <v>2015</v>
      </c>
      <c r="S17" s="12" t="s">
        <v>2007</v>
      </c>
      <c r="T17" s="12" t="s">
        <v>2016</v>
      </c>
      <c r="U17" s="12" t="s">
        <v>1973</v>
      </c>
      <c r="V17" s="12" t="s">
        <v>2014</v>
      </c>
      <c r="W17" s="12" t="s">
        <v>2010</v>
      </c>
    </row>
    <row r="18" spans="1:23" ht="28.8" x14ac:dyDescent="0.3">
      <c r="A18" s="12">
        <f t="shared" si="0"/>
        <v>17</v>
      </c>
      <c r="B18" s="64" t="s">
        <v>2050</v>
      </c>
      <c r="C18" s="12" t="s">
        <v>2051</v>
      </c>
      <c r="D18" s="12" t="s">
        <v>2011</v>
      </c>
      <c r="E18" s="65" t="s">
        <v>168</v>
      </c>
      <c r="F18" s="66">
        <v>41284</v>
      </c>
      <c r="G18" s="12" t="s">
        <v>1999</v>
      </c>
      <c r="H18" s="12" t="s">
        <v>684</v>
      </c>
      <c r="I18" s="12" t="s">
        <v>2000</v>
      </c>
      <c r="J18" s="12" t="s">
        <v>547</v>
      </c>
      <c r="K18" s="67" t="s">
        <v>2012</v>
      </c>
      <c r="L18" s="67" t="s">
        <v>590</v>
      </c>
      <c r="M18" s="12" t="s">
        <v>2013</v>
      </c>
      <c r="N18" s="12" t="s">
        <v>2014</v>
      </c>
      <c r="O18" s="12" t="s">
        <v>2003</v>
      </c>
      <c r="P18" s="12" t="s">
        <v>2014</v>
      </c>
      <c r="Q18" s="12" t="s">
        <v>2014</v>
      </c>
      <c r="R18" s="12" t="s">
        <v>2015</v>
      </c>
      <c r="S18" s="12" t="s">
        <v>2007</v>
      </c>
      <c r="T18" s="12" t="s">
        <v>2016</v>
      </c>
      <c r="U18" s="12" t="s">
        <v>1974</v>
      </c>
      <c r="V18" s="12" t="s">
        <v>2014</v>
      </c>
      <c r="W18" s="12" t="s">
        <v>2010</v>
      </c>
    </row>
    <row r="19" spans="1:23" ht="43.2" x14ac:dyDescent="0.3">
      <c r="A19" s="12">
        <f t="shared" si="0"/>
        <v>18</v>
      </c>
      <c r="B19" s="64" t="s">
        <v>1691</v>
      </c>
      <c r="C19" s="12" t="s">
        <v>1689</v>
      </c>
      <c r="D19" s="12" t="s">
        <v>2030</v>
      </c>
      <c r="E19" s="65" t="s">
        <v>168</v>
      </c>
      <c r="F19" s="66">
        <v>40884</v>
      </c>
      <c r="G19" s="12" t="s">
        <v>1999</v>
      </c>
      <c r="H19" s="12" t="s">
        <v>684</v>
      </c>
      <c r="I19" s="12" t="s">
        <v>2000</v>
      </c>
      <c r="J19" s="12" t="s">
        <v>547</v>
      </c>
      <c r="K19" s="67" t="s">
        <v>2033</v>
      </c>
      <c r="L19" s="67" t="s">
        <v>2034</v>
      </c>
      <c r="M19" s="12" t="s">
        <v>2013</v>
      </c>
      <c r="N19" s="12" t="s">
        <v>2014</v>
      </c>
      <c r="O19" s="12" t="s">
        <v>2003</v>
      </c>
      <c r="P19" s="12" t="s">
        <v>2014</v>
      </c>
      <c r="Q19" s="12" t="s">
        <v>2014</v>
      </c>
      <c r="R19" s="12" t="s">
        <v>2015</v>
      </c>
      <c r="S19" s="12" t="s">
        <v>2007</v>
      </c>
      <c r="T19" s="12" t="s">
        <v>2016</v>
      </c>
      <c r="U19" s="12" t="s">
        <v>1973</v>
      </c>
      <c r="V19" s="12" t="s">
        <v>2014</v>
      </c>
      <c r="W19" s="12" t="s">
        <v>2010</v>
      </c>
    </row>
    <row r="20" spans="1:23" ht="28.8" x14ac:dyDescent="0.3">
      <c r="A20" s="12">
        <f t="shared" si="0"/>
        <v>19</v>
      </c>
      <c r="B20" s="64" t="s">
        <v>2052</v>
      </c>
      <c r="C20" s="12" t="s">
        <v>2053</v>
      </c>
      <c r="D20" s="12" t="s">
        <v>2011</v>
      </c>
      <c r="E20" s="65" t="s">
        <v>168</v>
      </c>
      <c r="F20" s="66">
        <v>44337</v>
      </c>
      <c r="G20" s="12" t="s">
        <v>1999</v>
      </c>
      <c r="H20" s="12" t="s">
        <v>684</v>
      </c>
      <c r="I20" s="12" t="s">
        <v>2000</v>
      </c>
      <c r="J20" s="12" t="s">
        <v>547</v>
      </c>
      <c r="K20" s="67" t="s">
        <v>2012</v>
      </c>
      <c r="L20" s="67" t="s">
        <v>590</v>
      </c>
      <c r="M20" s="12" t="s">
        <v>2013</v>
      </c>
      <c r="N20" s="12" t="s">
        <v>2014</v>
      </c>
      <c r="O20" s="12" t="s">
        <v>2003</v>
      </c>
      <c r="P20" s="12" t="s">
        <v>2014</v>
      </c>
      <c r="Q20" s="12" t="s">
        <v>2014</v>
      </c>
      <c r="R20" s="12" t="s">
        <v>2015</v>
      </c>
      <c r="S20" s="12" t="s">
        <v>2007</v>
      </c>
      <c r="T20" s="12" t="s">
        <v>2016</v>
      </c>
      <c r="U20" s="12" t="s">
        <v>1974</v>
      </c>
      <c r="V20" s="12" t="s">
        <v>2014</v>
      </c>
      <c r="W20" s="12" t="s">
        <v>2010</v>
      </c>
    </row>
    <row r="21" spans="1:23" ht="28.8" x14ac:dyDescent="0.3">
      <c r="A21" s="12">
        <f t="shared" si="0"/>
        <v>20</v>
      </c>
      <c r="B21" s="64" t="s">
        <v>1900</v>
      </c>
      <c r="C21" s="12" t="s">
        <v>1898</v>
      </c>
      <c r="D21" s="12" t="s">
        <v>2030</v>
      </c>
      <c r="E21" s="65" t="s">
        <v>168</v>
      </c>
      <c r="F21" s="66">
        <v>39884</v>
      </c>
      <c r="G21" s="12" t="s">
        <v>1999</v>
      </c>
      <c r="H21" s="12" t="s">
        <v>684</v>
      </c>
      <c r="I21" s="12" t="s">
        <v>2000</v>
      </c>
      <c r="J21" s="12" t="s">
        <v>547</v>
      </c>
      <c r="K21" s="67" t="s">
        <v>2012</v>
      </c>
      <c r="L21" s="67" t="s">
        <v>590</v>
      </c>
      <c r="M21" s="12" t="s">
        <v>2013</v>
      </c>
      <c r="N21" s="12" t="s">
        <v>2014</v>
      </c>
      <c r="O21" s="12" t="s">
        <v>2003</v>
      </c>
      <c r="P21" s="12" t="s">
        <v>2014</v>
      </c>
      <c r="Q21" s="12" t="s">
        <v>2014</v>
      </c>
      <c r="R21" s="12" t="s">
        <v>2015</v>
      </c>
      <c r="S21" s="12" t="s">
        <v>2007</v>
      </c>
      <c r="T21" s="12" t="s">
        <v>2016</v>
      </c>
      <c r="U21" s="12" t="s">
        <v>1974</v>
      </c>
      <c r="V21" s="12" t="s">
        <v>2014</v>
      </c>
      <c r="W21" s="12" t="s">
        <v>2010</v>
      </c>
    </row>
    <row r="22" spans="1:23" ht="43.2" x14ac:dyDescent="0.3">
      <c r="A22" s="12">
        <f t="shared" si="0"/>
        <v>21</v>
      </c>
      <c r="B22" s="64" t="s">
        <v>1662</v>
      </c>
      <c r="C22" s="12" t="s">
        <v>1660</v>
      </c>
      <c r="D22" s="12" t="s">
        <v>2030</v>
      </c>
      <c r="E22" s="65" t="s">
        <v>168</v>
      </c>
      <c r="F22" s="66">
        <v>40107</v>
      </c>
      <c r="G22" s="12" t="s">
        <v>1999</v>
      </c>
      <c r="H22" s="12" t="s">
        <v>684</v>
      </c>
      <c r="I22" s="12" t="s">
        <v>2000</v>
      </c>
      <c r="J22" s="12" t="s">
        <v>547</v>
      </c>
      <c r="K22" s="67" t="s">
        <v>2033</v>
      </c>
      <c r="L22" s="67" t="s">
        <v>2034</v>
      </c>
      <c r="M22" s="12" t="s">
        <v>2013</v>
      </c>
      <c r="N22" s="12" t="s">
        <v>2014</v>
      </c>
      <c r="O22" s="12" t="s">
        <v>2003</v>
      </c>
      <c r="P22" s="12" t="s">
        <v>2014</v>
      </c>
      <c r="Q22" s="12" t="s">
        <v>2014</v>
      </c>
      <c r="R22" s="12" t="s">
        <v>2015</v>
      </c>
      <c r="S22" s="12" t="s">
        <v>2007</v>
      </c>
      <c r="T22" s="12" t="s">
        <v>2016</v>
      </c>
      <c r="U22" s="12" t="s">
        <v>1973</v>
      </c>
      <c r="V22" s="12" t="s">
        <v>2014</v>
      </c>
      <c r="W22" s="12" t="s">
        <v>2010</v>
      </c>
    </row>
    <row r="23" spans="1:23" ht="57.6" x14ac:dyDescent="0.3">
      <c r="A23" s="12">
        <f t="shared" si="0"/>
        <v>22</v>
      </c>
      <c r="B23" s="68" t="s">
        <v>2054</v>
      </c>
      <c r="C23" s="12" t="s">
        <v>2055</v>
      </c>
      <c r="D23" s="12" t="s">
        <v>2056</v>
      </c>
      <c r="E23" s="65" t="s">
        <v>168</v>
      </c>
      <c r="F23" s="66">
        <v>43556</v>
      </c>
      <c r="G23" s="12" t="s">
        <v>1999</v>
      </c>
      <c r="H23" s="12" t="s">
        <v>684</v>
      </c>
      <c r="I23" s="12" t="s">
        <v>2000</v>
      </c>
      <c r="J23" s="12" t="s">
        <v>547</v>
      </c>
      <c r="K23" s="67" t="s">
        <v>2025</v>
      </c>
      <c r="L23" s="67" t="s">
        <v>2026</v>
      </c>
      <c r="M23" s="12" t="s">
        <v>2002</v>
      </c>
      <c r="N23" s="12" t="s">
        <v>1428</v>
      </c>
      <c r="O23" s="12" t="s">
        <v>2003</v>
      </c>
      <c r="P23" s="12" t="s">
        <v>2004</v>
      </c>
      <c r="Q23" s="12" t="s">
        <v>2005</v>
      </c>
      <c r="R23" s="12" t="s">
        <v>2006</v>
      </c>
      <c r="S23" s="12" t="s">
        <v>2007</v>
      </c>
      <c r="T23" s="12" t="s">
        <v>2008</v>
      </c>
      <c r="U23" s="12" t="s">
        <v>2057</v>
      </c>
      <c r="V23" s="12" t="s">
        <v>2058</v>
      </c>
      <c r="W23" s="12" t="s">
        <v>2010</v>
      </c>
    </row>
    <row r="24" spans="1:23" x14ac:dyDescent="0.3">
      <c r="A24" s="12">
        <f t="shared" si="0"/>
        <v>23</v>
      </c>
      <c r="B24" s="64" t="s">
        <v>1765</v>
      </c>
      <c r="C24" s="12" t="s">
        <v>1763</v>
      </c>
      <c r="D24" s="12" t="s">
        <v>2030</v>
      </c>
      <c r="E24" s="65" t="s">
        <v>168</v>
      </c>
      <c r="F24" s="66">
        <v>40875</v>
      </c>
      <c r="G24" s="12" t="s">
        <v>1999</v>
      </c>
      <c r="H24" s="12" t="s">
        <v>684</v>
      </c>
      <c r="I24" s="12" t="s">
        <v>2000</v>
      </c>
      <c r="J24" s="12" t="s">
        <v>547</v>
      </c>
      <c r="K24" s="67" t="s">
        <v>2031</v>
      </c>
      <c r="L24" s="67" t="s">
        <v>2032</v>
      </c>
      <c r="M24" s="12" t="s">
        <v>2013</v>
      </c>
      <c r="N24" s="12" t="s">
        <v>2014</v>
      </c>
      <c r="O24" s="12" t="s">
        <v>2003</v>
      </c>
      <c r="P24" s="12" t="s">
        <v>2014</v>
      </c>
      <c r="Q24" s="12" t="s">
        <v>2014</v>
      </c>
      <c r="R24" s="12" t="s">
        <v>2015</v>
      </c>
      <c r="S24" s="12" t="s">
        <v>2007</v>
      </c>
      <c r="T24" s="12" t="s">
        <v>2016</v>
      </c>
      <c r="U24" s="12" t="s">
        <v>1973</v>
      </c>
      <c r="V24" s="12" t="s">
        <v>2014</v>
      </c>
      <c r="W24" s="12" t="s">
        <v>2010</v>
      </c>
    </row>
    <row r="25" spans="1:23" ht="43.2" x14ac:dyDescent="0.3">
      <c r="A25" s="12">
        <f t="shared" si="0"/>
        <v>24</v>
      </c>
      <c r="B25" s="64" t="s">
        <v>2059</v>
      </c>
      <c r="C25" s="12" t="s">
        <v>2060</v>
      </c>
      <c r="D25" s="12" t="s">
        <v>2061</v>
      </c>
      <c r="E25" s="65" t="s">
        <v>168</v>
      </c>
      <c r="F25" s="66">
        <v>38827</v>
      </c>
      <c r="G25" s="12" t="s">
        <v>1999</v>
      </c>
      <c r="H25" s="12" t="s">
        <v>684</v>
      </c>
      <c r="I25" s="12" t="s">
        <v>2019</v>
      </c>
      <c r="J25" s="12" t="s">
        <v>43</v>
      </c>
      <c r="K25" s="67" t="s">
        <v>2042</v>
      </c>
      <c r="L25" s="67" t="s">
        <v>2043</v>
      </c>
      <c r="M25" s="12" t="s">
        <v>2013</v>
      </c>
      <c r="N25" s="12" t="s">
        <v>2014</v>
      </c>
      <c r="O25" s="12" t="s">
        <v>2044</v>
      </c>
      <c r="P25" s="12" t="s">
        <v>2004</v>
      </c>
      <c r="Q25" s="12" t="s">
        <v>2005</v>
      </c>
      <c r="R25" s="12" t="s">
        <v>2015</v>
      </c>
      <c r="S25" s="12" t="s">
        <v>2007</v>
      </c>
      <c r="T25" s="12" t="s">
        <v>2016</v>
      </c>
      <c r="U25" s="12" t="s">
        <v>2027</v>
      </c>
      <c r="V25" s="12" t="s">
        <v>2014</v>
      </c>
      <c r="W25" s="12" t="s">
        <v>2010</v>
      </c>
    </row>
    <row r="26" spans="1:23" ht="57.6" x14ac:dyDescent="0.3">
      <c r="A26" s="12">
        <f t="shared" si="0"/>
        <v>25</v>
      </c>
      <c r="B26" s="64" t="s">
        <v>2062</v>
      </c>
      <c r="C26" s="12" t="s">
        <v>2063</v>
      </c>
      <c r="D26" s="65" t="s">
        <v>2064</v>
      </c>
      <c r="E26" s="69" t="s">
        <v>168</v>
      </c>
      <c r="F26" s="66">
        <v>45327</v>
      </c>
      <c r="G26" s="12" t="s">
        <v>1999</v>
      </c>
      <c r="H26" s="12" t="s">
        <v>684</v>
      </c>
      <c r="I26" s="12" t="s">
        <v>2000</v>
      </c>
      <c r="J26" s="12" t="s">
        <v>547</v>
      </c>
      <c r="K26" s="67" t="s">
        <v>2025</v>
      </c>
      <c r="L26" s="67" t="s">
        <v>2026</v>
      </c>
      <c r="M26" s="12" t="s">
        <v>2002</v>
      </c>
      <c r="N26" s="12" t="s">
        <v>1428</v>
      </c>
      <c r="O26" s="12" t="s">
        <v>2044</v>
      </c>
      <c r="P26" s="12" t="s">
        <v>2004</v>
      </c>
      <c r="Q26" s="12" t="s">
        <v>2005</v>
      </c>
      <c r="R26" s="12" t="s">
        <v>2015</v>
      </c>
      <c r="S26" s="12" t="s">
        <v>2007</v>
      </c>
      <c r="T26" s="12" t="s">
        <v>2008</v>
      </c>
      <c r="U26" s="12" t="s">
        <v>2065</v>
      </c>
      <c r="V26" s="12" t="s">
        <v>1428</v>
      </c>
      <c r="W26" s="12" t="s">
        <v>2010</v>
      </c>
    </row>
    <row r="27" spans="1:23" ht="43.2" x14ac:dyDescent="0.3">
      <c r="A27" s="12">
        <f t="shared" si="0"/>
        <v>26</v>
      </c>
      <c r="B27" s="64" t="s">
        <v>1666</v>
      </c>
      <c r="C27" s="12" t="s">
        <v>1665</v>
      </c>
      <c r="D27" s="12" t="s">
        <v>2030</v>
      </c>
      <c r="E27" s="65" t="s">
        <v>168</v>
      </c>
      <c r="F27" s="66">
        <v>40483</v>
      </c>
      <c r="G27" s="12" t="s">
        <v>1999</v>
      </c>
      <c r="H27" s="12" t="s">
        <v>684</v>
      </c>
      <c r="I27" s="12" t="s">
        <v>2000</v>
      </c>
      <c r="J27" s="12" t="s">
        <v>547</v>
      </c>
      <c r="K27" s="67" t="s">
        <v>2033</v>
      </c>
      <c r="L27" s="67" t="s">
        <v>2034</v>
      </c>
      <c r="M27" s="12" t="s">
        <v>2013</v>
      </c>
      <c r="N27" s="12" t="s">
        <v>2014</v>
      </c>
      <c r="O27" s="12" t="s">
        <v>2003</v>
      </c>
      <c r="P27" s="12" t="s">
        <v>2014</v>
      </c>
      <c r="Q27" s="12" t="s">
        <v>2014</v>
      </c>
      <c r="R27" s="12" t="s">
        <v>2015</v>
      </c>
      <c r="S27" s="12" t="s">
        <v>2007</v>
      </c>
      <c r="T27" s="12" t="s">
        <v>2016</v>
      </c>
      <c r="U27" s="12" t="s">
        <v>1973</v>
      </c>
      <c r="V27" s="12" t="s">
        <v>2014</v>
      </c>
      <c r="W27" s="12" t="s">
        <v>2010</v>
      </c>
    </row>
    <row r="28" spans="1:23" ht="43.2" x14ac:dyDescent="0.3">
      <c r="A28" s="12">
        <f t="shared" si="0"/>
        <v>27</v>
      </c>
      <c r="B28" s="64" t="s">
        <v>1680</v>
      </c>
      <c r="C28" s="12" t="s">
        <v>1678</v>
      </c>
      <c r="D28" s="12" t="s">
        <v>2030</v>
      </c>
      <c r="E28" s="65" t="s">
        <v>168</v>
      </c>
      <c r="F28" s="66">
        <v>40213</v>
      </c>
      <c r="G28" s="12" t="s">
        <v>1999</v>
      </c>
      <c r="H28" s="12" t="s">
        <v>684</v>
      </c>
      <c r="I28" s="12" t="s">
        <v>2000</v>
      </c>
      <c r="J28" s="12" t="s">
        <v>547</v>
      </c>
      <c r="K28" s="67" t="s">
        <v>2033</v>
      </c>
      <c r="L28" s="67" t="s">
        <v>2034</v>
      </c>
      <c r="M28" s="12" t="s">
        <v>2013</v>
      </c>
      <c r="N28" s="12" t="s">
        <v>2014</v>
      </c>
      <c r="O28" s="12" t="s">
        <v>2003</v>
      </c>
      <c r="P28" s="12" t="s">
        <v>2014</v>
      </c>
      <c r="Q28" s="12" t="s">
        <v>2014</v>
      </c>
      <c r="R28" s="12" t="s">
        <v>2015</v>
      </c>
      <c r="S28" s="12" t="s">
        <v>2007</v>
      </c>
      <c r="T28" s="12" t="s">
        <v>2016</v>
      </c>
      <c r="U28" s="12" t="s">
        <v>1973</v>
      </c>
      <c r="V28" s="12" t="s">
        <v>2014</v>
      </c>
      <c r="W28" s="12" t="s">
        <v>2010</v>
      </c>
    </row>
    <row r="29" spans="1:23" ht="43.2" x14ac:dyDescent="0.3">
      <c r="A29" s="12">
        <f t="shared" si="0"/>
        <v>28</v>
      </c>
      <c r="B29" s="64" t="s">
        <v>1922</v>
      </c>
      <c r="C29" s="12" t="s">
        <v>1920</v>
      </c>
      <c r="D29" s="12" t="s">
        <v>2028</v>
      </c>
      <c r="E29" s="65" t="s">
        <v>168</v>
      </c>
      <c r="F29" s="66">
        <v>42066</v>
      </c>
      <c r="G29" s="12" t="s">
        <v>1999</v>
      </c>
      <c r="H29" s="12" t="s">
        <v>684</v>
      </c>
      <c r="I29" s="12" t="s">
        <v>2000</v>
      </c>
      <c r="J29" s="12" t="s">
        <v>547</v>
      </c>
      <c r="K29" s="67" t="s">
        <v>2029</v>
      </c>
      <c r="L29" s="67" t="s">
        <v>511</v>
      </c>
      <c r="M29" s="12" t="s">
        <v>2013</v>
      </c>
      <c r="N29" s="12" t="s">
        <v>2014</v>
      </c>
      <c r="O29" s="12" t="s">
        <v>2003</v>
      </c>
      <c r="P29" s="12" t="s">
        <v>2014</v>
      </c>
      <c r="Q29" s="12" t="s">
        <v>2014</v>
      </c>
      <c r="R29" s="12" t="s">
        <v>2015</v>
      </c>
      <c r="S29" s="12" t="s">
        <v>2007</v>
      </c>
      <c r="T29" s="12" t="s">
        <v>2016</v>
      </c>
      <c r="U29" s="12" t="s">
        <v>1974</v>
      </c>
      <c r="V29" s="12" t="s">
        <v>2014</v>
      </c>
      <c r="W29" s="12" t="s">
        <v>2010</v>
      </c>
    </row>
    <row r="30" spans="1:23" ht="57.6" x14ac:dyDescent="0.3">
      <c r="A30" s="12">
        <f t="shared" si="0"/>
        <v>29</v>
      </c>
      <c r="B30" s="64" t="s">
        <v>2066</v>
      </c>
      <c r="C30" s="12" t="s">
        <v>2067</v>
      </c>
      <c r="D30" s="12" t="s">
        <v>2068</v>
      </c>
      <c r="E30" s="65" t="s">
        <v>168</v>
      </c>
      <c r="F30" s="66">
        <v>41073</v>
      </c>
      <c r="G30" s="12" t="s">
        <v>1999</v>
      </c>
      <c r="H30" s="12" t="s">
        <v>684</v>
      </c>
      <c r="I30" s="12" t="s">
        <v>2019</v>
      </c>
      <c r="J30" s="12" t="s">
        <v>43</v>
      </c>
      <c r="K30" s="67" t="s">
        <v>2025</v>
      </c>
      <c r="L30" s="67" t="s">
        <v>2026</v>
      </c>
      <c r="M30" s="12" t="s">
        <v>2002</v>
      </c>
      <c r="N30" s="12" t="s">
        <v>1428</v>
      </c>
      <c r="O30" s="12" t="s">
        <v>2044</v>
      </c>
      <c r="P30" s="12" t="s">
        <v>2004</v>
      </c>
      <c r="Q30" s="12" t="s">
        <v>2005</v>
      </c>
      <c r="R30" s="12" t="s">
        <v>2006</v>
      </c>
      <c r="S30" s="12" t="s">
        <v>2007</v>
      </c>
      <c r="T30" s="12" t="s">
        <v>2008</v>
      </c>
      <c r="U30" s="12" t="s">
        <v>2009</v>
      </c>
      <c r="V30" s="12" t="s">
        <v>1428</v>
      </c>
      <c r="W30" s="12" t="s">
        <v>2010</v>
      </c>
    </row>
    <row r="31" spans="1:23" ht="28.8" x14ac:dyDescent="0.3">
      <c r="A31" s="12">
        <f t="shared" si="0"/>
        <v>30</v>
      </c>
      <c r="B31" s="64" t="s">
        <v>1895</v>
      </c>
      <c r="C31" s="12" t="s">
        <v>1893</v>
      </c>
      <c r="D31" s="12" t="s">
        <v>2030</v>
      </c>
      <c r="E31" s="65" t="s">
        <v>168</v>
      </c>
      <c r="F31" s="66">
        <v>41283</v>
      </c>
      <c r="G31" s="12" t="s">
        <v>1999</v>
      </c>
      <c r="H31" s="12" t="s">
        <v>684</v>
      </c>
      <c r="I31" s="12" t="s">
        <v>2000</v>
      </c>
      <c r="J31" s="12" t="s">
        <v>547</v>
      </c>
      <c r="K31" s="67" t="s">
        <v>2012</v>
      </c>
      <c r="L31" s="67" t="s">
        <v>590</v>
      </c>
      <c r="M31" s="12" t="s">
        <v>2013</v>
      </c>
      <c r="N31" s="12" t="s">
        <v>2014</v>
      </c>
      <c r="O31" s="12" t="s">
        <v>2003</v>
      </c>
      <c r="P31" s="12" t="s">
        <v>2014</v>
      </c>
      <c r="Q31" s="12" t="s">
        <v>2014</v>
      </c>
      <c r="R31" s="12" t="s">
        <v>2015</v>
      </c>
      <c r="S31" s="12" t="s">
        <v>2007</v>
      </c>
      <c r="T31" s="12" t="s">
        <v>2016</v>
      </c>
      <c r="U31" s="12" t="s">
        <v>1974</v>
      </c>
      <c r="V31" s="12" t="s">
        <v>2014</v>
      </c>
      <c r="W31" s="12" t="s">
        <v>2010</v>
      </c>
    </row>
    <row r="32" spans="1:23" ht="28.8" x14ac:dyDescent="0.3">
      <c r="A32" s="12">
        <f t="shared" si="0"/>
        <v>31</v>
      </c>
      <c r="B32" s="64" t="s">
        <v>1883</v>
      </c>
      <c r="C32" s="12" t="s">
        <v>1881</v>
      </c>
      <c r="D32" s="12" t="s">
        <v>2030</v>
      </c>
      <c r="E32" s="65" t="s">
        <v>168</v>
      </c>
      <c r="F32" s="66">
        <v>42072</v>
      </c>
      <c r="G32" s="12" t="s">
        <v>1999</v>
      </c>
      <c r="H32" s="12" t="s">
        <v>684</v>
      </c>
      <c r="I32" s="12" t="s">
        <v>2019</v>
      </c>
      <c r="J32" s="12" t="s">
        <v>43</v>
      </c>
      <c r="K32" s="67" t="s">
        <v>2012</v>
      </c>
      <c r="L32" s="67" t="s">
        <v>590</v>
      </c>
      <c r="M32" s="12" t="s">
        <v>2013</v>
      </c>
      <c r="N32" s="12" t="s">
        <v>2014</v>
      </c>
      <c r="O32" s="12" t="s">
        <v>2003</v>
      </c>
      <c r="P32" s="12" t="s">
        <v>2014</v>
      </c>
      <c r="Q32" s="12" t="s">
        <v>2014</v>
      </c>
      <c r="R32" s="12" t="s">
        <v>2015</v>
      </c>
      <c r="S32" s="12" t="s">
        <v>2007</v>
      </c>
      <c r="T32" s="12" t="s">
        <v>2016</v>
      </c>
      <c r="U32" s="12" t="s">
        <v>1974</v>
      </c>
      <c r="V32" s="12" t="s">
        <v>2014</v>
      </c>
      <c r="W32" s="12" t="s">
        <v>2010</v>
      </c>
    </row>
    <row r="33" spans="1:23" ht="28.8" x14ac:dyDescent="0.3">
      <c r="A33" s="12">
        <f t="shared" si="0"/>
        <v>32</v>
      </c>
      <c r="B33" s="64" t="s">
        <v>2069</v>
      </c>
      <c r="C33" s="12" t="s">
        <v>2070</v>
      </c>
      <c r="D33" s="12" t="s">
        <v>2011</v>
      </c>
      <c r="E33" s="65" t="s">
        <v>168</v>
      </c>
      <c r="F33" s="66">
        <v>42353</v>
      </c>
      <c r="G33" s="12" t="s">
        <v>1999</v>
      </c>
      <c r="H33" s="12" t="s">
        <v>684</v>
      </c>
      <c r="I33" s="12" t="s">
        <v>2000</v>
      </c>
      <c r="J33" s="12" t="s">
        <v>547</v>
      </c>
      <c r="K33" s="67" t="s">
        <v>2012</v>
      </c>
      <c r="L33" s="67" t="s">
        <v>590</v>
      </c>
      <c r="M33" s="12" t="s">
        <v>2013</v>
      </c>
      <c r="N33" s="12" t="s">
        <v>2014</v>
      </c>
      <c r="O33" s="12" t="s">
        <v>2003</v>
      </c>
      <c r="P33" s="12" t="s">
        <v>2014</v>
      </c>
      <c r="Q33" s="12" t="s">
        <v>2014</v>
      </c>
      <c r="R33" s="12" t="s">
        <v>2015</v>
      </c>
      <c r="S33" s="12" t="s">
        <v>2007</v>
      </c>
      <c r="T33" s="12" t="s">
        <v>2016</v>
      </c>
      <c r="U33" s="12" t="s">
        <v>1974</v>
      </c>
      <c r="V33" s="12" t="s">
        <v>2014</v>
      </c>
      <c r="W33" s="12" t="s">
        <v>2010</v>
      </c>
    </row>
    <row r="34" spans="1:23" ht="57.6" x14ac:dyDescent="0.3">
      <c r="A34" s="12">
        <f t="shared" si="0"/>
        <v>33</v>
      </c>
      <c r="B34" s="64" t="s">
        <v>2071</v>
      </c>
      <c r="C34" s="12" t="s">
        <v>2072</v>
      </c>
      <c r="D34" s="12" t="s">
        <v>2073</v>
      </c>
      <c r="E34" s="65" t="s">
        <v>168</v>
      </c>
      <c r="F34" s="66">
        <v>42857</v>
      </c>
      <c r="G34" s="12" t="s">
        <v>1999</v>
      </c>
      <c r="H34" s="12" t="s">
        <v>684</v>
      </c>
      <c r="I34" s="12" t="s">
        <v>2000</v>
      </c>
      <c r="J34" s="12" t="s">
        <v>547</v>
      </c>
      <c r="K34" s="67" t="s">
        <v>2025</v>
      </c>
      <c r="L34" s="67" t="s">
        <v>2026</v>
      </c>
      <c r="M34" s="12" t="s">
        <v>2013</v>
      </c>
      <c r="N34" s="12" t="s">
        <v>2014</v>
      </c>
      <c r="O34" s="12" t="s">
        <v>2003</v>
      </c>
      <c r="P34" s="12" t="s">
        <v>2004</v>
      </c>
      <c r="Q34" s="12" t="s">
        <v>2014</v>
      </c>
      <c r="R34" s="12" t="s">
        <v>2015</v>
      </c>
      <c r="S34" s="12" t="s">
        <v>2007</v>
      </c>
      <c r="T34" s="12" t="s">
        <v>2016</v>
      </c>
      <c r="U34" s="12" t="s">
        <v>1973</v>
      </c>
      <c r="V34" s="12" t="s">
        <v>2014</v>
      </c>
      <c r="W34" s="12" t="s">
        <v>2010</v>
      </c>
    </row>
    <row r="35" spans="1:23" ht="43.2" x14ac:dyDescent="0.3">
      <c r="A35" s="12">
        <f t="shared" si="0"/>
        <v>34</v>
      </c>
      <c r="B35" s="64" t="s">
        <v>1969</v>
      </c>
      <c r="C35" s="12" t="s">
        <v>1967</v>
      </c>
      <c r="D35" s="12" t="s">
        <v>2028</v>
      </c>
      <c r="E35" s="65" t="s">
        <v>168</v>
      </c>
      <c r="F35" s="66">
        <v>41814</v>
      </c>
      <c r="G35" s="12" t="s">
        <v>1999</v>
      </c>
      <c r="H35" s="12" t="s">
        <v>684</v>
      </c>
      <c r="I35" s="12" t="s">
        <v>2000</v>
      </c>
      <c r="J35" s="12" t="s">
        <v>547</v>
      </c>
      <c r="K35" s="67" t="s">
        <v>2029</v>
      </c>
      <c r="L35" s="67" t="s">
        <v>511</v>
      </c>
      <c r="M35" s="12" t="s">
        <v>2013</v>
      </c>
      <c r="N35" s="12" t="s">
        <v>2014</v>
      </c>
      <c r="O35" s="12" t="s">
        <v>2003</v>
      </c>
      <c r="P35" s="12" t="s">
        <v>2014</v>
      </c>
      <c r="Q35" s="12" t="s">
        <v>2014</v>
      </c>
      <c r="R35" s="12" t="s">
        <v>2015</v>
      </c>
      <c r="S35" s="12" t="s">
        <v>2007</v>
      </c>
      <c r="T35" s="12" t="s">
        <v>2016</v>
      </c>
      <c r="U35" s="12" t="s">
        <v>1974</v>
      </c>
      <c r="V35" s="12" t="s">
        <v>2014</v>
      </c>
      <c r="W35" s="12" t="s">
        <v>2010</v>
      </c>
    </row>
    <row r="36" spans="1:23" ht="57.6" x14ac:dyDescent="0.3">
      <c r="A36" s="12">
        <f t="shared" si="0"/>
        <v>35</v>
      </c>
      <c r="B36" s="64" t="s">
        <v>2074</v>
      </c>
      <c r="C36" s="12" t="s">
        <v>2027</v>
      </c>
      <c r="D36" s="12" t="s">
        <v>2075</v>
      </c>
      <c r="E36" s="65" t="s">
        <v>168</v>
      </c>
      <c r="F36" s="66">
        <v>42583.041666666701</v>
      </c>
      <c r="G36" s="12" t="s">
        <v>2024</v>
      </c>
      <c r="H36" s="12" t="s">
        <v>2076</v>
      </c>
      <c r="I36" s="12" t="s">
        <v>2000</v>
      </c>
      <c r="J36" s="12" t="s">
        <v>547</v>
      </c>
      <c r="K36" s="67" t="s">
        <v>2025</v>
      </c>
      <c r="L36" s="67" t="s">
        <v>2026</v>
      </c>
      <c r="M36" s="12" t="s">
        <v>2013</v>
      </c>
      <c r="N36" s="12" t="s">
        <v>2014</v>
      </c>
      <c r="O36" s="12" t="s">
        <v>2044</v>
      </c>
      <c r="P36" s="12" t="s">
        <v>2004</v>
      </c>
      <c r="Q36" s="12" t="s">
        <v>2014</v>
      </c>
      <c r="R36" s="12" t="s">
        <v>2015</v>
      </c>
      <c r="S36" s="12" t="s">
        <v>2007</v>
      </c>
      <c r="T36" s="12" t="s">
        <v>2016</v>
      </c>
      <c r="U36" s="12" t="s">
        <v>2077</v>
      </c>
      <c r="V36" s="12" t="s">
        <v>2014</v>
      </c>
      <c r="W36" s="12" t="s">
        <v>2010</v>
      </c>
    </row>
    <row r="37" spans="1:23" ht="43.2" x14ac:dyDescent="0.3">
      <c r="A37" s="12">
        <f t="shared" si="0"/>
        <v>36</v>
      </c>
      <c r="B37" s="64" t="s">
        <v>1905</v>
      </c>
      <c r="C37" s="12" t="s">
        <v>1903</v>
      </c>
      <c r="D37" s="12" t="s">
        <v>2028</v>
      </c>
      <c r="E37" s="65" t="s">
        <v>168</v>
      </c>
      <c r="F37" s="66">
        <v>42264</v>
      </c>
      <c r="G37" s="12" t="s">
        <v>1999</v>
      </c>
      <c r="H37" s="12" t="s">
        <v>684</v>
      </c>
      <c r="I37" s="12" t="s">
        <v>2000</v>
      </c>
      <c r="J37" s="12" t="s">
        <v>547</v>
      </c>
      <c r="K37" s="67" t="s">
        <v>2029</v>
      </c>
      <c r="L37" s="67" t="s">
        <v>511</v>
      </c>
      <c r="M37" s="12" t="s">
        <v>2013</v>
      </c>
      <c r="N37" s="12" t="s">
        <v>2014</v>
      </c>
      <c r="O37" s="12" t="s">
        <v>2003</v>
      </c>
      <c r="P37" s="12" t="s">
        <v>2014</v>
      </c>
      <c r="Q37" s="12" t="s">
        <v>2014</v>
      </c>
      <c r="R37" s="12" t="s">
        <v>2015</v>
      </c>
      <c r="S37" s="12" t="s">
        <v>2007</v>
      </c>
      <c r="T37" s="12" t="s">
        <v>2016</v>
      </c>
      <c r="U37" s="12" t="s">
        <v>1974</v>
      </c>
      <c r="V37" s="12" t="s">
        <v>2014</v>
      </c>
      <c r="W37" s="12" t="s">
        <v>2010</v>
      </c>
    </row>
    <row r="38" spans="1:23" ht="57.6" x14ac:dyDescent="0.3">
      <c r="A38" s="12">
        <f t="shared" si="0"/>
        <v>37</v>
      </c>
      <c r="B38" s="64" t="s">
        <v>2078</v>
      </c>
      <c r="C38" s="12" t="s">
        <v>2079</v>
      </c>
      <c r="D38" s="12" t="s">
        <v>2073</v>
      </c>
      <c r="E38" s="65" t="s">
        <v>168</v>
      </c>
      <c r="F38" s="66">
        <v>42905</v>
      </c>
      <c r="G38" s="12" t="s">
        <v>1999</v>
      </c>
      <c r="H38" s="12" t="s">
        <v>684</v>
      </c>
      <c r="I38" s="12" t="s">
        <v>2000</v>
      </c>
      <c r="J38" s="12" t="s">
        <v>547</v>
      </c>
      <c r="K38" s="67" t="s">
        <v>2025</v>
      </c>
      <c r="L38" s="67" t="s">
        <v>2026</v>
      </c>
      <c r="M38" s="12" t="s">
        <v>2013</v>
      </c>
      <c r="N38" s="12" t="s">
        <v>2014</v>
      </c>
      <c r="O38" s="12" t="s">
        <v>2003</v>
      </c>
      <c r="P38" s="12" t="s">
        <v>2004</v>
      </c>
      <c r="Q38" s="12" t="s">
        <v>2014</v>
      </c>
      <c r="R38" s="12" t="s">
        <v>2015</v>
      </c>
      <c r="S38" s="12" t="s">
        <v>2007</v>
      </c>
      <c r="T38" s="12" t="s">
        <v>2016</v>
      </c>
      <c r="U38" s="12" t="s">
        <v>1973</v>
      </c>
      <c r="V38" s="12" t="s">
        <v>2014</v>
      </c>
      <c r="W38" s="12" t="s">
        <v>2010</v>
      </c>
    </row>
    <row r="39" spans="1:23" ht="43.2" x14ac:dyDescent="0.3">
      <c r="A39" s="12">
        <f t="shared" si="0"/>
        <v>38</v>
      </c>
      <c r="B39" s="70" t="s">
        <v>1671</v>
      </c>
      <c r="C39" s="12" t="s">
        <v>1669</v>
      </c>
      <c r="D39" s="12" t="s">
        <v>2030</v>
      </c>
      <c r="E39" s="65" t="s">
        <v>168</v>
      </c>
      <c r="F39" s="66">
        <v>43110</v>
      </c>
      <c r="G39" s="12" t="s">
        <v>1999</v>
      </c>
      <c r="H39" s="12" t="s">
        <v>684</v>
      </c>
      <c r="I39" s="12" t="s">
        <v>2000</v>
      </c>
      <c r="J39" s="12" t="s">
        <v>547</v>
      </c>
      <c r="K39" s="67" t="s">
        <v>2033</v>
      </c>
      <c r="L39" s="67" t="s">
        <v>2034</v>
      </c>
      <c r="M39" s="12" t="s">
        <v>2013</v>
      </c>
      <c r="N39" s="12" t="s">
        <v>2014</v>
      </c>
      <c r="O39" s="12" t="s">
        <v>2003</v>
      </c>
      <c r="P39" s="12" t="s">
        <v>2014</v>
      </c>
      <c r="Q39" s="12" t="s">
        <v>2014</v>
      </c>
      <c r="R39" s="12" t="s">
        <v>2015</v>
      </c>
      <c r="S39" s="12" t="s">
        <v>2007</v>
      </c>
      <c r="T39" s="12" t="s">
        <v>2016</v>
      </c>
      <c r="U39" s="12" t="s">
        <v>1973</v>
      </c>
      <c r="V39" s="12" t="s">
        <v>2014</v>
      </c>
      <c r="W39" s="12" t="s">
        <v>2010</v>
      </c>
    </row>
    <row r="40" spans="1:23" ht="57.6" x14ac:dyDescent="0.3">
      <c r="A40" s="12">
        <f t="shared" si="0"/>
        <v>39</v>
      </c>
      <c r="B40" s="70" t="s">
        <v>2080</v>
      </c>
      <c r="C40" s="12" t="s">
        <v>2081</v>
      </c>
      <c r="D40" s="12" t="s">
        <v>2073</v>
      </c>
      <c r="E40" s="65" t="s">
        <v>168</v>
      </c>
      <c r="F40" s="66">
        <v>43157</v>
      </c>
      <c r="G40" s="12" t="s">
        <v>1999</v>
      </c>
      <c r="H40" s="12" t="s">
        <v>684</v>
      </c>
      <c r="I40" s="12" t="s">
        <v>2000</v>
      </c>
      <c r="J40" s="12" t="s">
        <v>547</v>
      </c>
      <c r="K40" s="67" t="s">
        <v>2025</v>
      </c>
      <c r="L40" s="67" t="s">
        <v>2026</v>
      </c>
      <c r="M40" s="12" t="s">
        <v>2013</v>
      </c>
      <c r="N40" s="12" t="s">
        <v>2014</v>
      </c>
      <c r="O40" s="12" t="s">
        <v>2003</v>
      </c>
      <c r="P40" s="12" t="s">
        <v>2004</v>
      </c>
      <c r="Q40" s="12" t="s">
        <v>2014</v>
      </c>
      <c r="R40" s="12" t="s">
        <v>2015</v>
      </c>
      <c r="S40" s="12" t="s">
        <v>2007</v>
      </c>
      <c r="T40" s="12" t="s">
        <v>2016</v>
      </c>
      <c r="U40" s="12" t="s">
        <v>1973</v>
      </c>
      <c r="V40" s="12" t="s">
        <v>2014</v>
      </c>
      <c r="W40" s="12" t="s">
        <v>2010</v>
      </c>
    </row>
    <row r="41" spans="1:23" ht="57.6" x14ac:dyDescent="0.3">
      <c r="A41" s="12">
        <f t="shared" si="0"/>
        <v>40</v>
      </c>
      <c r="B41" s="64" t="s">
        <v>2082</v>
      </c>
      <c r="C41" s="12" t="s">
        <v>2083</v>
      </c>
      <c r="D41" s="65" t="s">
        <v>2084</v>
      </c>
      <c r="E41" s="69" t="s">
        <v>168</v>
      </c>
      <c r="F41" s="66">
        <v>45323</v>
      </c>
      <c r="G41" s="12" t="s">
        <v>1999</v>
      </c>
      <c r="H41" s="12" t="s">
        <v>684</v>
      </c>
      <c r="I41" s="12" t="s">
        <v>2000</v>
      </c>
      <c r="J41" s="12" t="s">
        <v>547</v>
      </c>
      <c r="K41" s="67" t="s">
        <v>2025</v>
      </c>
      <c r="L41" s="67" t="s">
        <v>2026</v>
      </c>
      <c r="M41" s="12" t="s">
        <v>2002</v>
      </c>
      <c r="N41" s="12" t="s">
        <v>1428</v>
      </c>
      <c r="O41" s="12" t="s">
        <v>2003</v>
      </c>
      <c r="P41" s="12" t="s">
        <v>2004</v>
      </c>
      <c r="Q41" s="12" t="s">
        <v>2005</v>
      </c>
      <c r="R41" s="12" t="s">
        <v>2015</v>
      </c>
      <c r="S41" s="12" t="s">
        <v>2007</v>
      </c>
      <c r="T41" s="12" t="s">
        <v>2008</v>
      </c>
      <c r="U41" s="12" t="s">
        <v>2085</v>
      </c>
      <c r="V41" s="12" t="s">
        <v>1428</v>
      </c>
      <c r="W41" s="12" t="s">
        <v>2010</v>
      </c>
    </row>
    <row r="42" spans="1:23" x14ac:dyDescent="0.3">
      <c r="A42" s="12">
        <f t="shared" si="0"/>
        <v>41</v>
      </c>
      <c r="B42" s="64" t="s">
        <v>1729</v>
      </c>
      <c r="C42" s="12" t="s">
        <v>1727</v>
      </c>
      <c r="D42" s="12" t="s">
        <v>2030</v>
      </c>
      <c r="E42" s="65" t="s">
        <v>168</v>
      </c>
      <c r="F42" s="66">
        <v>44420</v>
      </c>
      <c r="G42" s="12" t="s">
        <v>1999</v>
      </c>
      <c r="H42" s="12" t="s">
        <v>684</v>
      </c>
      <c r="I42" s="12" t="s">
        <v>2000</v>
      </c>
      <c r="J42" s="12" t="s">
        <v>547</v>
      </c>
      <c r="K42" s="67" t="s">
        <v>2031</v>
      </c>
      <c r="L42" s="67" t="s">
        <v>2032</v>
      </c>
      <c r="M42" s="12" t="s">
        <v>2013</v>
      </c>
      <c r="N42" s="12" t="s">
        <v>2014</v>
      </c>
      <c r="O42" s="12" t="s">
        <v>2003</v>
      </c>
      <c r="P42" s="12" t="s">
        <v>2014</v>
      </c>
      <c r="Q42" s="12" t="s">
        <v>2014</v>
      </c>
      <c r="R42" s="12" t="s">
        <v>2015</v>
      </c>
      <c r="S42" s="12" t="s">
        <v>2007</v>
      </c>
      <c r="T42" s="12" t="s">
        <v>2016</v>
      </c>
      <c r="U42" s="12" t="s">
        <v>1973</v>
      </c>
      <c r="V42" s="12" t="s">
        <v>2014</v>
      </c>
      <c r="W42" s="12" t="s">
        <v>2010</v>
      </c>
    </row>
    <row r="43" spans="1:23" ht="43.2" x14ac:dyDescent="0.3">
      <c r="A43" s="12">
        <f t="shared" si="0"/>
        <v>42</v>
      </c>
      <c r="B43" s="64" t="s">
        <v>1639</v>
      </c>
      <c r="C43" s="12" t="s">
        <v>1637</v>
      </c>
      <c r="D43" s="12" t="s">
        <v>2030</v>
      </c>
      <c r="E43" s="65" t="s">
        <v>168</v>
      </c>
      <c r="F43" s="66">
        <v>43756</v>
      </c>
      <c r="G43" s="12" t="s">
        <v>1999</v>
      </c>
      <c r="H43" s="12" t="s">
        <v>684</v>
      </c>
      <c r="I43" s="12" t="s">
        <v>2000</v>
      </c>
      <c r="J43" s="12" t="s">
        <v>547</v>
      </c>
      <c r="K43" s="67" t="s">
        <v>2033</v>
      </c>
      <c r="L43" s="67" t="s">
        <v>2034</v>
      </c>
      <c r="M43" s="12" t="s">
        <v>2013</v>
      </c>
      <c r="N43" s="12" t="s">
        <v>2014</v>
      </c>
      <c r="O43" s="12" t="s">
        <v>2003</v>
      </c>
      <c r="P43" s="12" t="s">
        <v>2014</v>
      </c>
      <c r="Q43" s="12" t="s">
        <v>2014</v>
      </c>
      <c r="R43" s="12" t="s">
        <v>2015</v>
      </c>
      <c r="S43" s="12" t="s">
        <v>2007</v>
      </c>
      <c r="T43" s="12" t="s">
        <v>2016</v>
      </c>
      <c r="U43" s="12" t="s">
        <v>1973</v>
      </c>
      <c r="V43" s="12" t="s">
        <v>2014</v>
      </c>
      <c r="W43" s="12" t="s">
        <v>2010</v>
      </c>
    </row>
    <row r="44" spans="1:23" ht="57.6" x14ac:dyDescent="0.3">
      <c r="A44" s="12">
        <f t="shared" si="0"/>
        <v>43</v>
      </c>
      <c r="B44" s="64" t="s">
        <v>2086</v>
      </c>
      <c r="C44" s="12" t="s">
        <v>2087</v>
      </c>
      <c r="D44" s="65" t="s">
        <v>2084</v>
      </c>
      <c r="E44" s="65" t="s">
        <v>168</v>
      </c>
      <c r="F44" s="66">
        <v>45327</v>
      </c>
      <c r="G44" s="12" t="s">
        <v>1999</v>
      </c>
      <c r="H44" s="12" t="s">
        <v>684</v>
      </c>
      <c r="I44" s="12" t="s">
        <v>2000</v>
      </c>
      <c r="J44" s="12" t="s">
        <v>547</v>
      </c>
      <c r="K44" s="67" t="s">
        <v>2025</v>
      </c>
      <c r="L44" s="67" t="s">
        <v>2026</v>
      </c>
      <c r="M44" s="12" t="s">
        <v>2002</v>
      </c>
      <c r="N44" s="12" t="s">
        <v>1428</v>
      </c>
      <c r="O44" s="12" t="s">
        <v>2003</v>
      </c>
      <c r="P44" s="12" t="s">
        <v>2004</v>
      </c>
      <c r="Q44" s="12" t="s">
        <v>2005</v>
      </c>
      <c r="R44" s="12" t="s">
        <v>2015</v>
      </c>
      <c r="S44" s="12" t="s">
        <v>2007</v>
      </c>
      <c r="T44" s="12" t="s">
        <v>2008</v>
      </c>
      <c r="U44" s="12" t="s">
        <v>2085</v>
      </c>
      <c r="V44" s="12" t="s">
        <v>1428</v>
      </c>
      <c r="W44" s="12" t="s">
        <v>2010</v>
      </c>
    </row>
    <row r="45" spans="1:23" x14ac:dyDescent="0.3">
      <c r="A45" s="12">
        <f t="shared" si="0"/>
        <v>44</v>
      </c>
      <c r="B45" s="64" t="s">
        <v>1734</v>
      </c>
      <c r="C45" s="12" t="s">
        <v>1732</v>
      </c>
      <c r="D45" s="12" t="s">
        <v>2030</v>
      </c>
      <c r="E45" s="65" t="s">
        <v>168</v>
      </c>
      <c r="F45" s="66">
        <v>43822</v>
      </c>
      <c r="G45" s="12" t="s">
        <v>1999</v>
      </c>
      <c r="H45" s="12" t="s">
        <v>684</v>
      </c>
      <c r="I45" s="12" t="s">
        <v>2000</v>
      </c>
      <c r="J45" s="12" t="s">
        <v>547</v>
      </c>
      <c r="K45" s="67" t="s">
        <v>2031</v>
      </c>
      <c r="L45" s="67" t="s">
        <v>2032</v>
      </c>
      <c r="M45" s="12" t="s">
        <v>2013</v>
      </c>
      <c r="N45" s="12" t="s">
        <v>2014</v>
      </c>
      <c r="O45" s="12" t="s">
        <v>2003</v>
      </c>
      <c r="P45" s="12" t="s">
        <v>2014</v>
      </c>
      <c r="Q45" s="12" t="s">
        <v>2014</v>
      </c>
      <c r="R45" s="12" t="s">
        <v>2015</v>
      </c>
      <c r="S45" s="12" t="s">
        <v>2007</v>
      </c>
      <c r="T45" s="12" t="s">
        <v>2016</v>
      </c>
      <c r="U45" s="12" t="s">
        <v>1973</v>
      </c>
      <c r="V45" s="12" t="s">
        <v>2014</v>
      </c>
      <c r="W45" s="12" t="s">
        <v>2010</v>
      </c>
    </row>
    <row r="46" spans="1:23" ht="57.6" x14ac:dyDescent="0.3">
      <c r="A46" s="12">
        <f t="shared" si="0"/>
        <v>45</v>
      </c>
      <c r="B46" s="64" t="s">
        <v>2088</v>
      </c>
      <c r="C46" s="12" t="s">
        <v>2089</v>
      </c>
      <c r="D46" s="12" t="s">
        <v>2090</v>
      </c>
      <c r="E46" s="65" t="s">
        <v>168</v>
      </c>
      <c r="F46" s="66">
        <v>46034</v>
      </c>
      <c r="G46" s="12" t="s">
        <v>2024</v>
      </c>
      <c r="H46" s="12" t="s">
        <v>684</v>
      </c>
      <c r="I46" s="12" t="s">
        <v>2000</v>
      </c>
      <c r="J46" s="12" t="s">
        <v>547</v>
      </c>
      <c r="K46" s="67" t="s">
        <v>2025</v>
      </c>
      <c r="L46" s="67" t="s">
        <v>2026</v>
      </c>
      <c r="M46" s="12" t="s">
        <v>2013</v>
      </c>
      <c r="N46" s="12" t="s">
        <v>2014</v>
      </c>
      <c r="O46" s="12" t="s">
        <v>2044</v>
      </c>
      <c r="P46" s="12" t="s">
        <v>2004</v>
      </c>
      <c r="Q46" s="12" t="s">
        <v>2014</v>
      </c>
      <c r="R46" s="12" t="s">
        <v>2015</v>
      </c>
      <c r="S46" s="12" t="s">
        <v>2007</v>
      </c>
      <c r="T46" s="12" t="s">
        <v>2016</v>
      </c>
      <c r="U46" s="12" t="s">
        <v>2027</v>
      </c>
      <c r="V46" s="12" t="s">
        <v>2014</v>
      </c>
      <c r="W46" s="12" t="s">
        <v>2010</v>
      </c>
    </row>
    <row r="47" spans="1:23" ht="57.6" x14ac:dyDescent="0.3">
      <c r="A47" s="12">
        <f t="shared" si="0"/>
        <v>46</v>
      </c>
      <c r="B47" s="64" t="s">
        <v>2091</v>
      </c>
      <c r="C47" s="12" t="s">
        <v>2092</v>
      </c>
      <c r="D47" s="12" t="s">
        <v>2093</v>
      </c>
      <c r="E47" s="65" t="s">
        <v>168</v>
      </c>
      <c r="F47" s="66">
        <v>44866</v>
      </c>
      <c r="G47" s="12" t="s">
        <v>2024</v>
      </c>
      <c r="H47" s="12" t="s">
        <v>684</v>
      </c>
      <c r="I47" s="12" t="s">
        <v>2094</v>
      </c>
      <c r="J47" s="12" t="s">
        <v>27</v>
      </c>
      <c r="K47" s="67" t="s">
        <v>2025</v>
      </c>
      <c r="L47" s="67" t="s">
        <v>2026</v>
      </c>
      <c r="M47" s="12" t="s">
        <v>2013</v>
      </c>
      <c r="N47" s="12" t="s">
        <v>2014</v>
      </c>
      <c r="O47" s="12" t="s">
        <v>2044</v>
      </c>
      <c r="P47" s="12" t="s">
        <v>2095</v>
      </c>
      <c r="Q47" s="12" t="s">
        <v>2014</v>
      </c>
      <c r="R47" s="12" t="s">
        <v>2015</v>
      </c>
      <c r="S47" s="12" t="s">
        <v>2007</v>
      </c>
      <c r="T47" s="12" t="s">
        <v>2016</v>
      </c>
      <c r="U47" s="12" t="s">
        <v>2027</v>
      </c>
      <c r="V47" s="12" t="s">
        <v>2014</v>
      </c>
      <c r="W47" s="12" t="s">
        <v>2010</v>
      </c>
    </row>
    <row r="48" spans="1:23" ht="28.8" x14ac:dyDescent="0.3">
      <c r="A48" s="12">
        <f t="shared" si="0"/>
        <v>47</v>
      </c>
      <c r="B48" s="64" t="s">
        <v>1916</v>
      </c>
      <c r="C48" s="12" t="s">
        <v>1914</v>
      </c>
      <c r="D48" s="12" t="s">
        <v>2030</v>
      </c>
      <c r="E48" s="65" t="s">
        <v>168</v>
      </c>
      <c r="F48" s="66">
        <v>44239</v>
      </c>
      <c r="G48" s="12" t="s">
        <v>1999</v>
      </c>
      <c r="H48" s="12" t="s">
        <v>684</v>
      </c>
      <c r="I48" s="12" t="s">
        <v>2000</v>
      </c>
      <c r="J48" s="12" t="s">
        <v>547</v>
      </c>
      <c r="K48" s="67" t="s">
        <v>2012</v>
      </c>
      <c r="L48" s="67" t="s">
        <v>590</v>
      </c>
      <c r="M48" s="12" t="s">
        <v>2013</v>
      </c>
      <c r="N48" s="12" t="s">
        <v>2014</v>
      </c>
      <c r="O48" s="12" t="s">
        <v>2003</v>
      </c>
      <c r="P48" s="12" t="s">
        <v>2014</v>
      </c>
      <c r="Q48" s="12" t="s">
        <v>2014</v>
      </c>
      <c r="R48" s="12" t="s">
        <v>2015</v>
      </c>
      <c r="S48" s="12" t="s">
        <v>2007</v>
      </c>
      <c r="T48" s="12" t="s">
        <v>2016</v>
      </c>
      <c r="U48" s="12" t="s">
        <v>1974</v>
      </c>
      <c r="V48" s="12" t="s">
        <v>2014</v>
      </c>
      <c r="W48" s="12" t="s">
        <v>2010</v>
      </c>
    </row>
    <row r="49" spans="1:23" x14ac:dyDescent="0.3">
      <c r="A49" s="12">
        <f t="shared" si="0"/>
        <v>48</v>
      </c>
      <c r="B49" s="64" t="s">
        <v>1775</v>
      </c>
      <c r="C49" s="12" t="s">
        <v>1773</v>
      </c>
      <c r="D49" s="12" t="s">
        <v>2030</v>
      </c>
      <c r="E49" s="65" t="s">
        <v>168</v>
      </c>
      <c r="F49" s="66">
        <v>44244</v>
      </c>
      <c r="G49" s="12" t="s">
        <v>1999</v>
      </c>
      <c r="H49" s="12" t="s">
        <v>684</v>
      </c>
      <c r="I49" s="12" t="s">
        <v>2000</v>
      </c>
      <c r="J49" s="12" t="s">
        <v>547</v>
      </c>
      <c r="K49" s="67" t="s">
        <v>2031</v>
      </c>
      <c r="L49" s="67" t="s">
        <v>2032</v>
      </c>
      <c r="M49" s="12" t="s">
        <v>2013</v>
      </c>
      <c r="N49" s="12" t="s">
        <v>2014</v>
      </c>
      <c r="O49" s="12" t="s">
        <v>2003</v>
      </c>
      <c r="P49" s="12" t="s">
        <v>2014</v>
      </c>
      <c r="Q49" s="12" t="s">
        <v>2014</v>
      </c>
      <c r="R49" s="12" t="s">
        <v>2015</v>
      </c>
      <c r="S49" s="12" t="s">
        <v>2007</v>
      </c>
      <c r="T49" s="12" t="s">
        <v>2016</v>
      </c>
      <c r="U49" s="12" t="s">
        <v>1973</v>
      </c>
      <c r="V49" s="12" t="s">
        <v>2014</v>
      </c>
      <c r="W49" s="12" t="s">
        <v>2010</v>
      </c>
    </row>
    <row r="50" spans="1:23" ht="43.2" x14ac:dyDescent="0.3">
      <c r="A50" s="12">
        <f t="shared" si="0"/>
        <v>49</v>
      </c>
      <c r="B50" s="64" t="s">
        <v>1648</v>
      </c>
      <c r="C50" s="12" t="s">
        <v>1651</v>
      </c>
      <c r="D50" s="12" t="s">
        <v>2030</v>
      </c>
      <c r="E50" s="65" t="s">
        <v>168</v>
      </c>
      <c r="F50" s="66">
        <v>44244</v>
      </c>
      <c r="G50" s="12" t="s">
        <v>1999</v>
      </c>
      <c r="H50" s="12" t="s">
        <v>684</v>
      </c>
      <c r="I50" s="12" t="s">
        <v>2000</v>
      </c>
      <c r="J50" s="12" t="s">
        <v>547</v>
      </c>
      <c r="K50" s="67" t="s">
        <v>2033</v>
      </c>
      <c r="L50" s="67" t="s">
        <v>2034</v>
      </c>
      <c r="M50" s="12" t="s">
        <v>2013</v>
      </c>
      <c r="N50" s="12" t="s">
        <v>2014</v>
      </c>
      <c r="O50" s="12" t="s">
        <v>2003</v>
      </c>
      <c r="P50" s="12" t="s">
        <v>2014</v>
      </c>
      <c r="Q50" s="12" t="s">
        <v>2014</v>
      </c>
      <c r="R50" s="12" t="s">
        <v>2015</v>
      </c>
      <c r="S50" s="12" t="s">
        <v>2007</v>
      </c>
      <c r="T50" s="12" t="s">
        <v>2016</v>
      </c>
      <c r="U50" s="12" t="s">
        <v>1973</v>
      </c>
      <c r="V50" s="12" t="s">
        <v>2014</v>
      </c>
      <c r="W50" s="12" t="s">
        <v>2010</v>
      </c>
    </row>
    <row r="51" spans="1:23" ht="43.2" x14ac:dyDescent="0.3">
      <c r="A51" s="12">
        <f t="shared" si="0"/>
        <v>50</v>
      </c>
      <c r="B51" s="64" t="s">
        <v>2096</v>
      </c>
      <c r="C51" s="12" t="s">
        <v>2097</v>
      </c>
      <c r="D51" s="12" t="s">
        <v>2030</v>
      </c>
      <c r="E51" s="65" t="s">
        <v>168</v>
      </c>
      <c r="F51" s="66">
        <v>44412</v>
      </c>
      <c r="G51" s="12" t="s">
        <v>1999</v>
      </c>
      <c r="H51" s="12" t="s">
        <v>684</v>
      </c>
      <c r="I51" s="12" t="s">
        <v>2000</v>
      </c>
      <c r="J51" s="12" t="s">
        <v>547</v>
      </c>
      <c r="K51" s="67" t="s">
        <v>2033</v>
      </c>
      <c r="L51" s="67" t="s">
        <v>2034</v>
      </c>
      <c r="M51" s="12" t="s">
        <v>2013</v>
      </c>
      <c r="N51" s="12" t="s">
        <v>2014</v>
      </c>
      <c r="O51" s="12" t="s">
        <v>2003</v>
      </c>
      <c r="P51" s="12" t="s">
        <v>2014</v>
      </c>
      <c r="Q51" s="12" t="s">
        <v>2014</v>
      </c>
      <c r="R51" s="12" t="s">
        <v>2015</v>
      </c>
      <c r="S51" s="12" t="s">
        <v>2007</v>
      </c>
      <c r="T51" s="12" t="s">
        <v>2016</v>
      </c>
      <c r="U51" s="12" t="s">
        <v>1973</v>
      </c>
      <c r="V51" s="12" t="s">
        <v>2014</v>
      </c>
      <c r="W51" s="12" t="s">
        <v>2010</v>
      </c>
    </row>
    <row r="52" spans="1:23" ht="28.8" x14ac:dyDescent="0.3">
      <c r="A52" s="12">
        <f t="shared" si="0"/>
        <v>51</v>
      </c>
      <c r="B52" s="64" t="s">
        <v>2098</v>
      </c>
      <c r="C52" s="12" t="s">
        <v>2099</v>
      </c>
      <c r="D52" s="12" t="s">
        <v>2011</v>
      </c>
      <c r="E52" s="65" t="s">
        <v>168</v>
      </c>
      <c r="F52" s="66">
        <v>44424</v>
      </c>
      <c r="G52" s="12" t="s">
        <v>1999</v>
      </c>
      <c r="H52" s="12" t="s">
        <v>684</v>
      </c>
      <c r="I52" s="12" t="s">
        <v>2000</v>
      </c>
      <c r="J52" s="12" t="s">
        <v>547</v>
      </c>
      <c r="K52" s="67" t="s">
        <v>2012</v>
      </c>
      <c r="L52" s="67" t="s">
        <v>590</v>
      </c>
      <c r="M52" s="12" t="s">
        <v>2013</v>
      </c>
      <c r="N52" s="12" t="s">
        <v>2014</v>
      </c>
      <c r="O52" s="12" t="s">
        <v>2003</v>
      </c>
      <c r="P52" s="12" t="s">
        <v>2014</v>
      </c>
      <c r="Q52" s="12" t="s">
        <v>2014</v>
      </c>
      <c r="R52" s="12" t="s">
        <v>2015</v>
      </c>
      <c r="S52" s="12" t="s">
        <v>2007</v>
      </c>
      <c r="T52" s="12" t="s">
        <v>2016</v>
      </c>
      <c r="U52" s="12" t="s">
        <v>1974</v>
      </c>
      <c r="V52" s="12" t="s">
        <v>2014</v>
      </c>
      <c r="W52" s="12" t="s">
        <v>2010</v>
      </c>
    </row>
    <row r="53" spans="1:23" x14ac:dyDescent="0.3">
      <c r="A53" s="12">
        <f t="shared" si="0"/>
        <v>52</v>
      </c>
      <c r="B53" s="64" t="s">
        <v>1744</v>
      </c>
      <c r="C53" s="12" t="s">
        <v>1742</v>
      </c>
      <c r="D53" s="12" t="s">
        <v>2030</v>
      </c>
      <c r="E53" s="65" t="s">
        <v>168</v>
      </c>
      <c r="F53" s="66">
        <v>44424</v>
      </c>
      <c r="G53" s="12" t="s">
        <v>1999</v>
      </c>
      <c r="H53" s="12" t="s">
        <v>684</v>
      </c>
      <c r="I53" s="12" t="s">
        <v>2000</v>
      </c>
      <c r="J53" s="12" t="s">
        <v>547</v>
      </c>
      <c r="K53" s="67" t="s">
        <v>2031</v>
      </c>
      <c r="L53" s="67" t="s">
        <v>2032</v>
      </c>
      <c r="M53" s="12" t="s">
        <v>2013</v>
      </c>
      <c r="N53" s="12" t="s">
        <v>2014</v>
      </c>
      <c r="O53" s="12" t="s">
        <v>2003</v>
      </c>
      <c r="P53" s="12" t="s">
        <v>2014</v>
      </c>
      <c r="Q53" s="12" t="s">
        <v>2014</v>
      </c>
      <c r="R53" s="12" t="s">
        <v>2015</v>
      </c>
      <c r="S53" s="12" t="s">
        <v>2007</v>
      </c>
      <c r="T53" s="12" t="s">
        <v>2016</v>
      </c>
      <c r="U53" s="12" t="s">
        <v>1973</v>
      </c>
      <c r="V53" s="12" t="s">
        <v>2014</v>
      </c>
      <c r="W53" s="12" t="s">
        <v>2010</v>
      </c>
    </row>
    <row r="54" spans="1:23" ht="43.2" x14ac:dyDescent="0.3">
      <c r="A54" s="12">
        <f t="shared" si="0"/>
        <v>53</v>
      </c>
      <c r="B54" s="64" t="s">
        <v>1634</v>
      </c>
      <c r="C54" s="12" t="s">
        <v>1632</v>
      </c>
      <c r="D54" s="12" t="s">
        <v>2030</v>
      </c>
      <c r="E54" s="65" t="s">
        <v>168</v>
      </c>
      <c r="F54" s="66">
        <v>44440</v>
      </c>
      <c r="G54" s="12" t="s">
        <v>1999</v>
      </c>
      <c r="H54" s="12" t="s">
        <v>684</v>
      </c>
      <c r="I54" s="12" t="s">
        <v>2000</v>
      </c>
      <c r="J54" s="12" t="s">
        <v>547</v>
      </c>
      <c r="K54" s="67" t="s">
        <v>2033</v>
      </c>
      <c r="L54" s="67" t="s">
        <v>2034</v>
      </c>
      <c r="M54" s="12" t="s">
        <v>2013</v>
      </c>
      <c r="N54" s="12" t="s">
        <v>2014</v>
      </c>
      <c r="O54" s="12" t="s">
        <v>2003</v>
      </c>
      <c r="P54" s="12" t="s">
        <v>2014</v>
      </c>
      <c r="Q54" s="12" t="s">
        <v>2014</v>
      </c>
      <c r="R54" s="12" t="s">
        <v>2015</v>
      </c>
      <c r="S54" s="12" t="s">
        <v>2007</v>
      </c>
      <c r="T54" s="12" t="s">
        <v>2016</v>
      </c>
      <c r="U54" s="12" t="s">
        <v>1973</v>
      </c>
      <c r="V54" s="12" t="s">
        <v>2014</v>
      </c>
      <c r="W54" s="12" t="s">
        <v>2010</v>
      </c>
    </row>
    <row r="55" spans="1:23" ht="43.2" x14ac:dyDescent="0.3">
      <c r="A55" s="12">
        <f t="shared" si="0"/>
        <v>54</v>
      </c>
      <c r="B55" s="64" t="s">
        <v>1644</v>
      </c>
      <c r="C55" s="12" t="s">
        <v>1642</v>
      </c>
      <c r="D55" s="12" t="s">
        <v>2030</v>
      </c>
      <c r="E55" s="65" t="s">
        <v>168</v>
      </c>
      <c r="F55" s="66">
        <v>44454</v>
      </c>
      <c r="G55" s="12" t="s">
        <v>1999</v>
      </c>
      <c r="H55" s="12" t="s">
        <v>684</v>
      </c>
      <c r="I55" s="12" t="s">
        <v>2000</v>
      </c>
      <c r="J55" s="12" t="s">
        <v>547</v>
      </c>
      <c r="K55" s="67" t="s">
        <v>2033</v>
      </c>
      <c r="L55" s="67" t="s">
        <v>2034</v>
      </c>
      <c r="M55" s="12" t="s">
        <v>2013</v>
      </c>
      <c r="N55" s="12" t="s">
        <v>2014</v>
      </c>
      <c r="O55" s="12" t="s">
        <v>2003</v>
      </c>
      <c r="P55" s="12" t="s">
        <v>2014</v>
      </c>
      <c r="Q55" s="12" t="s">
        <v>2014</v>
      </c>
      <c r="R55" s="12" t="s">
        <v>2015</v>
      </c>
      <c r="S55" s="12" t="s">
        <v>2007</v>
      </c>
      <c r="T55" s="12" t="s">
        <v>2016</v>
      </c>
      <c r="U55" s="12" t="s">
        <v>1973</v>
      </c>
      <c r="V55" s="12" t="s">
        <v>2014</v>
      </c>
      <c r="W55" s="12" t="s">
        <v>2010</v>
      </c>
    </row>
    <row r="56" spans="1:23" x14ac:dyDescent="0.3">
      <c r="A56" s="12">
        <f t="shared" si="0"/>
        <v>55</v>
      </c>
      <c r="B56" s="64" t="s">
        <v>1816</v>
      </c>
      <c r="C56" s="12" t="s">
        <v>1814</v>
      </c>
      <c r="D56" s="12" t="s">
        <v>2030</v>
      </c>
      <c r="E56" s="65" t="s">
        <v>168</v>
      </c>
      <c r="F56" s="66">
        <v>44565</v>
      </c>
      <c r="G56" s="12" t="s">
        <v>1999</v>
      </c>
      <c r="H56" s="12" t="s">
        <v>684</v>
      </c>
      <c r="I56" s="12" t="s">
        <v>2000</v>
      </c>
      <c r="J56" s="12" t="s">
        <v>547</v>
      </c>
      <c r="K56" s="67" t="s">
        <v>2031</v>
      </c>
      <c r="L56" s="67" t="s">
        <v>2032</v>
      </c>
      <c r="M56" s="12" t="s">
        <v>2013</v>
      </c>
      <c r="N56" s="12" t="s">
        <v>2014</v>
      </c>
      <c r="O56" s="12" t="s">
        <v>2003</v>
      </c>
      <c r="P56" s="12" t="s">
        <v>2014</v>
      </c>
      <c r="Q56" s="12" t="s">
        <v>2014</v>
      </c>
      <c r="R56" s="12" t="s">
        <v>2015</v>
      </c>
      <c r="S56" s="12" t="s">
        <v>2007</v>
      </c>
      <c r="T56" s="12" t="s">
        <v>2016</v>
      </c>
      <c r="U56" s="12" t="s">
        <v>1623</v>
      </c>
      <c r="V56" s="12" t="s">
        <v>2014</v>
      </c>
      <c r="W56" s="12" t="s">
        <v>2010</v>
      </c>
    </row>
    <row r="57" spans="1:23" x14ac:dyDescent="0.3">
      <c r="A57" s="12">
        <f t="shared" si="0"/>
        <v>56</v>
      </c>
      <c r="B57" s="64" t="s">
        <v>1856</v>
      </c>
      <c r="C57" s="12" t="s">
        <v>1854</v>
      </c>
      <c r="D57" s="12" t="s">
        <v>2030</v>
      </c>
      <c r="E57" s="65" t="s">
        <v>168</v>
      </c>
      <c r="F57" s="66">
        <v>44579</v>
      </c>
      <c r="G57" s="12" t="s">
        <v>1999</v>
      </c>
      <c r="H57" s="12" t="s">
        <v>684</v>
      </c>
      <c r="I57" s="12" t="s">
        <v>2000</v>
      </c>
      <c r="J57" s="12" t="s">
        <v>547</v>
      </c>
      <c r="K57" s="67" t="s">
        <v>2031</v>
      </c>
      <c r="L57" s="67" t="s">
        <v>2032</v>
      </c>
      <c r="M57" s="12" t="s">
        <v>2013</v>
      </c>
      <c r="N57" s="12" t="s">
        <v>2014</v>
      </c>
      <c r="O57" s="12" t="s">
        <v>2003</v>
      </c>
      <c r="P57" s="12" t="s">
        <v>2014</v>
      </c>
      <c r="Q57" s="12" t="s">
        <v>2014</v>
      </c>
      <c r="R57" s="12" t="s">
        <v>2015</v>
      </c>
      <c r="S57" s="12" t="s">
        <v>2007</v>
      </c>
      <c r="T57" s="12" t="s">
        <v>2016</v>
      </c>
      <c r="U57" s="12" t="s">
        <v>1970</v>
      </c>
      <c r="V57" s="12" t="s">
        <v>2014</v>
      </c>
      <c r="W57" s="12" t="s">
        <v>2010</v>
      </c>
    </row>
    <row r="58" spans="1:23" ht="57.6" x14ac:dyDescent="0.3">
      <c r="A58" s="12">
        <f t="shared" si="0"/>
        <v>57</v>
      </c>
      <c r="B58" s="64" t="s">
        <v>2100</v>
      </c>
      <c r="C58" s="12" t="s">
        <v>2101</v>
      </c>
      <c r="D58" s="12" t="s">
        <v>2102</v>
      </c>
      <c r="E58" s="65" t="s">
        <v>168</v>
      </c>
      <c r="F58" s="66">
        <v>44767</v>
      </c>
      <c r="G58" s="12" t="s">
        <v>2024</v>
      </c>
      <c r="H58" s="12" t="s">
        <v>684</v>
      </c>
      <c r="I58" s="12" t="s">
        <v>2000</v>
      </c>
      <c r="J58" s="12" t="s">
        <v>547</v>
      </c>
      <c r="K58" s="67" t="s">
        <v>2025</v>
      </c>
      <c r="L58" s="67" t="s">
        <v>2026</v>
      </c>
      <c r="M58" s="12" t="s">
        <v>2013</v>
      </c>
      <c r="N58" s="12" t="s">
        <v>2014</v>
      </c>
      <c r="O58" s="12" t="s">
        <v>2044</v>
      </c>
      <c r="P58" s="12" t="s">
        <v>2004</v>
      </c>
      <c r="Q58" s="12" t="s">
        <v>2014</v>
      </c>
      <c r="R58" s="12" t="s">
        <v>2015</v>
      </c>
      <c r="S58" s="12" t="s">
        <v>2007</v>
      </c>
      <c r="T58" s="12" t="s">
        <v>2016</v>
      </c>
      <c r="U58" s="12" t="s">
        <v>2103</v>
      </c>
      <c r="V58" s="12" t="s">
        <v>2014</v>
      </c>
      <c r="W58" s="12" t="s">
        <v>2010</v>
      </c>
    </row>
    <row r="59" spans="1:23" x14ac:dyDescent="0.3">
      <c r="A59" s="12">
        <f t="shared" si="0"/>
        <v>58</v>
      </c>
      <c r="B59" s="64" t="s">
        <v>1846</v>
      </c>
      <c r="C59" s="12" t="s">
        <v>1844</v>
      </c>
      <c r="D59" s="12" t="s">
        <v>2030</v>
      </c>
      <c r="E59" s="65" t="s">
        <v>168</v>
      </c>
      <c r="F59" s="66">
        <v>44876</v>
      </c>
      <c r="G59" s="12" t="s">
        <v>1999</v>
      </c>
      <c r="H59" s="12" t="s">
        <v>684</v>
      </c>
      <c r="I59" s="12" t="s">
        <v>2000</v>
      </c>
      <c r="J59" s="12" t="s">
        <v>547</v>
      </c>
      <c r="K59" s="67" t="s">
        <v>2031</v>
      </c>
      <c r="L59" s="67" t="s">
        <v>2032</v>
      </c>
      <c r="M59" s="12" t="s">
        <v>2013</v>
      </c>
      <c r="N59" s="12" t="s">
        <v>2014</v>
      </c>
      <c r="O59" s="12" t="s">
        <v>2003</v>
      </c>
      <c r="P59" s="12" t="s">
        <v>2014</v>
      </c>
      <c r="Q59" s="12" t="s">
        <v>2014</v>
      </c>
      <c r="R59" s="12" t="s">
        <v>2015</v>
      </c>
      <c r="S59" s="12" t="s">
        <v>2007</v>
      </c>
      <c r="T59" s="12" t="s">
        <v>2016</v>
      </c>
      <c r="U59" s="12" t="s">
        <v>1973</v>
      </c>
      <c r="V59" s="12" t="s">
        <v>2014</v>
      </c>
      <c r="W59" s="12" t="s">
        <v>2010</v>
      </c>
    </row>
    <row r="60" spans="1:23" x14ac:dyDescent="0.3">
      <c r="A60" s="12">
        <f t="shared" si="0"/>
        <v>59</v>
      </c>
      <c r="B60" s="64" t="s">
        <v>2104</v>
      </c>
      <c r="C60" s="12" t="s">
        <v>2105</v>
      </c>
      <c r="D60" s="12" t="s">
        <v>2047</v>
      </c>
      <c r="E60" s="65" t="s">
        <v>168</v>
      </c>
      <c r="F60" s="66">
        <v>44950</v>
      </c>
      <c r="G60" s="12" t="s">
        <v>1999</v>
      </c>
      <c r="H60" s="12" t="s">
        <v>684</v>
      </c>
      <c r="I60" s="12" t="s">
        <v>2000</v>
      </c>
      <c r="J60" s="12" t="s">
        <v>547</v>
      </c>
      <c r="K60" s="67" t="s">
        <v>2031</v>
      </c>
      <c r="L60" s="67" t="s">
        <v>2032</v>
      </c>
      <c r="M60" s="12" t="s">
        <v>2013</v>
      </c>
      <c r="N60" s="12" t="s">
        <v>2014</v>
      </c>
      <c r="O60" s="12" t="s">
        <v>2003</v>
      </c>
      <c r="P60" s="12" t="s">
        <v>2014</v>
      </c>
      <c r="Q60" s="12" t="s">
        <v>2014</v>
      </c>
      <c r="R60" s="12" t="s">
        <v>2015</v>
      </c>
      <c r="S60" s="12" t="s">
        <v>2007</v>
      </c>
      <c r="T60" s="12" t="s">
        <v>2016</v>
      </c>
      <c r="U60" s="12" t="s">
        <v>1973</v>
      </c>
      <c r="V60" s="12" t="s">
        <v>2014</v>
      </c>
      <c r="W60" s="12" t="s">
        <v>2010</v>
      </c>
    </row>
    <row r="61" spans="1:23" ht="43.2" x14ac:dyDescent="0.3">
      <c r="A61" s="12">
        <f t="shared" si="0"/>
        <v>60</v>
      </c>
      <c r="B61" s="64" t="s">
        <v>1628</v>
      </c>
      <c r="C61" s="12" t="s">
        <v>1626</v>
      </c>
      <c r="D61" s="12" t="s">
        <v>2030</v>
      </c>
      <c r="E61" s="65" t="s">
        <v>168</v>
      </c>
      <c r="F61" s="66">
        <v>44953</v>
      </c>
      <c r="G61" s="12" t="s">
        <v>1999</v>
      </c>
      <c r="H61" s="12" t="s">
        <v>684</v>
      </c>
      <c r="I61" s="12" t="s">
        <v>2000</v>
      </c>
      <c r="J61" s="12" t="s">
        <v>547</v>
      </c>
      <c r="K61" s="67" t="s">
        <v>2033</v>
      </c>
      <c r="L61" s="67" t="s">
        <v>2034</v>
      </c>
      <c r="M61" s="12" t="s">
        <v>2013</v>
      </c>
      <c r="N61" s="12" t="s">
        <v>2014</v>
      </c>
      <c r="O61" s="12" t="s">
        <v>2003</v>
      </c>
      <c r="P61" s="12" t="s">
        <v>2014</v>
      </c>
      <c r="Q61" s="12" t="s">
        <v>2014</v>
      </c>
      <c r="R61" s="12" t="s">
        <v>2015</v>
      </c>
      <c r="S61" s="12" t="s">
        <v>2007</v>
      </c>
      <c r="T61" s="12" t="s">
        <v>2016</v>
      </c>
      <c r="U61" s="12" t="s">
        <v>1973</v>
      </c>
      <c r="V61" s="12" t="s">
        <v>2014</v>
      </c>
      <c r="W61" s="12" t="s">
        <v>2010</v>
      </c>
    </row>
    <row r="62" spans="1:23" x14ac:dyDescent="0.3">
      <c r="A62" s="12">
        <f t="shared" si="0"/>
        <v>61</v>
      </c>
      <c r="B62" s="64" t="s">
        <v>1770</v>
      </c>
      <c r="C62" s="12" t="s">
        <v>1768</v>
      </c>
      <c r="D62" s="12" t="s">
        <v>2030</v>
      </c>
      <c r="E62" s="65" t="s">
        <v>168</v>
      </c>
      <c r="F62" s="66">
        <v>44951</v>
      </c>
      <c r="G62" s="12" t="s">
        <v>1999</v>
      </c>
      <c r="H62" s="12" t="s">
        <v>684</v>
      </c>
      <c r="I62" s="12" t="s">
        <v>2000</v>
      </c>
      <c r="J62" s="12" t="s">
        <v>547</v>
      </c>
      <c r="K62" s="67" t="s">
        <v>2031</v>
      </c>
      <c r="L62" s="67" t="s">
        <v>2032</v>
      </c>
      <c r="M62" s="12" t="s">
        <v>2013</v>
      </c>
      <c r="N62" s="12" t="s">
        <v>2014</v>
      </c>
      <c r="O62" s="12" t="s">
        <v>2003</v>
      </c>
      <c r="P62" s="12" t="s">
        <v>2014</v>
      </c>
      <c r="Q62" s="12" t="s">
        <v>2014</v>
      </c>
      <c r="R62" s="12" t="s">
        <v>2015</v>
      </c>
      <c r="S62" s="12" t="s">
        <v>2007</v>
      </c>
      <c r="T62" s="12" t="s">
        <v>2016</v>
      </c>
      <c r="U62" s="12" t="s">
        <v>1623</v>
      </c>
      <c r="V62" s="12" t="s">
        <v>2014</v>
      </c>
      <c r="W62" s="12" t="s">
        <v>2010</v>
      </c>
    </row>
    <row r="63" spans="1:23" ht="72" x14ac:dyDescent="0.3">
      <c r="A63" s="12">
        <f t="shared" si="0"/>
        <v>62</v>
      </c>
      <c r="B63" s="64" t="s">
        <v>2106</v>
      </c>
      <c r="C63" s="12" t="s">
        <v>2107</v>
      </c>
      <c r="D63" s="12" t="s">
        <v>2108</v>
      </c>
      <c r="E63" s="65" t="s">
        <v>513</v>
      </c>
      <c r="F63" s="66">
        <v>45932</v>
      </c>
      <c r="G63" s="12" t="s">
        <v>1999</v>
      </c>
      <c r="H63" s="12" t="s">
        <v>684</v>
      </c>
      <c r="I63" s="12" t="s">
        <v>2109</v>
      </c>
      <c r="J63" s="12" t="s">
        <v>547</v>
      </c>
      <c r="K63" s="67" t="s">
        <v>2110</v>
      </c>
      <c r="L63" s="67" t="s">
        <v>2111</v>
      </c>
      <c r="M63" s="12" t="s">
        <v>2112</v>
      </c>
      <c r="N63" s="12" t="s">
        <v>2014</v>
      </c>
      <c r="O63" s="12" t="s">
        <v>2044</v>
      </c>
      <c r="P63" s="12" t="s">
        <v>2004</v>
      </c>
      <c r="Q63" s="12" t="s">
        <v>2005</v>
      </c>
      <c r="R63" s="12" t="s">
        <v>2113</v>
      </c>
      <c r="S63" s="12" t="s">
        <v>2007</v>
      </c>
      <c r="T63" s="12" t="s">
        <v>2016</v>
      </c>
      <c r="U63" s="12" t="s">
        <v>2114</v>
      </c>
      <c r="V63" s="12" t="s">
        <v>2014</v>
      </c>
      <c r="W63" s="12" t="s">
        <v>2010</v>
      </c>
    </row>
    <row r="64" spans="1:23" ht="72" x14ac:dyDescent="0.3">
      <c r="A64" s="12">
        <f t="shared" si="0"/>
        <v>63</v>
      </c>
      <c r="B64" s="64" t="s">
        <v>2115</v>
      </c>
      <c r="C64" s="12" t="s">
        <v>2116</v>
      </c>
      <c r="D64" s="12" t="s">
        <v>2117</v>
      </c>
      <c r="E64" s="65" t="s">
        <v>513</v>
      </c>
      <c r="F64" s="66">
        <v>46161</v>
      </c>
      <c r="G64" s="12" t="s">
        <v>2024</v>
      </c>
      <c r="H64" s="12" t="s">
        <v>684</v>
      </c>
      <c r="I64" s="12" t="s">
        <v>2109</v>
      </c>
      <c r="J64" s="12" t="s">
        <v>547</v>
      </c>
      <c r="K64" s="67" t="s">
        <v>2110</v>
      </c>
      <c r="L64" s="67" t="s">
        <v>2111</v>
      </c>
      <c r="M64" s="12" t="s">
        <v>2112</v>
      </c>
      <c r="N64" s="12" t="s">
        <v>2014</v>
      </c>
      <c r="O64" s="12" t="s">
        <v>2044</v>
      </c>
      <c r="P64" s="12" t="s">
        <v>2004</v>
      </c>
      <c r="Q64" s="12" t="s">
        <v>2005</v>
      </c>
      <c r="R64" s="12" t="s">
        <v>2113</v>
      </c>
      <c r="S64" s="12" t="s">
        <v>2007</v>
      </c>
      <c r="T64" s="12" t="s">
        <v>2016</v>
      </c>
      <c r="U64" s="12" t="s">
        <v>2118</v>
      </c>
      <c r="V64" s="12" t="s">
        <v>2014</v>
      </c>
      <c r="W64" s="12" t="s">
        <v>2010</v>
      </c>
    </row>
    <row r="65" spans="1:23" ht="57.6" x14ac:dyDescent="0.3">
      <c r="A65" s="12">
        <f t="shared" si="0"/>
        <v>64</v>
      </c>
      <c r="B65" s="64" t="s">
        <v>2119</v>
      </c>
      <c r="C65" s="12" t="s">
        <v>2120</v>
      </c>
      <c r="D65" s="12" t="s">
        <v>2121</v>
      </c>
      <c r="E65" s="65" t="s">
        <v>168</v>
      </c>
      <c r="F65" s="66">
        <v>45019</v>
      </c>
      <c r="G65" s="12" t="s">
        <v>2024</v>
      </c>
      <c r="H65" s="12" t="s">
        <v>684</v>
      </c>
      <c r="I65" s="12" t="s">
        <v>2000</v>
      </c>
      <c r="J65" s="12" t="s">
        <v>547</v>
      </c>
      <c r="K65" s="67" t="s">
        <v>2025</v>
      </c>
      <c r="L65" s="67" t="s">
        <v>2026</v>
      </c>
      <c r="M65" s="12" t="s">
        <v>2002</v>
      </c>
      <c r="N65" s="12" t="s">
        <v>1428</v>
      </c>
      <c r="O65" s="12" t="s">
        <v>2003</v>
      </c>
      <c r="P65" s="12" t="s">
        <v>2004</v>
      </c>
      <c r="Q65" s="12" t="s">
        <v>2005</v>
      </c>
      <c r="R65" s="12" t="s">
        <v>2015</v>
      </c>
      <c r="S65" s="12" t="s">
        <v>2007</v>
      </c>
      <c r="T65" s="12" t="s">
        <v>2008</v>
      </c>
      <c r="U65" s="12" t="s">
        <v>2057</v>
      </c>
      <c r="V65" s="12" t="s">
        <v>1428</v>
      </c>
      <c r="W65" s="12" t="s">
        <v>2010</v>
      </c>
    </row>
    <row r="66" spans="1:23" ht="57.6" x14ac:dyDescent="0.3">
      <c r="A66" s="12">
        <f t="shared" si="0"/>
        <v>65</v>
      </c>
      <c r="B66" s="64" t="s">
        <v>2122</v>
      </c>
      <c r="C66" s="12" t="s">
        <v>2123</v>
      </c>
      <c r="D66" s="12" t="s">
        <v>2124</v>
      </c>
      <c r="E66" s="65" t="s">
        <v>168</v>
      </c>
      <c r="F66" s="66">
        <v>45048</v>
      </c>
      <c r="G66" s="12" t="s">
        <v>2024</v>
      </c>
      <c r="H66" s="12" t="s">
        <v>684</v>
      </c>
      <c r="I66" s="12" t="s">
        <v>2000</v>
      </c>
      <c r="J66" s="12" t="s">
        <v>547</v>
      </c>
      <c r="K66" s="67" t="s">
        <v>2025</v>
      </c>
      <c r="L66" s="67" t="s">
        <v>2026</v>
      </c>
      <c r="M66" s="12" t="s">
        <v>2002</v>
      </c>
      <c r="N66" s="12" t="s">
        <v>1428</v>
      </c>
      <c r="O66" s="12" t="s">
        <v>2044</v>
      </c>
      <c r="P66" s="12" t="s">
        <v>2004</v>
      </c>
      <c r="Q66" s="12" t="s">
        <v>2005</v>
      </c>
      <c r="R66" s="12" t="s">
        <v>2015</v>
      </c>
      <c r="S66" s="12" t="s">
        <v>2007</v>
      </c>
      <c r="T66" s="12" t="s">
        <v>2008</v>
      </c>
      <c r="U66" s="12" t="s">
        <v>2057</v>
      </c>
      <c r="V66" s="12" t="s">
        <v>1428</v>
      </c>
      <c r="W66" s="12" t="s">
        <v>2010</v>
      </c>
    </row>
    <row r="67" spans="1:23" x14ac:dyDescent="0.3">
      <c r="A67" s="12">
        <f t="shared" si="0"/>
        <v>66</v>
      </c>
      <c r="B67" s="64" t="s">
        <v>1723</v>
      </c>
      <c r="C67" s="12" t="s">
        <v>1721</v>
      </c>
      <c r="D67" s="12" t="s">
        <v>2030</v>
      </c>
      <c r="E67" s="65" t="s">
        <v>168</v>
      </c>
      <c r="F67" s="66">
        <v>45077</v>
      </c>
      <c r="G67" s="12" t="s">
        <v>1999</v>
      </c>
      <c r="H67" s="12" t="s">
        <v>684</v>
      </c>
      <c r="I67" s="12" t="s">
        <v>2000</v>
      </c>
      <c r="J67" s="12" t="s">
        <v>547</v>
      </c>
      <c r="K67" s="67" t="s">
        <v>2031</v>
      </c>
      <c r="L67" s="67" t="s">
        <v>2032</v>
      </c>
      <c r="M67" s="12" t="s">
        <v>2013</v>
      </c>
      <c r="N67" s="12" t="s">
        <v>2014</v>
      </c>
      <c r="O67" s="12" t="s">
        <v>2003</v>
      </c>
      <c r="P67" s="12" t="s">
        <v>2004</v>
      </c>
      <c r="Q67" s="12" t="s">
        <v>2014</v>
      </c>
      <c r="R67" s="12" t="s">
        <v>2015</v>
      </c>
      <c r="S67" s="12" t="s">
        <v>2007</v>
      </c>
      <c r="T67" s="12" t="s">
        <v>2016</v>
      </c>
      <c r="U67" s="12" t="s">
        <v>1973</v>
      </c>
      <c r="V67" s="12" t="s">
        <v>2014</v>
      </c>
      <c r="W67" s="12" t="s">
        <v>2010</v>
      </c>
    </row>
    <row r="68" spans="1:23" ht="57.6" x14ac:dyDescent="0.3">
      <c r="A68" s="12">
        <f t="shared" si="0"/>
        <v>67</v>
      </c>
      <c r="B68" s="64" t="s">
        <v>2125</v>
      </c>
      <c r="C68" s="12" t="s">
        <v>2126</v>
      </c>
      <c r="D68" s="12" t="s">
        <v>2127</v>
      </c>
      <c r="E68" s="65" t="s">
        <v>168</v>
      </c>
      <c r="F68" s="66">
        <v>45096</v>
      </c>
      <c r="G68" s="12" t="s">
        <v>2024</v>
      </c>
      <c r="H68" s="12" t="s">
        <v>684</v>
      </c>
      <c r="I68" s="12" t="s">
        <v>2128</v>
      </c>
      <c r="J68" s="12" t="s">
        <v>2129</v>
      </c>
      <c r="K68" s="67" t="s">
        <v>2025</v>
      </c>
      <c r="L68" s="67" t="s">
        <v>2026</v>
      </c>
      <c r="M68" s="12" t="s">
        <v>2013</v>
      </c>
      <c r="N68" s="12" t="s">
        <v>2014</v>
      </c>
      <c r="O68" s="12" t="s">
        <v>2003</v>
      </c>
      <c r="P68" s="12" t="s">
        <v>2095</v>
      </c>
      <c r="Q68" s="12" t="s">
        <v>2014</v>
      </c>
      <c r="R68" s="12" t="s">
        <v>2015</v>
      </c>
      <c r="S68" s="12" t="s">
        <v>2007</v>
      </c>
      <c r="T68" s="12" t="s">
        <v>2016</v>
      </c>
      <c r="U68" s="12" t="s">
        <v>2027</v>
      </c>
      <c r="V68" s="12" t="s">
        <v>2014</v>
      </c>
      <c r="W68" s="12" t="s">
        <v>2010</v>
      </c>
    </row>
    <row r="69" spans="1:23" ht="43.2" x14ac:dyDescent="0.3">
      <c r="A69" s="12">
        <f t="shared" ref="A69:A132" si="1">A68+1</f>
        <v>68</v>
      </c>
      <c r="B69" s="64" t="s">
        <v>2130</v>
      </c>
      <c r="C69" s="12" t="s">
        <v>2131</v>
      </c>
      <c r="D69" s="12" t="s">
        <v>2132</v>
      </c>
      <c r="E69" s="65" t="s">
        <v>168</v>
      </c>
      <c r="F69" s="66">
        <v>45148</v>
      </c>
      <c r="G69" s="12" t="s">
        <v>1999</v>
      </c>
      <c r="H69" s="12" t="s">
        <v>684</v>
      </c>
      <c r="I69" s="12" t="s">
        <v>2000</v>
      </c>
      <c r="J69" s="12" t="s">
        <v>547</v>
      </c>
      <c r="K69" s="67" t="s">
        <v>2001</v>
      </c>
      <c r="L69" s="67" t="s">
        <v>1428</v>
      </c>
      <c r="M69" s="12" t="s">
        <v>2002</v>
      </c>
      <c r="N69" s="12" t="s">
        <v>1428</v>
      </c>
      <c r="O69" s="12" t="s">
        <v>2003</v>
      </c>
      <c r="P69" s="12" t="s">
        <v>2004</v>
      </c>
      <c r="Q69" s="12" t="s">
        <v>2005</v>
      </c>
      <c r="R69" s="12" t="s">
        <v>2006</v>
      </c>
      <c r="S69" s="12" t="s">
        <v>2007</v>
      </c>
      <c r="T69" s="12" t="s">
        <v>2008</v>
      </c>
      <c r="U69" s="12" t="s">
        <v>2009</v>
      </c>
      <c r="V69" s="12" t="s">
        <v>1428</v>
      </c>
      <c r="W69" s="12" t="s">
        <v>2010</v>
      </c>
    </row>
    <row r="70" spans="1:23" ht="57.6" x14ac:dyDescent="0.3">
      <c r="A70" s="12">
        <f t="shared" si="1"/>
        <v>69</v>
      </c>
      <c r="B70" s="64" t="s">
        <v>2133</v>
      </c>
      <c r="C70" s="12" t="s">
        <v>2134</v>
      </c>
      <c r="D70" s="12" t="s">
        <v>2093</v>
      </c>
      <c r="E70" s="65" t="s">
        <v>168</v>
      </c>
      <c r="F70" s="66">
        <v>45870</v>
      </c>
      <c r="G70" s="12" t="s">
        <v>2024</v>
      </c>
      <c r="H70" s="12" t="s">
        <v>684</v>
      </c>
      <c r="I70" s="12" t="s">
        <v>2040</v>
      </c>
      <c r="J70" s="12" t="s">
        <v>2041</v>
      </c>
      <c r="K70" s="67" t="s">
        <v>2025</v>
      </c>
      <c r="L70" s="67" t="s">
        <v>2026</v>
      </c>
      <c r="M70" s="12" t="s">
        <v>2013</v>
      </c>
      <c r="N70" s="12" t="s">
        <v>2014</v>
      </c>
      <c r="O70" s="12" t="s">
        <v>2044</v>
      </c>
      <c r="P70" s="12" t="s">
        <v>2004</v>
      </c>
      <c r="Q70" s="12" t="s">
        <v>2005</v>
      </c>
      <c r="R70" s="12" t="s">
        <v>2015</v>
      </c>
      <c r="S70" s="12" t="s">
        <v>2007</v>
      </c>
      <c r="T70" s="12" t="s">
        <v>2016</v>
      </c>
      <c r="U70" s="12" t="s">
        <v>2038</v>
      </c>
      <c r="V70" s="12" t="s">
        <v>2014</v>
      </c>
      <c r="W70" s="12" t="s">
        <v>2010</v>
      </c>
    </row>
    <row r="71" spans="1:23" ht="28.8" x14ac:dyDescent="0.3">
      <c r="A71" s="12">
        <f t="shared" si="1"/>
        <v>70</v>
      </c>
      <c r="B71" s="64" t="s">
        <v>2135</v>
      </c>
      <c r="C71" s="12" t="s">
        <v>2136</v>
      </c>
      <c r="D71" s="12" t="s">
        <v>2011</v>
      </c>
      <c r="E71" s="65" t="s">
        <v>168</v>
      </c>
      <c r="F71" s="66">
        <v>45188</v>
      </c>
      <c r="G71" s="12" t="s">
        <v>1999</v>
      </c>
      <c r="H71" s="12" t="s">
        <v>684</v>
      </c>
      <c r="I71" s="12" t="s">
        <v>2040</v>
      </c>
      <c r="J71" s="12" t="s">
        <v>2041</v>
      </c>
      <c r="K71" s="67" t="s">
        <v>2012</v>
      </c>
      <c r="L71" s="67" t="s">
        <v>590</v>
      </c>
      <c r="M71" s="12" t="s">
        <v>2013</v>
      </c>
      <c r="N71" s="12" t="s">
        <v>2014</v>
      </c>
      <c r="O71" s="12" t="s">
        <v>2003</v>
      </c>
      <c r="P71" s="12" t="s">
        <v>2014</v>
      </c>
      <c r="Q71" s="12" t="s">
        <v>2014</v>
      </c>
      <c r="R71" s="12" t="s">
        <v>2015</v>
      </c>
      <c r="S71" s="12" t="s">
        <v>2007</v>
      </c>
      <c r="T71" s="12" t="s">
        <v>2016</v>
      </c>
      <c r="U71" s="12" t="s">
        <v>1974</v>
      </c>
      <c r="V71" s="12" t="s">
        <v>2014</v>
      </c>
      <c r="W71" s="12" t="s">
        <v>2010</v>
      </c>
    </row>
    <row r="72" spans="1:23" ht="57.6" x14ac:dyDescent="0.3">
      <c r="A72" s="12">
        <f t="shared" si="1"/>
        <v>71</v>
      </c>
      <c r="B72" s="64" t="s">
        <v>2137</v>
      </c>
      <c r="C72" s="12" t="s">
        <v>2138</v>
      </c>
      <c r="D72" s="12" t="s">
        <v>2084</v>
      </c>
      <c r="E72" s="65" t="s">
        <v>168</v>
      </c>
      <c r="F72" s="66">
        <v>45233</v>
      </c>
      <c r="G72" s="12" t="s">
        <v>1999</v>
      </c>
      <c r="H72" s="12" t="s">
        <v>684</v>
      </c>
      <c r="I72" s="12" t="s">
        <v>2000</v>
      </c>
      <c r="J72" s="12" t="s">
        <v>547</v>
      </c>
      <c r="K72" s="67" t="s">
        <v>2025</v>
      </c>
      <c r="L72" s="67" t="s">
        <v>2026</v>
      </c>
      <c r="M72" s="12" t="s">
        <v>2002</v>
      </c>
      <c r="N72" s="12" t="s">
        <v>1428</v>
      </c>
      <c r="O72" s="12" t="s">
        <v>2003</v>
      </c>
      <c r="P72" s="12" t="s">
        <v>2004</v>
      </c>
      <c r="Q72" s="12" t="s">
        <v>2005</v>
      </c>
      <c r="R72" s="12" t="s">
        <v>2015</v>
      </c>
      <c r="S72" s="12" t="s">
        <v>2007</v>
      </c>
      <c r="T72" s="12" t="s">
        <v>2008</v>
      </c>
      <c r="U72" s="12" t="s">
        <v>2085</v>
      </c>
      <c r="V72" s="12" t="s">
        <v>1428</v>
      </c>
      <c r="W72" s="12" t="s">
        <v>2010</v>
      </c>
    </row>
    <row r="73" spans="1:23" ht="57.6" x14ac:dyDescent="0.3">
      <c r="A73" s="12">
        <f t="shared" si="1"/>
        <v>72</v>
      </c>
      <c r="B73" s="64" t="s">
        <v>2139</v>
      </c>
      <c r="C73" s="12" t="s">
        <v>2140</v>
      </c>
      <c r="D73" s="12" t="s">
        <v>2084</v>
      </c>
      <c r="E73" s="65" t="s">
        <v>168</v>
      </c>
      <c r="F73" s="66">
        <v>45233</v>
      </c>
      <c r="G73" s="12" t="s">
        <v>1999</v>
      </c>
      <c r="H73" s="12" t="s">
        <v>684</v>
      </c>
      <c r="I73" s="12" t="s">
        <v>2000</v>
      </c>
      <c r="J73" s="12" t="s">
        <v>547</v>
      </c>
      <c r="K73" s="67" t="s">
        <v>2025</v>
      </c>
      <c r="L73" s="67" t="s">
        <v>2026</v>
      </c>
      <c r="M73" s="12" t="s">
        <v>2002</v>
      </c>
      <c r="N73" s="12" t="s">
        <v>1428</v>
      </c>
      <c r="O73" s="12" t="s">
        <v>2003</v>
      </c>
      <c r="P73" s="12" t="s">
        <v>2004</v>
      </c>
      <c r="Q73" s="12" t="s">
        <v>2005</v>
      </c>
      <c r="R73" s="12" t="s">
        <v>2015</v>
      </c>
      <c r="S73" s="12" t="s">
        <v>2007</v>
      </c>
      <c r="T73" s="12" t="s">
        <v>2008</v>
      </c>
      <c r="U73" s="12" t="s">
        <v>2085</v>
      </c>
      <c r="V73" s="12" t="s">
        <v>1428</v>
      </c>
      <c r="W73" s="12" t="s">
        <v>2010</v>
      </c>
    </row>
    <row r="74" spans="1:23" ht="57.6" x14ac:dyDescent="0.3">
      <c r="A74" s="12">
        <f t="shared" si="1"/>
        <v>73</v>
      </c>
      <c r="B74" s="64" t="s">
        <v>2141</v>
      </c>
      <c r="C74" s="12" t="s">
        <v>2142</v>
      </c>
      <c r="D74" s="12" t="s">
        <v>2084</v>
      </c>
      <c r="E74" s="65" t="s">
        <v>168</v>
      </c>
      <c r="F74" s="66">
        <v>45244</v>
      </c>
      <c r="G74" s="12" t="s">
        <v>1999</v>
      </c>
      <c r="H74" s="12" t="s">
        <v>684</v>
      </c>
      <c r="I74" s="12" t="s">
        <v>2000</v>
      </c>
      <c r="J74" s="12" t="s">
        <v>547</v>
      </c>
      <c r="K74" s="67" t="s">
        <v>2025</v>
      </c>
      <c r="L74" s="67" t="s">
        <v>2026</v>
      </c>
      <c r="M74" s="12" t="s">
        <v>2002</v>
      </c>
      <c r="N74" s="12" t="s">
        <v>1428</v>
      </c>
      <c r="O74" s="12" t="s">
        <v>2003</v>
      </c>
      <c r="P74" s="12" t="s">
        <v>2004</v>
      </c>
      <c r="Q74" s="12" t="s">
        <v>2005</v>
      </c>
      <c r="R74" s="12" t="s">
        <v>2015</v>
      </c>
      <c r="S74" s="12" t="s">
        <v>2007</v>
      </c>
      <c r="T74" s="12" t="s">
        <v>2008</v>
      </c>
      <c r="U74" s="12" t="s">
        <v>2085</v>
      </c>
      <c r="V74" s="12" t="s">
        <v>1428</v>
      </c>
      <c r="W74" s="12" t="s">
        <v>2010</v>
      </c>
    </row>
    <row r="75" spans="1:23" ht="57.6" x14ac:dyDescent="0.3">
      <c r="A75" s="12">
        <f t="shared" si="1"/>
        <v>74</v>
      </c>
      <c r="B75" s="64" t="s">
        <v>2143</v>
      </c>
      <c r="C75" s="12" t="s">
        <v>2144</v>
      </c>
      <c r="D75" s="65" t="s">
        <v>2145</v>
      </c>
      <c r="E75" s="69" t="s">
        <v>168</v>
      </c>
      <c r="F75" s="66">
        <v>45323</v>
      </c>
      <c r="G75" s="12" t="s">
        <v>1999</v>
      </c>
      <c r="H75" s="12" t="s">
        <v>684</v>
      </c>
      <c r="I75" s="12" t="s">
        <v>2000</v>
      </c>
      <c r="J75" s="12" t="s">
        <v>547</v>
      </c>
      <c r="K75" s="67" t="s">
        <v>2025</v>
      </c>
      <c r="L75" s="67" t="s">
        <v>2026</v>
      </c>
      <c r="M75" s="12" t="s">
        <v>2002</v>
      </c>
      <c r="N75" s="12" t="s">
        <v>1428</v>
      </c>
      <c r="O75" s="12" t="s">
        <v>2003</v>
      </c>
      <c r="P75" s="12" t="s">
        <v>2004</v>
      </c>
      <c r="Q75" s="12" t="s">
        <v>2005</v>
      </c>
      <c r="R75" s="12" t="s">
        <v>2015</v>
      </c>
      <c r="S75" s="12" t="s">
        <v>2007</v>
      </c>
      <c r="T75" s="12" t="s">
        <v>2008</v>
      </c>
      <c r="U75" s="12" t="s">
        <v>2085</v>
      </c>
      <c r="V75" s="12" t="s">
        <v>1428</v>
      </c>
      <c r="W75" s="12" t="s">
        <v>2010</v>
      </c>
    </row>
    <row r="76" spans="1:23" ht="57.6" x14ac:dyDescent="0.3">
      <c r="A76" s="12">
        <f t="shared" si="1"/>
        <v>75</v>
      </c>
      <c r="B76" s="64" t="s">
        <v>2146</v>
      </c>
      <c r="C76" s="12" t="s">
        <v>2147</v>
      </c>
      <c r="D76" s="65" t="s">
        <v>2084</v>
      </c>
      <c r="E76" s="69" t="s">
        <v>168</v>
      </c>
      <c r="F76" s="66">
        <v>45293</v>
      </c>
      <c r="G76" s="12" t="s">
        <v>1999</v>
      </c>
      <c r="H76" s="12" t="s">
        <v>684</v>
      </c>
      <c r="I76" s="12" t="s">
        <v>2000</v>
      </c>
      <c r="J76" s="12" t="s">
        <v>547</v>
      </c>
      <c r="K76" s="67" t="s">
        <v>2025</v>
      </c>
      <c r="L76" s="67" t="s">
        <v>2026</v>
      </c>
      <c r="M76" s="12" t="s">
        <v>2002</v>
      </c>
      <c r="N76" s="12" t="s">
        <v>1428</v>
      </c>
      <c r="O76" s="12" t="s">
        <v>2003</v>
      </c>
      <c r="P76" s="12" t="s">
        <v>2004</v>
      </c>
      <c r="Q76" s="12" t="s">
        <v>2005</v>
      </c>
      <c r="R76" s="12" t="s">
        <v>2015</v>
      </c>
      <c r="S76" s="12" t="s">
        <v>2007</v>
      </c>
      <c r="T76" s="12" t="s">
        <v>2008</v>
      </c>
      <c r="U76" s="12" t="s">
        <v>2085</v>
      </c>
      <c r="V76" s="12" t="s">
        <v>1428</v>
      </c>
      <c r="W76" s="12" t="s">
        <v>2010</v>
      </c>
    </row>
    <row r="77" spans="1:23" ht="57.6" x14ac:dyDescent="0.3">
      <c r="A77" s="12">
        <f t="shared" si="1"/>
        <v>76</v>
      </c>
      <c r="B77" s="64" t="s">
        <v>2148</v>
      </c>
      <c r="C77" s="12" t="s">
        <v>2103</v>
      </c>
      <c r="D77" s="71" t="s">
        <v>2149</v>
      </c>
      <c r="E77" s="65" t="s">
        <v>168</v>
      </c>
      <c r="F77" s="66">
        <v>45446</v>
      </c>
      <c r="G77" s="12" t="s">
        <v>2024</v>
      </c>
      <c r="H77" s="12" t="s">
        <v>684</v>
      </c>
      <c r="I77" s="12" t="s">
        <v>2000</v>
      </c>
      <c r="J77" s="12" t="s">
        <v>547</v>
      </c>
      <c r="K77" s="67" t="s">
        <v>2025</v>
      </c>
      <c r="L77" s="67" t="s">
        <v>2026</v>
      </c>
      <c r="M77" s="12" t="s">
        <v>2013</v>
      </c>
      <c r="N77" s="12" t="s">
        <v>2014</v>
      </c>
      <c r="O77" s="12" t="s">
        <v>2044</v>
      </c>
      <c r="P77" s="12" t="s">
        <v>2004</v>
      </c>
      <c r="Q77" s="12" t="s">
        <v>2014</v>
      </c>
      <c r="R77" s="12" t="s">
        <v>2015</v>
      </c>
      <c r="S77" s="12" t="s">
        <v>2007</v>
      </c>
      <c r="T77" s="12" t="s">
        <v>2016</v>
      </c>
      <c r="U77" s="12" t="s">
        <v>2027</v>
      </c>
      <c r="V77" s="12" t="s">
        <v>2014</v>
      </c>
      <c r="W77" s="12" t="s">
        <v>2010</v>
      </c>
    </row>
    <row r="78" spans="1:23" x14ac:dyDescent="0.3">
      <c r="A78" s="12">
        <f t="shared" si="1"/>
        <v>77</v>
      </c>
      <c r="B78" s="68" t="s">
        <v>1739</v>
      </c>
      <c r="C78" s="72" t="s">
        <v>1737</v>
      </c>
      <c r="D78" s="12" t="s">
        <v>2030</v>
      </c>
      <c r="E78" s="69" t="s">
        <v>168</v>
      </c>
      <c r="F78" s="73">
        <v>45504</v>
      </c>
      <c r="G78" s="12" t="s">
        <v>1999</v>
      </c>
      <c r="H78" s="72" t="s">
        <v>684</v>
      </c>
      <c r="I78" s="72" t="s">
        <v>2000</v>
      </c>
      <c r="J78" s="72" t="s">
        <v>547</v>
      </c>
      <c r="K78" s="74" t="s">
        <v>2031</v>
      </c>
      <c r="L78" s="67" t="s">
        <v>2032</v>
      </c>
      <c r="M78" s="12" t="s">
        <v>2013</v>
      </c>
      <c r="N78" s="12" t="s">
        <v>2014</v>
      </c>
      <c r="O78" s="12" t="s">
        <v>2003</v>
      </c>
      <c r="P78" s="12" t="s">
        <v>2014</v>
      </c>
      <c r="Q78" s="12" t="s">
        <v>2014</v>
      </c>
      <c r="R78" s="12" t="s">
        <v>2015</v>
      </c>
      <c r="S78" s="12" t="s">
        <v>2007</v>
      </c>
      <c r="T78" s="12" t="s">
        <v>2016</v>
      </c>
      <c r="U78" s="12" t="s">
        <v>1973</v>
      </c>
      <c r="V78" s="12" t="s">
        <v>2014</v>
      </c>
      <c r="W78" s="12" t="s">
        <v>2010</v>
      </c>
    </row>
    <row r="79" spans="1:23" ht="28.8" x14ac:dyDescent="0.3">
      <c r="A79" s="12">
        <f t="shared" si="1"/>
        <v>78</v>
      </c>
      <c r="B79" s="75" t="s">
        <v>1958</v>
      </c>
      <c r="C79" s="72" t="s">
        <v>1956</v>
      </c>
      <c r="D79" s="12" t="s">
        <v>2030</v>
      </c>
      <c r="E79" s="69" t="s">
        <v>168</v>
      </c>
      <c r="F79" s="73">
        <v>45525</v>
      </c>
      <c r="G79" s="12" t="s">
        <v>1999</v>
      </c>
      <c r="H79" s="72" t="s">
        <v>684</v>
      </c>
      <c r="I79" s="72" t="s">
        <v>2040</v>
      </c>
      <c r="J79" s="72" t="s">
        <v>2041</v>
      </c>
      <c r="K79" s="67" t="s">
        <v>2012</v>
      </c>
      <c r="L79" s="67" t="s">
        <v>590</v>
      </c>
      <c r="M79" s="12" t="s">
        <v>2013</v>
      </c>
      <c r="N79" s="12" t="s">
        <v>2014</v>
      </c>
      <c r="O79" s="12" t="s">
        <v>2003</v>
      </c>
      <c r="P79" s="12" t="s">
        <v>2014</v>
      </c>
      <c r="Q79" s="12" t="s">
        <v>2014</v>
      </c>
      <c r="R79" s="12" t="s">
        <v>2015</v>
      </c>
      <c r="S79" s="12" t="s">
        <v>2007</v>
      </c>
      <c r="T79" s="12" t="s">
        <v>2016</v>
      </c>
      <c r="U79" s="12" t="s">
        <v>1974</v>
      </c>
      <c r="V79" s="12" t="s">
        <v>2014</v>
      </c>
      <c r="W79" s="12" t="s">
        <v>2010</v>
      </c>
    </row>
    <row r="80" spans="1:23" x14ac:dyDescent="0.3">
      <c r="A80" s="12">
        <f t="shared" si="1"/>
        <v>79</v>
      </c>
      <c r="B80" s="64" t="s">
        <v>1760</v>
      </c>
      <c r="C80" s="12" t="s">
        <v>1758</v>
      </c>
      <c r="D80" s="12" t="s">
        <v>2030</v>
      </c>
      <c r="E80" s="69" t="s">
        <v>168</v>
      </c>
      <c r="F80" s="73">
        <v>45559</v>
      </c>
      <c r="G80" s="12" t="s">
        <v>1999</v>
      </c>
      <c r="H80" s="72" t="s">
        <v>684</v>
      </c>
      <c r="I80" s="72" t="s">
        <v>2000</v>
      </c>
      <c r="J80" s="72" t="s">
        <v>547</v>
      </c>
      <c r="K80" s="74" t="s">
        <v>2031</v>
      </c>
      <c r="L80" s="67" t="s">
        <v>2032</v>
      </c>
      <c r="M80" s="12" t="s">
        <v>2013</v>
      </c>
      <c r="N80" s="12" t="s">
        <v>2014</v>
      </c>
      <c r="O80" s="12" t="s">
        <v>2003</v>
      </c>
      <c r="P80" s="12" t="s">
        <v>2014</v>
      </c>
      <c r="Q80" s="12" t="s">
        <v>2014</v>
      </c>
      <c r="R80" s="12" t="s">
        <v>2015</v>
      </c>
      <c r="S80" s="12" t="s">
        <v>2007</v>
      </c>
      <c r="T80" s="12" t="s">
        <v>2016</v>
      </c>
      <c r="U80" s="12" t="s">
        <v>1973</v>
      </c>
      <c r="V80" s="12" t="s">
        <v>2014</v>
      </c>
      <c r="W80" s="12" t="s">
        <v>2010</v>
      </c>
    </row>
    <row r="81" spans="1:23" x14ac:dyDescent="0.3">
      <c r="A81" s="12">
        <f t="shared" si="1"/>
        <v>80</v>
      </c>
      <c r="B81" s="64" t="s">
        <v>1754</v>
      </c>
      <c r="C81" s="12" t="s">
        <v>1752</v>
      </c>
      <c r="D81" s="12" t="s">
        <v>2030</v>
      </c>
      <c r="E81" s="69" t="s">
        <v>168</v>
      </c>
      <c r="F81" s="73">
        <v>45567</v>
      </c>
      <c r="G81" s="12" t="s">
        <v>1999</v>
      </c>
      <c r="H81" s="72" t="s">
        <v>684</v>
      </c>
      <c r="I81" s="72" t="s">
        <v>2000</v>
      </c>
      <c r="J81" s="72" t="s">
        <v>547</v>
      </c>
      <c r="K81" s="74" t="s">
        <v>2031</v>
      </c>
      <c r="L81" s="67" t="s">
        <v>2032</v>
      </c>
      <c r="M81" s="12" t="s">
        <v>2013</v>
      </c>
      <c r="N81" s="12" t="s">
        <v>2014</v>
      </c>
      <c r="O81" s="12" t="s">
        <v>2003</v>
      </c>
      <c r="P81" s="12" t="s">
        <v>2014</v>
      </c>
      <c r="Q81" s="12" t="s">
        <v>2014</v>
      </c>
      <c r="R81" s="12" t="s">
        <v>2015</v>
      </c>
      <c r="S81" s="12" t="s">
        <v>2007</v>
      </c>
      <c r="T81" s="12" t="s">
        <v>2016</v>
      </c>
      <c r="U81" s="12" t="s">
        <v>1973</v>
      </c>
      <c r="V81" s="12" t="s">
        <v>2014</v>
      </c>
      <c r="W81" s="12" t="s">
        <v>2010</v>
      </c>
    </row>
    <row r="82" spans="1:23" ht="43.2" x14ac:dyDescent="0.3">
      <c r="A82" s="12">
        <f t="shared" si="1"/>
        <v>81</v>
      </c>
      <c r="B82" s="64" t="s">
        <v>1953</v>
      </c>
      <c r="C82" s="12" t="s">
        <v>1951</v>
      </c>
      <c r="D82" s="12" t="s">
        <v>2028</v>
      </c>
      <c r="E82" s="69" t="s">
        <v>168</v>
      </c>
      <c r="F82" s="66">
        <v>45575</v>
      </c>
      <c r="G82" s="12" t="s">
        <v>1999</v>
      </c>
      <c r="H82" s="12" t="s">
        <v>684</v>
      </c>
      <c r="I82" s="12" t="s">
        <v>2000</v>
      </c>
      <c r="J82" s="12" t="s">
        <v>547</v>
      </c>
      <c r="K82" s="67" t="s">
        <v>2029</v>
      </c>
      <c r="L82" s="67" t="s">
        <v>511</v>
      </c>
      <c r="M82" s="12" t="s">
        <v>2013</v>
      </c>
      <c r="N82" s="12" t="s">
        <v>2014</v>
      </c>
      <c r="O82" s="12" t="s">
        <v>2003</v>
      </c>
      <c r="P82" s="12" t="s">
        <v>2014</v>
      </c>
      <c r="Q82" s="12" t="s">
        <v>2014</v>
      </c>
      <c r="R82" s="12" t="s">
        <v>2015</v>
      </c>
      <c r="S82" s="12" t="s">
        <v>2007</v>
      </c>
      <c r="T82" s="12" t="s">
        <v>2016</v>
      </c>
      <c r="U82" s="12" t="s">
        <v>1974</v>
      </c>
      <c r="V82" s="12" t="s">
        <v>2014</v>
      </c>
      <c r="W82" s="12" t="s">
        <v>2010</v>
      </c>
    </row>
    <row r="83" spans="1:23" ht="57.6" x14ac:dyDescent="0.3">
      <c r="A83" s="12">
        <f t="shared" si="1"/>
        <v>82</v>
      </c>
      <c r="B83" s="64" t="s">
        <v>2150</v>
      </c>
      <c r="C83" s="76" t="s">
        <v>1974</v>
      </c>
      <c r="D83" s="12" t="s">
        <v>2127</v>
      </c>
      <c r="E83" s="69" t="s">
        <v>168</v>
      </c>
      <c r="F83" s="66">
        <v>45735</v>
      </c>
      <c r="G83" s="12" t="s">
        <v>2024</v>
      </c>
      <c r="H83" s="72" t="s">
        <v>684</v>
      </c>
      <c r="I83" s="72" t="s">
        <v>2000</v>
      </c>
      <c r="J83" s="12" t="s">
        <v>547</v>
      </c>
      <c r="K83" s="67" t="s">
        <v>2025</v>
      </c>
      <c r="L83" s="67" t="s">
        <v>2026</v>
      </c>
      <c r="M83" s="12" t="s">
        <v>2013</v>
      </c>
      <c r="N83" s="12" t="s">
        <v>2014</v>
      </c>
      <c r="O83" s="12" t="s">
        <v>2003</v>
      </c>
      <c r="P83" s="12" t="s">
        <v>2004</v>
      </c>
      <c r="Q83" s="12" t="s">
        <v>2014</v>
      </c>
      <c r="R83" s="12" t="s">
        <v>2015</v>
      </c>
      <c r="S83" s="12" t="s">
        <v>2007</v>
      </c>
      <c r="T83" s="12" t="s">
        <v>2016</v>
      </c>
      <c r="U83" s="12" t="s">
        <v>1973</v>
      </c>
      <c r="V83" s="12" t="s">
        <v>2014</v>
      </c>
      <c r="W83" s="12" t="s">
        <v>2010</v>
      </c>
    </row>
    <row r="84" spans="1:23" ht="57.6" x14ac:dyDescent="0.3">
      <c r="A84" s="12">
        <f t="shared" si="1"/>
        <v>83</v>
      </c>
      <c r="B84" s="64" t="s">
        <v>2151</v>
      </c>
      <c r="C84" s="76" t="s">
        <v>2085</v>
      </c>
      <c r="D84" s="12" t="s">
        <v>2152</v>
      </c>
      <c r="E84" s="69" t="s">
        <v>168</v>
      </c>
      <c r="F84" s="66">
        <v>45735</v>
      </c>
      <c r="G84" s="12" t="s">
        <v>1999</v>
      </c>
      <c r="H84" s="72" t="s">
        <v>684</v>
      </c>
      <c r="I84" s="72" t="s">
        <v>2000</v>
      </c>
      <c r="J84" s="12" t="s">
        <v>547</v>
      </c>
      <c r="K84" s="67" t="s">
        <v>2025</v>
      </c>
      <c r="L84" s="67" t="s">
        <v>2026</v>
      </c>
      <c r="M84" s="12" t="s">
        <v>2002</v>
      </c>
      <c r="N84" s="12" t="s">
        <v>1428</v>
      </c>
      <c r="O84" s="12" t="s">
        <v>2003</v>
      </c>
      <c r="P84" s="12" t="s">
        <v>2004</v>
      </c>
      <c r="Q84" s="12" t="s">
        <v>2005</v>
      </c>
      <c r="R84" s="12" t="s">
        <v>2015</v>
      </c>
      <c r="S84" s="12" t="s">
        <v>2007</v>
      </c>
      <c r="T84" s="12" t="s">
        <v>2008</v>
      </c>
      <c r="U84" s="12" t="s">
        <v>2057</v>
      </c>
      <c r="V84" s="12" t="s">
        <v>1428</v>
      </c>
      <c r="W84" s="12" t="s">
        <v>2010</v>
      </c>
    </row>
    <row r="85" spans="1:23" ht="57.6" x14ac:dyDescent="0.3">
      <c r="A85" s="12">
        <f t="shared" si="1"/>
        <v>84</v>
      </c>
      <c r="B85" s="64" t="s">
        <v>2153</v>
      </c>
      <c r="C85" s="76" t="s">
        <v>1623</v>
      </c>
      <c r="D85" s="12" t="s">
        <v>2127</v>
      </c>
      <c r="E85" s="69" t="s">
        <v>168</v>
      </c>
      <c r="F85" s="66">
        <v>45735</v>
      </c>
      <c r="G85" s="12" t="s">
        <v>2024</v>
      </c>
      <c r="H85" s="72" t="s">
        <v>684</v>
      </c>
      <c r="I85" s="72" t="s">
        <v>2000</v>
      </c>
      <c r="J85" s="12" t="s">
        <v>547</v>
      </c>
      <c r="K85" s="67" t="s">
        <v>2025</v>
      </c>
      <c r="L85" s="67" t="s">
        <v>2026</v>
      </c>
      <c r="M85" s="12" t="s">
        <v>2013</v>
      </c>
      <c r="N85" s="12" t="s">
        <v>2014</v>
      </c>
      <c r="O85" s="12" t="s">
        <v>2003</v>
      </c>
      <c r="P85" s="12" t="s">
        <v>2004</v>
      </c>
      <c r="Q85" s="12" t="s">
        <v>2005</v>
      </c>
      <c r="R85" s="12" t="s">
        <v>2015</v>
      </c>
      <c r="S85" s="12" t="s">
        <v>2007</v>
      </c>
      <c r="T85" s="12" t="s">
        <v>2008</v>
      </c>
      <c r="U85" s="12" t="s">
        <v>2027</v>
      </c>
      <c r="V85" s="12" t="s">
        <v>1428</v>
      </c>
      <c r="W85" s="12" t="s">
        <v>2010</v>
      </c>
    </row>
    <row r="86" spans="1:23" ht="57.6" x14ac:dyDescent="0.3">
      <c r="A86" s="12">
        <f t="shared" si="1"/>
        <v>85</v>
      </c>
      <c r="B86" s="64" t="s">
        <v>2154</v>
      </c>
      <c r="C86" s="12" t="s">
        <v>2155</v>
      </c>
      <c r="D86" s="12" t="s">
        <v>2093</v>
      </c>
      <c r="E86" s="69" t="s">
        <v>168</v>
      </c>
      <c r="F86" s="66">
        <v>45736</v>
      </c>
      <c r="G86" s="12" t="s">
        <v>1999</v>
      </c>
      <c r="H86" s="72" t="s">
        <v>684</v>
      </c>
      <c r="I86" s="72" t="s">
        <v>2040</v>
      </c>
      <c r="J86" s="12" t="s">
        <v>2041</v>
      </c>
      <c r="K86" s="67" t="s">
        <v>2025</v>
      </c>
      <c r="L86" s="67" t="s">
        <v>2026</v>
      </c>
      <c r="M86" s="12" t="s">
        <v>2013</v>
      </c>
      <c r="N86" s="12" t="s">
        <v>2014</v>
      </c>
      <c r="O86" s="12" t="s">
        <v>2044</v>
      </c>
      <c r="P86" s="12" t="s">
        <v>2004</v>
      </c>
      <c r="Q86" s="12" t="s">
        <v>2014</v>
      </c>
      <c r="R86" s="12" t="s">
        <v>2015</v>
      </c>
      <c r="S86" s="12" t="s">
        <v>2007</v>
      </c>
      <c r="T86" s="12" t="s">
        <v>2016</v>
      </c>
      <c r="U86" s="12" t="s">
        <v>2038</v>
      </c>
      <c r="V86" s="12" t="s">
        <v>2014</v>
      </c>
      <c r="W86" s="12" t="s">
        <v>2010</v>
      </c>
    </row>
    <row r="87" spans="1:23" ht="43.2" x14ac:dyDescent="0.3">
      <c r="A87" s="12">
        <f t="shared" si="1"/>
        <v>86</v>
      </c>
      <c r="B87" s="64" t="s">
        <v>1963</v>
      </c>
      <c r="C87" s="12" t="s">
        <v>1961</v>
      </c>
      <c r="D87" s="12" t="s">
        <v>2028</v>
      </c>
      <c r="E87" s="65" t="s">
        <v>168</v>
      </c>
      <c r="F87" s="66">
        <v>45754</v>
      </c>
      <c r="G87" s="12" t="s">
        <v>1999</v>
      </c>
      <c r="H87" s="12" t="s">
        <v>684</v>
      </c>
      <c r="I87" s="12" t="s">
        <v>2000</v>
      </c>
      <c r="J87" s="12" t="s">
        <v>547</v>
      </c>
      <c r="K87" s="67" t="s">
        <v>2029</v>
      </c>
      <c r="L87" s="67" t="s">
        <v>511</v>
      </c>
      <c r="M87" s="12" t="s">
        <v>2013</v>
      </c>
      <c r="N87" s="12" t="s">
        <v>2014</v>
      </c>
      <c r="O87" s="12" t="s">
        <v>2003</v>
      </c>
      <c r="P87" s="12" t="s">
        <v>2014</v>
      </c>
      <c r="Q87" s="12" t="s">
        <v>2014</v>
      </c>
      <c r="R87" s="12" t="s">
        <v>2015</v>
      </c>
      <c r="S87" s="12" t="s">
        <v>2007</v>
      </c>
      <c r="T87" s="12" t="s">
        <v>2016</v>
      </c>
      <c r="U87" s="12" t="s">
        <v>1974</v>
      </c>
      <c r="V87" s="12" t="s">
        <v>2014</v>
      </c>
      <c r="W87" s="12" t="s">
        <v>2010</v>
      </c>
    </row>
    <row r="88" spans="1:23" ht="43.2" x14ac:dyDescent="0.3">
      <c r="A88" s="12">
        <f t="shared" si="1"/>
        <v>87</v>
      </c>
      <c r="B88" s="64" t="s">
        <v>1698</v>
      </c>
      <c r="C88" s="12" t="s">
        <v>1696</v>
      </c>
      <c r="D88" s="12" t="s">
        <v>2030</v>
      </c>
      <c r="E88" s="69" t="s">
        <v>168</v>
      </c>
      <c r="F88" s="66">
        <v>45720</v>
      </c>
      <c r="G88" s="12" t="s">
        <v>1999</v>
      </c>
      <c r="H88" s="72" t="s">
        <v>684</v>
      </c>
      <c r="I88" s="72" t="s">
        <v>2000</v>
      </c>
      <c r="J88" s="12" t="s">
        <v>547</v>
      </c>
      <c r="K88" s="67" t="s">
        <v>2033</v>
      </c>
      <c r="L88" s="67" t="s">
        <v>2034</v>
      </c>
      <c r="M88" s="12" t="s">
        <v>2013</v>
      </c>
      <c r="N88" s="12" t="s">
        <v>2014</v>
      </c>
      <c r="O88" s="12" t="s">
        <v>2003</v>
      </c>
      <c r="P88" s="12" t="s">
        <v>2014</v>
      </c>
      <c r="Q88" s="12" t="s">
        <v>2005</v>
      </c>
      <c r="R88" s="12" t="s">
        <v>2015</v>
      </c>
      <c r="S88" s="12" t="s">
        <v>2007</v>
      </c>
      <c r="T88" s="12" t="s">
        <v>2008</v>
      </c>
      <c r="U88" s="12" t="s">
        <v>1973</v>
      </c>
      <c r="V88" s="12" t="s">
        <v>1428</v>
      </c>
      <c r="W88" s="12" t="s">
        <v>2010</v>
      </c>
    </row>
    <row r="89" spans="1:23" ht="43.2" x14ac:dyDescent="0.3">
      <c r="A89" s="12">
        <f t="shared" si="1"/>
        <v>88</v>
      </c>
      <c r="B89" s="64" t="s">
        <v>1933</v>
      </c>
      <c r="C89" s="12" t="s">
        <v>1931</v>
      </c>
      <c r="D89" s="12" t="s">
        <v>2028</v>
      </c>
      <c r="E89" s="69" t="s">
        <v>168</v>
      </c>
      <c r="F89" s="66">
        <v>45762</v>
      </c>
      <c r="G89" s="12" t="s">
        <v>1999</v>
      </c>
      <c r="H89" s="12" t="s">
        <v>684</v>
      </c>
      <c r="I89" s="12" t="s">
        <v>2000</v>
      </c>
      <c r="J89" s="12" t="s">
        <v>547</v>
      </c>
      <c r="K89" s="67" t="s">
        <v>2029</v>
      </c>
      <c r="L89" s="67" t="s">
        <v>511</v>
      </c>
      <c r="M89" s="12" t="s">
        <v>2013</v>
      </c>
      <c r="N89" s="12" t="s">
        <v>2014</v>
      </c>
      <c r="O89" s="12" t="s">
        <v>2003</v>
      </c>
      <c r="P89" s="12" t="s">
        <v>2014</v>
      </c>
      <c r="Q89" s="12" t="s">
        <v>2014</v>
      </c>
      <c r="R89" s="12" t="s">
        <v>2015</v>
      </c>
      <c r="S89" s="12" t="s">
        <v>2007</v>
      </c>
      <c r="T89" s="12" t="s">
        <v>2016</v>
      </c>
      <c r="U89" s="12" t="s">
        <v>1974</v>
      </c>
      <c r="V89" s="12" t="s">
        <v>2014</v>
      </c>
      <c r="W89" s="12" t="s">
        <v>2010</v>
      </c>
    </row>
    <row r="90" spans="1:23" ht="57.6" x14ac:dyDescent="0.3">
      <c r="A90" s="12">
        <f t="shared" si="1"/>
        <v>89</v>
      </c>
      <c r="B90" s="64" t="s">
        <v>2156</v>
      </c>
      <c r="C90" s="12" t="s">
        <v>2157</v>
      </c>
      <c r="D90" s="12" t="s">
        <v>2158</v>
      </c>
      <c r="E90" s="69" t="s">
        <v>168</v>
      </c>
      <c r="F90" s="66">
        <v>45839</v>
      </c>
      <c r="G90" s="12" t="s">
        <v>1999</v>
      </c>
      <c r="H90" s="12" t="s">
        <v>684</v>
      </c>
      <c r="I90" s="12" t="s">
        <v>2000</v>
      </c>
      <c r="J90" s="12" t="s">
        <v>547</v>
      </c>
      <c r="K90" s="67" t="s">
        <v>2025</v>
      </c>
      <c r="L90" s="67" t="s">
        <v>2026</v>
      </c>
      <c r="M90" s="12" t="s">
        <v>2013</v>
      </c>
      <c r="N90" s="12" t="s">
        <v>2014</v>
      </c>
      <c r="O90" s="12" t="s">
        <v>2044</v>
      </c>
      <c r="P90" s="12" t="s">
        <v>2004</v>
      </c>
      <c r="Q90" s="12" t="s">
        <v>2014</v>
      </c>
      <c r="R90" s="12" t="s">
        <v>2015</v>
      </c>
      <c r="S90" s="12" t="s">
        <v>2007</v>
      </c>
      <c r="T90" s="12" t="s">
        <v>2016</v>
      </c>
      <c r="U90" s="12" t="s">
        <v>2027</v>
      </c>
      <c r="V90" s="12" t="s">
        <v>2014</v>
      </c>
      <c r="W90" s="12" t="s">
        <v>2010</v>
      </c>
    </row>
    <row r="91" spans="1:23" ht="57.6" x14ac:dyDescent="0.3">
      <c r="A91" s="12">
        <f t="shared" si="1"/>
        <v>90</v>
      </c>
      <c r="B91" s="64" t="s">
        <v>2159</v>
      </c>
      <c r="C91" s="12" t="s">
        <v>2160</v>
      </c>
      <c r="D91" s="77" t="s">
        <v>2158</v>
      </c>
      <c r="E91" s="69" t="s">
        <v>168</v>
      </c>
      <c r="F91" s="66">
        <v>45873</v>
      </c>
      <c r="G91" s="12" t="s">
        <v>2024</v>
      </c>
      <c r="H91" s="12" t="s">
        <v>684</v>
      </c>
      <c r="I91" s="12" t="s">
        <v>2000</v>
      </c>
      <c r="J91" s="12" t="s">
        <v>547</v>
      </c>
      <c r="K91" s="67" t="s">
        <v>2025</v>
      </c>
      <c r="L91" s="67" t="s">
        <v>2026</v>
      </c>
      <c r="M91" s="12" t="s">
        <v>2013</v>
      </c>
      <c r="N91" s="12" t="s">
        <v>2014</v>
      </c>
      <c r="O91" s="12" t="s">
        <v>2044</v>
      </c>
      <c r="P91" s="12" t="s">
        <v>2095</v>
      </c>
      <c r="Q91" s="12" t="s">
        <v>2005</v>
      </c>
      <c r="R91" s="12" t="s">
        <v>2015</v>
      </c>
      <c r="S91" s="12" t="s">
        <v>2007</v>
      </c>
      <c r="T91" s="12" t="s">
        <v>2008</v>
      </c>
      <c r="U91" s="12" t="s">
        <v>2161</v>
      </c>
      <c r="V91" s="12" t="s">
        <v>2014</v>
      </c>
      <c r="W91" s="12" t="s">
        <v>2010</v>
      </c>
    </row>
    <row r="92" spans="1:23" x14ac:dyDescent="0.3">
      <c r="A92" s="12">
        <f t="shared" si="1"/>
        <v>91</v>
      </c>
      <c r="B92" s="64" t="s">
        <v>1811</v>
      </c>
      <c r="C92" s="12" t="s">
        <v>1809</v>
      </c>
      <c r="D92" s="72" t="s">
        <v>2030</v>
      </c>
      <c r="E92" s="65" t="s">
        <v>168</v>
      </c>
      <c r="F92" s="66">
        <v>46000</v>
      </c>
      <c r="G92" s="12" t="s">
        <v>1999</v>
      </c>
      <c r="H92" s="12" t="s">
        <v>684</v>
      </c>
      <c r="I92" s="78" t="s">
        <v>2000</v>
      </c>
      <c r="J92" s="12" t="s">
        <v>547</v>
      </c>
      <c r="K92" s="74" t="s">
        <v>2031</v>
      </c>
      <c r="L92" s="67" t="s">
        <v>2032</v>
      </c>
      <c r="M92" s="12" t="s">
        <v>2013</v>
      </c>
      <c r="N92" s="12" t="s">
        <v>2014</v>
      </c>
      <c r="O92" s="12" t="s">
        <v>2003</v>
      </c>
      <c r="P92" s="79" t="s">
        <v>2014</v>
      </c>
      <c r="Q92" s="12" t="s">
        <v>2014</v>
      </c>
      <c r="R92" s="12" t="s">
        <v>2015</v>
      </c>
      <c r="S92" s="12" t="s">
        <v>2007</v>
      </c>
      <c r="T92" s="12" t="s">
        <v>2016</v>
      </c>
      <c r="U92" s="12" t="s">
        <v>1970</v>
      </c>
      <c r="V92" s="12" t="s">
        <v>2014</v>
      </c>
      <c r="W92" s="12" t="s">
        <v>2010</v>
      </c>
    </row>
    <row r="93" spans="1:23" x14ac:dyDescent="0.3">
      <c r="A93" s="12">
        <f t="shared" si="1"/>
        <v>92</v>
      </c>
      <c r="B93" s="64" t="s">
        <v>2162</v>
      </c>
      <c r="C93" s="12" t="s">
        <v>2163</v>
      </c>
      <c r="D93" s="72" t="s">
        <v>2030</v>
      </c>
      <c r="E93" s="65" t="s">
        <v>168</v>
      </c>
      <c r="F93" s="66">
        <v>46000</v>
      </c>
      <c r="G93" s="12" t="s">
        <v>1999</v>
      </c>
      <c r="H93" s="12" t="s">
        <v>684</v>
      </c>
      <c r="I93" s="78" t="s">
        <v>2000</v>
      </c>
      <c r="J93" s="12" t="s">
        <v>547</v>
      </c>
      <c r="K93" s="74" t="s">
        <v>2031</v>
      </c>
      <c r="L93" s="67" t="s">
        <v>2032</v>
      </c>
      <c r="M93" s="12" t="s">
        <v>2013</v>
      </c>
      <c r="N93" s="12" t="s">
        <v>2014</v>
      </c>
      <c r="O93" s="12" t="s">
        <v>2003</v>
      </c>
      <c r="P93" s="79" t="s">
        <v>2014</v>
      </c>
      <c r="Q93" s="12" t="s">
        <v>2014</v>
      </c>
      <c r="R93" s="12" t="s">
        <v>2015</v>
      </c>
      <c r="S93" s="12" t="s">
        <v>2007</v>
      </c>
      <c r="T93" s="12" t="s">
        <v>2016</v>
      </c>
      <c r="U93" s="12" t="s">
        <v>1973</v>
      </c>
      <c r="V93" s="12" t="s">
        <v>2014</v>
      </c>
      <c r="W93" s="12" t="s">
        <v>2010</v>
      </c>
    </row>
    <row r="94" spans="1:23" x14ac:dyDescent="0.3">
      <c r="A94" s="12">
        <f t="shared" si="1"/>
        <v>93</v>
      </c>
      <c r="B94" s="64" t="s">
        <v>1831</v>
      </c>
      <c r="C94" s="12" t="s">
        <v>1829</v>
      </c>
      <c r="D94" s="72" t="s">
        <v>2030</v>
      </c>
      <c r="E94" s="65" t="s">
        <v>168</v>
      </c>
      <c r="F94" s="66">
        <v>46000</v>
      </c>
      <c r="G94" s="12" t="s">
        <v>1999</v>
      </c>
      <c r="H94" s="12" t="s">
        <v>684</v>
      </c>
      <c r="I94" s="78" t="s">
        <v>2000</v>
      </c>
      <c r="J94" s="12" t="s">
        <v>547</v>
      </c>
      <c r="K94" s="74" t="s">
        <v>2031</v>
      </c>
      <c r="L94" s="67" t="s">
        <v>2032</v>
      </c>
      <c r="M94" s="12" t="s">
        <v>2013</v>
      </c>
      <c r="N94" s="12" t="s">
        <v>2014</v>
      </c>
      <c r="O94" s="12" t="s">
        <v>2003</v>
      </c>
      <c r="P94" s="79" t="s">
        <v>2014</v>
      </c>
      <c r="Q94" s="12" t="s">
        <v>2014</v>
      </c>
      <c r="R94" s="12" t="s">
        <v>2015</v>
      </c>
      <c r="S94" s="12" t="s">
        <v>2007</v>
      </c>
      <c r="T94" s="12" t="s">
        <v>2016</v>
      </c>
      <c r="U94" s="12" t="s">
        <v>1970</v>
      </c>
      <c r="V94" s="12" t="s">
        <v>2014</v>
      </c>
      <c r="W94" s="12" t="s">
        <v>2010</v>
      </c>
    </row>
    <row r="95" spans="1:23" x14ac:dyDescent="0.3">
      <c r="A95" s="12">
        <f t="shared" si="1"/>
        <v>94</v>
      </c>
      <c r="B95" s="64" t="s">
        <v>1861</v>
      </c>
      <c r="C95" s="12" t="s">
        <v>1859</v>
      </c>
      <c r="D95" s="72" t="s">
        <v>2030</v>
      </c>
      <c r="E95" s="65" t="s">
        <v>168</v>
      </c>
      <c r="F95" s="66">
        <v>46000</v>
      </c>
      <c r="G95" s="12" t="s">
        <v>1999</v>
      </c>
      <c r="H95" s="12" t="s">
        <v>684</v>
      </c>
      <c r="I95" s="78" t="s">
        <v>2000</v>
      </c>
      <c r="J95" s="12" t="s">
        <v>547</v>
      </c>
      <c r="K95" s="12" t="s">
        <v>2031</v>
      </c>
      <c r="L95" s="67" t="s">
        <v>2032</v>
      </c>
      <c r="M95" s="78" t="s">
        <v>2013</v>
      </c>
      <c r="N95" s="78" t="s">
        <v>2014</v>
      </c>
      <c r="O95" s="12" t="s">
        <v>2003</v>
      </c>
      <c r="P95" s="79" t="s">
        <v>2014</v>
      </c>
      <c r="Q95" s="78" t="s">
        <v>2014</v>
      </c>
      <c r="R95" s="12" t="s">
        <v>2015</v>
      </c>
      <c r="S95" s="78" t="s">
        <v>2007</v>
      </c>
      <c r="T95" s="78" t="s">
        <v>2007</v>
      </c>
      <c r="U95" s="12" t="s">
        <v>1970</v>
      </c>
      <c r="V95" s="12" t="s">
        <v>2014</v>
      </c>
      <c r="W95" s="12" t="s">
        <v>2010</v>
      </c>
    </row>
    <row r="96" spans="1:23" x14ac:dyDescent="0.3">
      <c r="A96" s="12">
        <f t="shared" si="1"/>
        <v>95</v>
      </c>
      <c r="B96" s="64" t="s">
        <v>2164</v>
      </c>
      <c r="C96" s="12" t="s">
        <v>2165</v>
      </c>
      <c r="D96" s="72" t="s">
        <v>2030</v>
      </c>
      <c r="E96" s="65" t="s">
        <v>168</v>
      </c>
      <c r="F96" s="66">
        <v>45999</v>
      </c>
      <c r="G96" s="12" t="s">
        <v>1999</v>
      </c>
      <c r="H96" s="12" t="s">
        <v>684</v>
      </c>
      <c r="I96" s="78" t="s">
        <v>2000</v>
      </c>
      <c r="J96" s="12" t="s">
        <v>547</v>
      </c>
      <c r="K96" s="12" t="s">
        <v>2031</v>
      </c>
      <c r="L96" s="67" t="s">
        <v>2032</v>
      </c>
      <c r="M96" s="78" t="s">
        <v>2013</v>
      </c>
      <c r="N96" s="78" t="s">
        <v>2014</v>
      </c>
      <c r="O96" s="12" t="s">
        <v>2003</v>
      </c>
      <c r="P96" s="79" t="s">
        <v>2014</v>
      </c>
      <c r="Q96" s="78" t="s">
        <v>2014</v>
      </c>
      <c r="R96" s="12" t="s">
        <v>2015</v>
      </c>
      <c r="S96" s="78" t="s">
        <v>2007</v>
      </c>
      <c r="T96" s="78" t="s">
        <v>2007</v>
      </c>
      <c r="U96" s="12" t="s">
        <v>1970</v>
      </c>
      <c r="V96" s="12" t="s">
        <v>2014</v>
      </c>
      <c r="W96" s="12" t="s">
        <v>2010</v>
      </c>
    </row>
    <row r="97" spans="1:23" x14ac:dyDescent="0.3">
      <c r="A97" s="12">
        <f t="shared" si="1"/>
        <v>96</v>
      </c>
      <c r="B97" s="64" t="s">
        <v>1841</v>
      </c>
      <c r="C97" s="12" t="s">
        <v>1839</v>
      </c>
      <c r="D97" s="72" t="s">
        <v>2030</v>
      </c>
      <c r="E97" s="65" t="s">
        <v>168</v>
      </c>
      <c r="F97" s="66">
        <v>46000</v>
      </c>
      <c r="G97" s="12" t="s">
        <v>1999</v>
      </c>
      <c r="H97" s="12" t="s">
        <v>684</v>
      </c>
      <c r="I97" s="78" t="s">
        <v>2000</v>
      </c>
      <c r="J97" s="12" t="s">
        <v>547</v>
      </c>
      <c r="K97" s="12" t="s">
        <v>2031</v>
      </c>
      <c r="L97" s="67" t="s">
        <v>2032</v>
      </c>
      <c r="M97" s="78" t="s">
        <v>2013</v>
      </c>
      <c r="N97" s="78" t="s">
        <v>2014</v>
      </c>
      <c r="O97" s="12" t="s">
        <v>2003</v>
      </c>
      <c r="P97" s="79" t="s">
        <v>2014</v>
      </c>
      <c r="Q97" s="78" t="s">
        <v>2014</v>
      </c>
      <c r="R97" s="12" t="s">
        <v>2015</v>
      </c>
      <c r="S97" s="78" t="s">
        <v>2007</v>
      </c>
      <c r="T97" s="78" t="s">
        <v>2007</v>
      </c>
      <c r="U97" s="12" t="s">
        <v>1970</v>
      </c>
      <c r="V97" s="12" t="s">
        <v>2014</v>
      </c>
      <c r="W97" s="12" t="s">
        <v>2010</v>
      </c>
    </row>
    <row r="98" spans="1:23" x14ac:dyDescent="0.3">
      <c r="A98" s="12">
        <f t="shared" si="1"/>
        <v>97</v>
      </c>
      <c r="B98" s="64" t="s">
        <v>1824</v>
      </c>
      <c r="C98" s="12" t="s">
        <v>1822</v>
      </c>
      <c r="D98" s="72" t="s">
        <v>2030</v>
      </c>
      <c r="E98" s="65" t="s">
        <v>168</v>
      </c>
      <c r="F98" s="66">
        <v>45996</v>
      </c>
      <c r="G98" s="12" t="s">
        <v>1999</v>
      </c>
      <c r="H98" s="12" t="s">
        <v>684</v>
      </c>
      <c r="I98" s="78" t="s">
        <v>2000</v>
      </c>
      <c r="J98" s="12" t="s">
        <v>547</v>
      </c>
      <c r="K98" s="12" t="s">
        <v>2031</v>
      </c>
      <c r="L98" s="67" t="s">
        <v>2032</v>
      </c>
      <c r="M98" s="78" t="s">
        <v>2013</v>
      </c>
      <c r="N98" s="78" t="s">
        <v>2014</v>
      </c>
      <c r="O98" s="12" t="s">
        <v>2003</v>
      </c>
      <c r="P98" s="79" t="s">
        <v>2014</v>
      </c>
      <c r="Q98" s="78" t="s">
        <v>2014</v>
      </c>
      <c r="R98" s="12" t="s">
        <v>2015</v>
      </c>
      <c r="S98" s="78" t="s">
        <v>2007</v>
      </c>
      <c r="T98" s="78" t="s">
        <v>2007</v>
      </c>
      <c r="U98" s="12" t="s">
        <v>1623</v>
      </c>
      <c r="V98" s="12" t="s">
        <v>2014</v>
      </c>
      <c r="W98" s="12" t="s">
        <v>2010</v>
      </c>
    </row>
    <row r="99" spans="1:23" x14ac:dyDescent="0.3">
      <c r="A99" s="12">
        <f t="shared" si="1"/>
        <v>98</v>
      </c>
      <c r="B99" s="64" t="s">
        <v>1851</v>
      </c>
      <c r="C99" s="12" t="s">
        <v>1849</v>
      </c>
      <c r="D99" s="72" t="s">
        <v>2030</v>
      </c>
      <c r="E99" s="65" t="s">
        <v>168</v>
      </c>
      <c r="F99" s="66">
        <v>46000</v>
      </c>
      <c r="G99" s="12" t="s">
        <v>1999</v>
      </c>
      <c r="H99" s="12" t="s">
        <v>684</v>
      </c>
      <c r="I99" s="78" t="s">
        <v>2000</v>
      </c>
      <c r="J99" s="12" t="s">
        <v>547</v>
      </c>
      <c r="K99" s="12" t="s">
        <v>2031</v>
      </c>
      <c r="L99" s="67" t="s">
        <v>2032</v>
      </c>
      <c r="M99" s="78" t="s">
        <v>2013</v>
      </c>
      <c r="N99" s="78" t="s">
        <v>2014</v>
      </c>
      <c r="O99" s="12" t="s">
        <v>2003</v>
      </c>
      <c r="P99" s="79" t="s">
        <v>2014</v>
      </c>
      <c r="Q99" s="78" t="s">
        <v>2014</v>
      </c>
      <c r="R99" s="12" t="s">
        <v>2015</v>
      </c>
      <c r="S99" s="78" t="s">
        <v>2007</v>
      </c>
      <c r="T99" s="78" t="s">
        <v>2007</v>
      </c>
      <c r="U99" s="12" t="s">
        <v>1970</v>
      </c>
      <c r="V99" s="12" t="s">
        <v>2014</v>
      </c>
      <c r="W99" s="12" t="s">
        <v>2010</v>
      </c>
    </row>
    <row r="100" spans="1:23" x14ac:dyDescent="0.3">
      <c r="A100" s="12">
        <f t="shared" si="1"/>
        <v>99</v>
      </c>
      <c r="B100" s="64" t="s">
        <v>1622</v>
      </c>
      <c r="C100" s="12" t="s">
        <v>1620</v>
      </c>
      <c r="D100" s="72" t="s">
        <v>2030</v>
      </c>
      <c r="E100" s="65" t="s">
        <v>168</v>
      </c>
      <c r="F100" s="66">
        <v>45996</v>
      </c>
      <c r="G100" s="12" t="s">
        <v>1999</v>
      </c>
      <c r="H100" s="12" t="s">
        <v>684</v>
      </c>
      <c r="I100" s="78" t="s">
        <v>2000</v>
      </c>
      <c r="J100" s="12" t="s">
        <v>547</v>
      </c>
      <c r="K100" s="12" t="s">
        <v>2031</v>
      </c>
      <c r="L100" s="67" t="s">
        <v>2032</v>
      </c>
      <c r="M100" s="78" t="s">
        <v>2013</v>
      </c>
      <c r="N100" s="78" t="s">
        <v>2014</v>
      </c>
      <c r="O100" s="12" t="s">
        <v>2003</v>
      </c>
      <c r="P100" s="79" t="s">
        <v>2014</v>
      </c>
      <c r="Q100" s="78" t="s">
        <v>2014</v>
      </c>
      <c r="R100" s="12" t="s">
        <v>2015</v>
      </c>
      <c r="S100" s="78" t="s">
        <v>2007</v>
      </c>
      <c r="T100" s="78" t="s">
        <v>2007</v>
      </c>
      <c r="U100" s="12" t="s">
        <v>1623</v>
      </c>
      <c r="V100" s="12" t="s">
        <v>2014</v>
      </c>
      <c r="W100" s="12" t="s">
        <v>2010</v>
      </c>
    </row>
    <row r="101" spans="1:23" x14ac:dyDescent="0.3">
      <c r="A101" s="12">
        <f t="shared" si="1"/>
        <v>100</v>
      </c>
      <c r="B101" s="80" t="s">
        <v>1871</v>
      </c>
      <c r="C101" s="12" t="s">
        <v>1869</v>
      </c>
      <c r="D101" s="72" t="s">
        <v>2030</v>
      </c>
      <c r="E101" s="65" t="s">
        <v>168</v>
      </c>
      <c r="F101" s="66">
        <v>46006</v>
      </c>
      <c r="G101" s="12" t="s">
        <v>1999</v>
      </c>
      <c r="H101" s="12" t="s">
        <v>684</v>
      </c>
      <c r="I101" s="78" t="s">
        <v>2000</v>
      </c>
      <c r="J101" s="12" t="s">
        <v>547</v>
      </c>
      <c r="K101" s="12" t="s">
        <v>2031</v>
      </c>
      <c r="L101" s="67" t="s">
        <v>2032</v>
      </c>
      <c r="M101" s="78" t="s">
        <v>2013</v>
      </c>
      <c r="N101" s="78" t="s">
        <v>2014</v>
      </c>
      <c r="O101" s="12" t="s">
        <v>2003</v>
      </c>
      <c r="P101" s="79" t="s">
        <v>2014</v>
      </c>
      <c r="Q101" s="78" t="s">
        <v>2014</v>
      </c>
      <c r="R101" s="12" t="s">
        <v>2015</v>
      </c>
      <c r="S101" s="78" t="s">
        <v>2007</v>
      </c>
      <c r="T101" s="78" t="s">
        <v>2007</v>
      </c>
      <c r="U101" s="12" t="s">
        <v>1970</v>
      </c>
      <c r="V101" s="78" t="s">
        <v>2014</v>
      </c>
      <c r="W101" s="12" t="s">
        <v>2010</v>
      </c>
    </row>
    <row r="102" spans="1:23" x14ac:dyDescent="0.3">
      <c r="A102" s="12">
        <f t="shared" si="1"/>
        <v>101</v>
      </c>
      <c r="B102" s="64" t="s">
        <v>1801</v>
      </c>
      <c r="C102" s="12" t="s">
        <v>1799</v>
      </c>
      <c r="D102" s="72" t="s">
        <v>2030</v>
      </c>
      <c r="E102" s="65" t="s">
        <v>168</v>
      </c>
      <c r="F102" s="66">
        <v>46014</v>
      </c>
      <c r="G102" s="12" t="s">
        <v>1999</v>
      </c>
      <c r="H102" s="12" t="s">
        <v>684</v>
      </c>
      <c r="I102" s="78" t="s">
        <v>2000</v>
      </c>
      <c r="J102" s="12" t="s">
        <v>547</v>
      </c>
      <c r="K102" s="74" t="s">
        <v>2031</v>
      </c>
      <c r="L102" s="67" t="s">
        <v>2032</v>
      </c>
      <c r="M102" s="12" t="s">
        <v>2013</v>
      </c>
      <c r="N102" s="12" t="s">
        <v>2014</v>
      </c>
      <c r="O102" s="12" t="s">
        <v>2003</v>
      </c>
      <c r="P102" s="79" t="s">
        <v>2014</v>
      </c>
      <c r="Q102" s="12" t="s">
        <v>2014</v>
      </c>
      <c r="R102" s="12" t="s">
        <v>2015</v>
      </c>
      <c r="S102" s="12" t="s">
        <v>2007</v>
      </c>
      <c r="T102" s="12" t="s">
        <v>2016</v>
      </c>
      <c r="U102" s="12" t="s">
        <v>1623</v>
      </c>
      <c r="V102" s="12" t="s">
        <v>2014</v>
      </c>
      <c r="W102" s="12" t="s">
        <v>2010</v>
      </c>
    </row>
    <row r="103" spans="1:23" ht="43.2" x14ac:dyDescent="0.3">
      <c r="A103" s="12">
        <f t="shared" si="1"/>
        <v>102</v>
      </c>
      <c r="B103" s="64" t="s">
        <v>2166</v>
      </c>
      <c r="C103" s="12" t="s">
        <v>2167</v>
      </c>
      <c r="D103" s="72" t="s">
        <v>2084</v>
      </c>
      <c r="E103" s="65" t="s">
        <v>168</v>
      </c>
      <c r="F103" s="66">
        <v>46027</v>
      </c>
      <c r="G103" s="12" t="s">
        <v>1999</v>
      </c>
      <c r="H103" s="12" t="s">
        <v>684</v>
      </c>
      <c r="I103" s="78" t="s">
        <v>2000</v>
      </c>
      <c r="J103" s="12" t="s">
        <v>547</v>
      </c>
      <c r="K103" s="74" t="s">
        <v>2001</v>
      </c>
      <c r="L103" s="67" t="s">
        <v>1428</v>
      </c>
      <c r="M103" s="12" t="s">
        <v>2002</v>
      </c>
      <c r="N103" s="12" t="s">
        <v>1428</v>
      </c>
      <c r="O103" s="12" t="s">
        <v>2003</v>
      </c>
      <c r="P103" s="12" t="s">
        <v>2004</v>
      </c>
      <c r="Q103" s="12" t="s">
        <v>2005</v>
      </c>
      <c r="R103" s="12" t="s">
        <v>2015</v>
      </c>
      <c r="S103" s="12" t="s">
        <v>2007</v>
      </c>
      <c r="T103" s="12" t="s">
        <v>2008</v>
      </c>
      <c r="U103" s="12" t="s">
        <v>2085</v>
      </c>
      <c r="V103" s="12" t="s">
        <v>1428</v>
      </c>
      <c r="W103" s="12" t="s">
        <v>2010</v>
      </c>
    </row>
    <row r="104" spans="1:23" x14ac:dyDescent="0.3">
      <c r="A104" s="12">
        <f t="shared" si="1"/>
        <v>103</v>
      </c>
      <c r="B104" s="81" t="s">
        <v>2168</v>
      </c>
      <c r="C104" s="78" t="s">
        <v>2169</v>
      </c>
      <c r="D104" s="72" t="s">
        <v>2030</v>
      </c>
      <c r="E104" s="82" t="s">
        <v>168</v>
      </c>
      <c r="F104" s="66">
        <v>45993</v>
      </c>
      <c r="G104" s="12" t="s">
        <v>1999</v>
      </c>
      <c r="H104" s="12" t="s">
        <v>684</v>
      </c>
      <c r="I104" s="78" t="s">
        <v>2000</v>
      </c>
      <c r="J104" s="12" t="s">
        <v>547</v>
      </c>
      <c r="K104" s="12" t="s">
        <v>2031</v>
      </c>
      <c r="L104" s="67" t="s">
        <v>2032</v>
      </c>
      <c r="M104" s="78" t="s">
        <v>2013</v>
      </c>
      <c r="N104" s="78" t="s">
        <v>2014</v>
      </c>
      <c r="O104" s="12" t="s">
        <v>2003</v>
      </c>
      <c r="P104" s="79" t="s">
        <v>2014</v>
      </c>
      <c r="Q104" s="78" t="s">
        <v>2014</v>
      </c>
      <c r="R104" s="12" t="s">
        <v>2015</v>
      </c>
      <c r="S104" s="78" t="s">
        <v>2007</v>
      </c>
      <c r="T104" s="78" t="s">
        <v>2007</v>
      </c>
      <c r="U104" s="12" t="s">
        <v>1623</v>
      </c>
      <c r="V104" s="12" t="s">
        <v>2014</v>
      </c>
      <c r="W104" s="12" t="s">
        <v>2010</v>
      </c>
    </row>
    <row r="105" spans="1:23" x14ac:dyDescent="0.3">
      <c r="A105" s="12">
        <f t="shared" si="1"/>
        <v>104</v>
      </c>
      <c r="B105" s="81" t="s">
        <v>1796</v>
      </c>
      <c r="C105" s="78" t="s">
        <v>1794</v>
      </c>
      <c r="D105" s="72" t="s">
        <v>2030</v>
      </c>
      <c r="E105" s="82" t="s">
        <v>168</v>
      </c>
      <c r="F105" s="66">
        <v>46001</v>
      </c>
      <c r="G105" s="12" t="s">
        <v>1999</v>
      </c>
      <c r="H105" s="12" t="s">
        <v>684</v>
      </c>
      <c r="I105" s="78" t="s">
        <v>2000</v>
      </c>
      <c r="J105" s="12" t="s">
        <v>547</v>
      </c>
      <c r="K105" s="12" t="s">
        <v>2031</v>
      </c>
      <c r="L105" s="67" t="s">
        <v>2032</v>
      </c>
      <c r="M105" s="78" t="s">
        <v>2013</v>
      </c>
      <c r="N105" s="78" t="s">
        <v>2014</v>
      </c>
      <c r="O105" s="12" t="s">
        <v>2003</v>
      </c>
      <c r="P105" s="79" t="s">
        <v>2014</v>
      </c>
      <c r="Q105" s="78" t="s">
        <v>2014</v>
      </c>
      <c r="R105" s="12" t="s">
        <v>2015</v>
      </c>
      <c r="S105" s="78" t="s">
        <v>2007</v>
      </c>
      <c r="T105" s="78" t="s">
        <v>2007</v>
      </c>
      <c r="U105" s="12" t="s">
        <v>1623</v>
      </c>
      <c r="V105" s="12" t="s">
        <v>2014</v>
      </c>
      <c r="W105" s="12" t="s">
        <v>2010</v>
      </c>
    </row>
    <row r="106" spans="1:23" x14ac:dyDescent="0.3">
      <c r="A106" s="12">
        <f t="shared" si="1"/>
        <v>105</v>
      </c>
      <c r="B106" s="81" t="s">
        <v>1781</v>
      </c>
      <c r="C106" s="78" t="s">
        <v>1779</v>
      </c>
      <c r="D106" s="72" t="s">
        <v>2030</v>
      </c>
      <c r="E106" s="82" t="s">
        <v>168</v>
      </c>
      <c r="F106" s="66">
        <v>45999</v>
      </c>
      <c r="G106" s="12" t="s">
        <v>1999</v>
      </c>
      <c r="H106" s="12" t="s">
        <v>684</v>
      </c>
      <c r="I106" s="78" t="s">
        <v>2000</v>
      </c>
      <c r="J106" s="12" t="s">
        <v>547</v>
      </c>
      <c r="K106" s="12" t="s">
        <v>2031</v>
      </c>
      <c r="L106" s="67" t="s">
        <v>2032</v>
      </c>
      <c r="M106" s="78" t="s">
        <v>2013</v>
      </c>
      <c r="N106" s="78" t="s">
        <v>2014</v>
      </c>
      <c r="O106" s="12" t="s">
        <v>2003</v>
      </c>
      <c r="P106" s="79" t="s">
        <v>2014</v>
      </c>
      <c r="Q106" s="78" t="s">
        <v>2014</v>
      </c>
      <c r="R106" s="12" t="s">
        <v>2015</v>
      </c>
      <c r="S106" s="78" t="s">
        <v>2007</v>
      </c>
      <c r="T106" s="78" t="s">
        <v>2007</v>
      </c>
      <c r="U106" s="12" t="s">
        <v>1623</v>
      </c>
      <c r="V106" s="12" t="s">
        <v>2014</v>
      </c>
      <c r="W106" s="12" t="s">
        <v>2010</v>
      </c>
    </row>
    <row r="107" spans="1:23" ht="57.6" x14ac:dyDescent="0.3">
      <c r="A107" s="12">
        <f t="shared" si="1"/>
        <v>106</v>
      </c>
      <c r="B107" s="64" t="s">
        <v>2170</v>
      </c>
      <c r="C107" s="12" t="s">
        <v>2171</v>
      </c>
      <c r="D107" s="72" t="s">
        <v>2172</v>
      </c>
      <c r="E107" s="82" t="s">
        <v>168</v>
      </c>
      <c r="F107" s="66">
        <v>46050</v>
      </c>
      <c r="G107" s="12" t="s">
        <v>2024</v>
      </c>
      <c r="H107" s="12" t="s">
        <v>684</v>
      </c>
      <c r="I107" s="78" t="s">
        <v>2000</v>
      </c>
      <c r="J107" s="12" t="s">
        <v>547</v>
      </c>
      <c r="K107" s="67" t="s">
        <v>2025</v>
      </c>
      <c r="L107" s="67" t="s">
        <v>2026</v>
      </c>
      <c r="M107" s="12" t="s">
        <v>2013</v>
      </c>
      <c r="N107" s="12" t="s">
        <v>2014</v>
      </c>
      <c r="O107" s="12" t="s">
        <v>2003</v>
      </c>
      <c r="P107" s="79" t="s">
        <v>2004</v>
      </c>
      <c r="Q107" s="12" t="s">
        <v>2014</v>
      </c>
      <c r="R107" s="12" t="s">
        <v>2015</v>
      </c>
      <c r="S107" s="12" t="s">
        <v>2007</v>
      </c>
      <c r="T107" s="12" t="s">
        <v>2016</v>
      </c>
      <c r="U107" s="12" t="s">
        <v>2027</v>
      </c>
      <c r="V107" s="12" t="s">
        <v>2014</v>
      </c>
      <c r="W107" s="12" t="s">
        <v>2010</v>
      </c>
    </row>
    <row r="108" spans="1:23" x14ac:dyDescent="0.3">
      <c r="A108" s="12">
        <f t="shared" si="1"/>
        <v>107</v>
      </c>
      <c r="B108" s="64" t="s">
        <v>2173</v>
      </c>
      <c r="C108" s="12" t="s">
        <v>2065</v>
      </c>
      <c r="D108" s="72" t="s">
        <v>2174</v>
      </c>
      <c r="E108" s="82" t="s">
        <v>168</v>
      </c>
      <c r="F108" s="66">
        <v>46063</v>
      </c>
      <c r="G108" s="12" t="s">
        <v>2024</v>
      </c>
      <c r="H108" s="12" t="s">
        <v>684</v>
      </c>
      <c r="I108" s="78" t="s">
        <v>2000</v>
      </c>
      <c r="J108" s="12" t="s">
        <v>547</v>
      </c>
      <c r="K108" s="67" t="s">
        <v>2031</v>
      </c>
      <c r="L108" s="67" t="s">
        <v>2032</v>
      </c>
      <c r="M108" s="78" t="s">
        <v>2013</v>
      </c>
      <c r="N108" s="78" t="s">
        <v>2014</v>
      </c>
      <c r="O108" s="12" t="s">
        <v>2044</v>
      </c>
      <c r="P108" s="79" t="s">
        <v>2004</v>
      </c>
      <c r="Q108" s="78" t="s">
        <v>2014</v>
      </c>
      <c r="R108" s="12" t="s">
        <v>2015</v>
      </c>
      <c r="S108" s="78" t="s">
        <v>2007</v>
      </c>
      <c r="T108" s="78" t="s">
        <v>2007</v>
      </c>
      <c r="U108" s="12" t="s">
        <v>2057</v>
      </c>
      <c r="V108" s="12" t="s">
        <v>2014</v>
      </c>
      <c r="W108" s="12" t="s">
        <v>2010</v>
      </c>
    </row>
    <row r="109" spans="1:23" x14ac:dyDescent="0.3">
      <c r="A109" s="12">
        <f t="shared" si="1"/>
        <v>108</v>
      </c>
      <c r="B109" s="64" t="s">
        <v>1791</v>
      </c>
      <c r="C109" s="12" t="s">
        <v>1789</v>
      </c>
      <c r="D109" s="72" t="s">
        <v>2030</v>
      </c>
      <c r="E109" s="82" t="s">
        <v>168</v>
      </c>
      <c r="F109" s="66">
        <v>46052</v>
      </c>
      <c r="G109" s="12" t="s">
        <v>1999</v>
      </c>
      <c r="H109" s="12" t="s">
        <v>684</v>
      </c>
      <c r="I109" s="78" t="s">
        <v>2000</v>
      </c>
      <c r="J109" s="12" t="s">
        <v>547</v>
      </c>
      <c r="K109" s="67" t="s">
        <v>2031</v>
      </c>
      <c r="L109" s="67" t="s">
        <v>2032</v>
      </c>
      <c r="M109" s="78" t="s">
        <v>2013</v>
      </c>
      <c r="N109" s="78" t="s">
        <v>2014</v>
      </c>
      <c r="O109" s="12" t="s">
        <v>2003</v>
      </c>
      <c r="P109" s="79" t="s">
        <v>2014</v>
      </c>
      <c r="Q109" s="78" t="s">
        <v>2014</v>
      </c>
      <c r="R109" s="12" t="s">
        <v>2015</v>
      </c>
      <c r="S109" s="78" t="s">
        <v>2007</v>
      </c>
      <c r="T109" s="78" t="s">
        <v>2007</v>
      </c>
      <c r="U109" s="12" t="s">
        <v>1973</v>
      </c>
      <c r="V109" s="12" t="s">
        <v>2014</v>
      </c>
      <c r="W109" s="12" t="s">
        <v>2010</v>
      </c>
    </row>
    <row r="110" spans="1:23" x14ac:dyDescent="0.3">
      <c r="A110" s="12">
        <f t="shared" si="1"/>
        <v>109</v>
      </c>
      <c r="B110" s="64" t="s">
        <v>2175</v>
      </c>
      <c r="C110" s="12" t="s">
        <v>1970</v>
      </c>
      <c r="D110" s="72" t="s">
        <v>2176</v>
      </c>
      <c r="E110" s="82" t="s">
        <v>168</v>
      </c>
      <c r="F110" s="66">
        <v>46070</v>
      </c>
      <c r="G110" s="12" t="s">
        <v>2024</v>
      </c>
      <c r="H110" s="12" t="s">
        <v>684</v>
      </c>
      <c r="I110" s="78" t="s">
        <v>2128</v>
      </c>
      <c r="J110" s="12" t="s">
        <v>2129</v>
      </c>
      <c r="K110" s="67" t="s">
        <v>2031</v>
      </c>
      <c r="L110" s="67" t="s">
        <v>2032</v>
      </c>
      <c r="M110" s="78" t="s">
        <v>2013</v>
      </c>
      <c r="N110" s="78" t="s">
        <v>2014</v>
      </c>
      <c r="O110" s="12" t="s">
        <v>2003</v>
      </c>
      <c r="P110" s="79" t="s">
        <v>2004</v>
      </c>
      <c r="Q110" s="78" t="s">
        <v>2014</v>
      </c>
      <c r="R110" s="12" t="s">
        <v>2015</v>
      </c>
      <c r="S110" s="78" t="s">
        <v>2007</v>
      </c>
      <c r="T110" s="78" t="s">
        <v>2007</v>
      </c>
      <c r="U110" s="12" t="s">
        <v>2027</v>
      </c>
      <c r="V110" s="12" t="s">
        <v>2014</v>
      </c>
      <c r="W110" s="12" t="s">
        <v>2010</v>
      </c>
    </row>
    <row r="111" spans="1:23" ht="57.6" x14ac:dyDescent="0.3">
      <c r="A111" s="12">
        <f t="shared" si="1"/>
        <v>110</v>
      </c>
      <c r="B111" s="64" t="s">
        <v>2177</v>
      </c>
      <c r="C111" s="12" t="s">
        <v>2178</v>
      </c>
      <c r="D111" s="72" t="s">
        <v>2179</v>
      </c>
      <c r="E111" s="82" t="s">
        <v>168</v>
      </c>
      <c r="F111" s="66">
        <v>46071</v>
      </c>
      <c r="G111" s="12" t="s">
        <v>2024</v>
      </c>
      <c r="H111" s="12" t="s">
        <v>684</v>
      </c>
      <c r="I111" s="78" t="s">
        <v>2000</v>
      </c>
      <c r="J111" s="12" t="s">
        <v>547</v>
      </c>
      <c r="K111" s="67" t="s">
        <v>2025</v>
      </c>
      <c r="L111" s="67" t="s">
        <v>2026</v>
      </c>
      <c r="M111" s="78" t="s">
        <v>2013</v>
      </c>
      <c r="N111" s="78" t="s">
        <v>2014</v>
      </c>
      <c r="O111" s="12" t="s">
        <v>2044</v>
      </c>
      <c r="P111" s="79" t="s">
        <v>2004</v>
      </c>
      <c r="Q111" s="78" t="s">
        <v>2014</v>
      </c>
      <c r="R111" s="12" t="s">
        <v>2015</v>
      </c>
      <c r="S111" s="78" t="s">
        <v>2007</v>
      </c>
      <c r="T111" s="78" t="s">
        <v>2007</v>
      </c>
      <c r="U111" s="12" t="s">
        <v>2103</v>
      </c>
      <c r="V111" s="12" t="s">
        <v>2014</v>
      </c>
      <c r="W111" s="12" t="s">
        <v>2010</v>
      </c>
    </row>
    <row r="112" spans="1:23" ht="57.6" x14ac:dyDescent="0.3">
      <c r="A112" s="12">
        <f t="shared" si="1"/>
        <v>111</v>
      </c>
      <c r="B112" s="64" t="s">
        <v>2180</v>
      </c>
      <c r="C112" s="12" t="s">
        <v>2057</v>
      </c>
      <c r="D112" s="72" t="s">
        <v>2181</v>
      </c>
      <c r="E112" s="82" t="s">
        <v>168</v>
      </c>
      <c r="F112" s="66">
        <v>46062</v>
      </c>
      <c r="G112" s="12" t="s">
        <v>1999</v>
      </c>
      <c r="H112" s="12" t="s">
        <v>2076</v>
      </c>
      <c r="I112" s="78" t="s">
        <v>2000</v>
      </c>
      <c r="J112" s="12" t="s">
        <v>547</v>
      </c>
      <c r="K112" s="67" t="s">
        <v>2025</v>
      </c>
      <c r="L112" s="67" t="s">
        <v>2026</v>
      </c>
      <c r="M112" s="78" t="s">
        <v>2002</v>
      </c>
      <c r="N112" s="12" t="s">
        <v>1428</v>
      </c>
      <c r="O112" s="12" t="s">
        <v>2003</v>
      </c>
      <c r="P112" s="79" t="s">
        <v>2004</v>
      </c>
      <c r="Q112" s="12" t="s">
        <v>2005</v>
      </c>
      <c r="R112" s="12" t="s">
        <v>2006</v>
      </c>
      <c r="S112" s="12" t="s">
        <v>2007</v>
      </c>
      <c r="T112" s="12" t="s">
        <v>2008</v>
      </c>
      <c r="U112" s="12" t="s">
        <v>2027</v>
      </c>
      <c r="V112" s="12" t="s">
        <v>1428</v>
      </c>
      <c r="W112" s="12" t="s">
        <v>2010</v>
      </c>
    </row>
    <row r="113" spans="1:23" x14ac:dyDescent="0.3">
      <c r="A113" s="12">
        <f t="shared" si="1"/>
        <v>112</v>
      </c>
      <c r="B113" s="64" t="s">
        <v>1836</v>
      </c>
      <c r="C113" s="12" t="s">
        <v>1834</v>
      </c>
      <c r="D113" s="72" t="s">
        <v>2030</v>
      </c>
      <c r="E113" s="82" t="s">
        <v>168</v>
      </c>
      <c r="F113" s="66">
        <v>46076</v>
      </c>
      <c r="G113" s="12" t="s">
        <v>1999</v>
      </c>
      <c r="H113" s="12" t="s">
        <v>684</v>
      </c>
      <c r="I113" s="78" t="s">
        <v>2000</v>
      </c>
      <c r="J113" s="12" t="s">
        <v>547</v>
      </c>
      <c r="K113" s="67" t="s">
        <v>2031</v>
      </c>
      <c r="L113" s="67" t="s">
        <v>2032</v>
      </c>
      <c r="M113" s="78" t="s">
        <v>2013</v>
      </c>
      <c r="N113" s="78" t="s">
        <v>2014</v>
      </c>
      <c r="O113" s="12" t="s">
        <v>2003</v>
      </c>
      <c r="P113" s="79" t="s">
        <v>2014</v>
      </c>
      <c r="Q113" s="78" t="s">
        <v>2014</v>
      </c>
      <c r="R113" s="12" t="s">
        <v>2015</v>
      </c>
      <c r="S113" s="78" t="s">
        <v>2007</v>
      </c>
      <c r="T113" s="78" t="s">
        <v>2007</v>
      </c>
      <c r="U113" s="12" t="s">
        <v>1973</v>
      </c>
      <c r="V113" s="12" t="s">
        <v>2014</v>
      </c>
      <c r="W113" s="12" t="s">
        <v>2010</v>
      </c>
    </row>
    <row r="114" spans="1:23" x14ac:dyDescent="0.3">
      <c r="A114" s="12">
        <f t="shared" si="1"/>
        <v>113</v>
      </c>
      <c r="B114" s="64" t="s">
        <v>1866</v>
      </c>
      <c r="C114" s="12" t="s">
        <v>1864</v>
      </c>
      <c r="D114" s="72" t="s">
        <v>2030</v>
      </c>
      <c r="E114" s="82" t="s">
        <v>168</v>
      </c>
      <c r="F114" s="66">
        <v>46076</v>
      </c>
      <c r="G114" s="12" t="s">
        <v>1999</v>
      </c>
      <c r="H114" s="12" t="s">
        <v>684</v>
      </c>
      <c r="I114" s="78" t="s">
        <v>2000</v>
      </c>
      <c r="J114" s="12" t="s">
        <v>547</v>
      </c>
      <c r="K114" s="67" t="s">
        <v>2031</v>
      </c>
      <c r="L114" s="67" t="s">
        <v>2032</v>
      </c>
      <c r="M114" s="78" t="s">
        <v>2013</v>
      </c>
      <c r="N114" s="78" t="s">
        <v>2014</v>
      </c>
      <c r="O114" s="12" t="s">
        <v>2003</v>
      </c>
      <c r="P114" s="79" t="s">
        <v>2014</v>
      </c>
      <c r="Q114" s="78" t="s">
        <v>2014</v>
      </c>
      <c r="R114" s="12" t="s">
        <v>2015</v>
      </c>
      <c r="S114" s="78" t="s">
        <v>2007</v>
      </c>
      <c r="T114" s="78" t="s">
        <v>2007</v>
      </c>
      <c r="U114" s="12" t="s">
        <v>1973</v>
      </c>
      <c r="V114" s="12" t="s">
        <v>2014</v>
      </c>
      <c r="W114" s="12" t="s">
        <v>2010</v>
      </c>
    </row>
    <row r="115" spans="1:23" ht="43.2" x14ac:dyDescent="0.3">
      <c r="A115" s="12">
        <f t="shared" si="1"/>
        <v>114</v>
      </c>
      <c r="B115" s="64" t="s">
        <v>2182</v>
      </c>
      <c r="C115" s="12" t="s">
        <v>2183</v>
      </c>
      <c r="D115" s="12" t="s">
        <v>2184</v>
      </c>
      <c r="E115" s="82" t="s">
        <v>168</v>
      </c>
      <c r="F115" s="66">
        <v>46077</v>
      </c>
      <c r="G115" s="12" t="s">
        <v>1999</v>
      </c>
      <c r="H115" s="12" t="s">
        <v>684</v>
      </c>
      <c r="I115" s="78" t="s">
        <v>2000</v>
      </c>
      <c r="J115" s="12" t="s">
        <v>547</v>
      </c>
      <c r="K115" s="67" t="s">
        <v>2001</v>
      </c>
      <c r="L115" s="67" t="s">
        <v>1428</v>
      </c>
      <c r="M115" s="12" t="s">
        <v>2002</v>
      </c>
      <c r="N115" s="12" t="s">
        <v>1428</v>
      </c>
      <c r="O115" s="12" t="s">
        <v>2003</v>
      </c>
      <c r="P115" s="12" t="s">
        <v>2185</v>
      </c>
      <c r="Q115" s="12" t="s">
        <v>2186</v>
      </c>
      <c r="R115" s="12" t="s">
        <v>2015</v>
      </c>
      <c r="S115" s="12" t="s">
        <v>2007</v>
      </c>
      <c r="T115" s="12" t="s">
        <v>2016</v>
      </c>
      <c r="U115" s="12" t="s">
        <v>2187</v>
      </c>
      <c r="V115" s="12" t="s">
        <v>2188</v>
      </c>
      <c r="W115" s="12" t="s">
        <v>2010</v>
      </c>
    </row>
    <row r="116" spans="1:23" ht="43.2" x14ac:dyDescent="0.3">
      <c r="A116" s="12">
        <f t="shared" si="1"/>
        <v>115</v>
      </c>
      <c r="B116" s="64" t="s">
        <v>2189</v>
      </c>
      <c r="C116" s="12" t="s">
        <v>2190</v>
      </c>
      <c r="D116" s="12" t="s">
        <v>2145</v>
      </c>
      <c r="E116" s="82" t="s">
        <v>168</v>
      </c>
      <c r="F116" s="66">
        <v>46083</v>
      </c>
      <c r="G116" s="12" t="s">
        <v>1999</v>
      </c>
      <c r="H116" s="12" t="s">
        <v>684</v>
      </c>
      <c r="I116" s="78" t="s">
        <v>2000</v>
      </c>
      <c r="J116" s="12" t="s">
        <v>547</v>
      </c>
      <c r="K116" s="67" t="s">
        <v>2001</v>
      </c>
      <c r="L116" s="67" t="s">
        <v>1428</v>
      </c>
      <c r="M116" s="78" t="s">
        <v>2013</v>
      </c>
      <c r="N116" s="12" t="s">
        <v>2014</v>
      </c>
      <c r="O116" s="12" t="s">
        <v>2044</v>
      </c>
      <c r="P116" s="79" t="s">
        <v>2004</v>
      </c>
      <c r="Q116" s="12" t="s">
        <v>2014</v>
      </c>
      <c r="R116" s="12" t="s">
        <v>2015</v>
      </c>
      <c r="S116" s="12" t="s">
        <v>2007</v>
      </c>
      <c r="T116" s="12" t="s">
        <v>2016</v>
      </c>
      <c r="U116" s="12" t="s">
        <v>2103</v>
      </c>
      <c r="V116" s="12" t="s">
        <v>2014</v>
      </c>
      <c r="W116" s="12" t="s">
        <v>2010</v>
      </c>
    </row>
    <row r="117" spans="1:23" x14ac:dyDescent="0.3">
      <c r="A117" s="12">
        <f t="shared" si="1"/>
        <v>116</v>
      </c>
      <c r="B117" s="64" t="s">
        <v>1710</v>
      </c>
      <c r="C117" s="12" t="s">
        <v>1708</v>
      </c>
      <c r="D117" s="12" t="s">
        <v>2030</v>
      </c>
      <c r="E117" s="82" t="s">
        <v>168</v>
      </c>
      <c r="F117" s="83">
        <v>46078</v>
      </c>
      <c r="G117" s="12" t="s">
        <v>1999</v>
      </c>
      <c r="H117" s="12" t="s">
        <v>684</v>
      </c>
      <c r="I117" s="78" t="s">
        <v>2000</v>
      </c>
      <c r="J117" s="12" t="s">
        <v>547</v>
      </c>
      <c r="K117" s="67" t="s">
        <v>2031</v>
      </c>
      <c r="L117" s="67" t="s">
        <v>2032</v>
      </c>
      <c r="M117" s="78" t="s">
        <v>2013</v>
      </c>
      <c r="N117" s="78" t="s">
        <v>2014</v>
      </c>
      <c r="O117" s="12" t="s">
        <v>2003</v>
      </c>
      <c r="P117" s="79" t="s">
        <v>2014</v>
      </c>
      <c r="Q117" s="78" t="s">
        <v>2014</v>
      </c>
      <c r="R117" s="12" t="s">
        <v>2015</v>
      </c>
      <c r="S117" s="78" t="s">
        <v>2007</v>
      </c>
      <c r="T117" s="78" t="s">
        <v>2007</v>
      </c>
      <c r="U117" s="12" t="s">
        <v>1973</v>
      </c>
      <c r="V117" s="12" t="s">
        <v>2014</v>
      </c>
      <c r="W117" s="12" t="s">
        <v>2010</v>
      </c>
    </row>
    <row r="118" spans="1:23" x14ac:dyDescent="0.3">
      <c r="A118" s="12">
        <f t="shared" si="1"/>
        <v>117</v>
      </c>
      <c r="B118" s="64" t="s">
        <v>1786</v>
      </c>
      <c r="C118" s="12" t="s">
        <v>1784</v>
      </c>
      <c r="D118" s="12" t="s">
        <v>2030</v>
      </c>
      <c r="E118" s="82" t="s">
        <v>168</v>
      </c>
      <c r="F118" s="66">
        <v>46076</v>
      </c>
      <c r="G118" s="12" t="s">
        <v>1999</v>
      </c>
      <c r="H118" s="12" t="s">
        <v>684</v>
      </c>
      <c r="I118" s="78" t="s">
        <v>2000</v>
      </c>
      <c r="J118" s="12" t="s">
        <v>547</v>
      </c>
      <c r="K118" s="67" t="s">
        <v>2031</v>
      </c>
      <c r="L118" s="67" t="s">
        <v>2032</v>
      </c>
      <c r="M118" s="78" t="s">
        <v>2013</v>
      </c>
      <c r="N118" s="78" t="s">
        <v>2014</v>
      </c>
      <c r="O118" s="12" t="s">
        <v>2003</v>
      </c>
      <c r="P118" s="79" t="s">
        <v>2014</v>
      </c>
      <c r="Q118" s="78" t="s">
        <v>2014</v>
      </c>
      <c r="R118" s="12" t="s">
        <v>2015</v>
      </c>
      <c r="S118" s="78" t="s">
        <v>2007</v>
      </c>
      <c r="T118" s="78" t="s">
        <v>2007</v>
      </c>
      <c r="U118" s="12" t="s">
        <v>1973</v>
      </c>
      <c r="V118" s="12" t="s">
        <v>2014</v>
      </c>
      <c r="W118" s="12" t="s">
        <v>2010</v>
      </c>
    </row>
    <row r="119" spans="1:23" ht="43.2" x14ac:dyDescent="0.3">
      <c r="A119" s="12">
        <f t="shared" si="1"/>
        <v>118</v>
      </c>
      <c r="B119" s="64" t="s">
        <v>2191</v>
      </c>
      <c r="C119" s="12" t="s">
        <v>2192</v>
      </c>
      <c r="D119" s="12" t="s">
        <v>2193</v>
      </c>
      <c r="E119" s="82" t="s">
        <v>168</v>
      </c>
      <c r="F119" s="66">
        <v>46085</v>
      </c>
      <c r="G119" s="12" t="s">
        <v>2024</v>
      </c>
      <c r="H119" s="12" t="s">
        <v>684</v>
      </c>
      <c r="I119" s="78" t="s">
        <v>2000</v>
      </c>
      <c r="J119" s="12" t="s">
        <v>547</v>
      </c>
      <c r="K119" s="67" t="s">
        <v>2001</v>
      </c>
      <c r="L119" s="67" t="s">
        <v>1428</v>
      </c>
      <c r="M119" s="78" t="s">
        <v>2013</v>
      </c>
      <c r="N119" s="12" t="s">
        <v>2014</v>
      </c>
      <c r="O119" s="12" t="s">
        <v>2044</v>
      </c>
      <c r="P119" s="79" t="s">
        <v>2004</v>
      </c>
      <c r="Q119" s="12" t="s">
        <v>2014</v>
      </c>
      <c r="R119" s="12" t="s">
        <v>2015</v>
      </c>
      <c r="S119" s="12" t="s">
        <v>2007</v>
      </c>
      <c r="T119" s="12" t="s">
        <v>2016</v>
      </c>
      <c r="U119" s="12" t="s">
        <v>2103</v>
      </c>
      <c r="V119" s="12" t="s">
        <v>2014</v>
      </c>
      <c r="W119" s="12" t="s">
        <v>2010</v>
      </c>
    </row>
    <row r="120" spans="1:23" ht="57.6" x14ac:dyDescent="0.3">
      <c r="A120" s="12">
        <f t="shared" si="1"/>
        <v>119</v>
      </c>
      <c r="B120" s="64" t="s">
        <v>2194</v>
      </c>
      <c r="C120" s="12" t="s">
        <v>2195</v>
      </c>
      <c r="D120" s="12" t="s">
        <v>2196</v>
      </c>
      <c r="E120" s="82" t="s">
        <v>168</v>
      </c>
      <c r="F120" s="66">
        <v>46113</v>
      </c>
      <c r="G120" s="12" t="s">
        <v>1999</v>
      </c>
      <c r="H120" s="12" t="s">
        <v>684</v>
      </c>
      <c r="I120" s="78" t="s">
        <v>2000</v>
      </c>
      <c r="J120" s="12" t="s">
        <v>547</v>
      </c>
      <c r="K120" s="67" t="s">
        <v>2025</v>
      </c>
      <c r="L120" s="67" t="s">
        <v>2026</v>
      </c>
      <c r="M120" s="78" t="s">
        <v>2002</v>
      </c>
      <c r="N120" s="12" t="s">
        <v>1428</v>
      </c>
      <c r="O120" s="12" t="s">
        <v>2003</v>
      </c>
      <c r="P120" s="79" t="s">
        <v>2004</v>
      </c>
      <c r="Q120" s="12" t="s">
        <v>2005</v>
      </c>
      <c r="R120" s="12" t="s">
        <v>2015</v>
      </c>
      <c r="S120" s="12" t="s">
        <v>2007</v>
      </c>
      <c r="T120" s="12" t="s">
        <v>2008</v>
      </c>
      <c r="U120" s="12" t="s">
        <v>2065</v>
      </c>
      <c r="V120" s="12" t="s">
        <v>1428</v>
      </c>
      <c r="W120" s="12" t="s">
        <v>2010</v>
      </c>
    </row>
    <row r="121" spans="1:23" ht="57.6" x14ac:dyDescent="0.3">
      <c r="A121" s="12">
        <f t="shared" si="1"/>
        <v>120</v>
      </c>
      <c r="B121" s="64" t="s">
        <v>2197</v>
      </c>
      <c r="C121" s="12" t="s">
        <v>2198</v>
      </c>
      <c r="D121" s="12" t="s">
        <v>2064</v>
      </c>
      <c r="E121" s="82" t="s">
        <v>168</v>
      </c>
      <c r="F121" s="66">
        <v>46113</v>
      </c>
      <c r="G121" s="12" t="s">
        <v>1999</v>
      </c>
      <c r="H121" s="12" t="s">
        <v>684</v>
      </c>
      <c r="I121" s="78" t="s">
        <v>2000</v>
      </c>
      <c r="J121" s="12" t="s">
        <v>547</v>
      </c>
      <c r="K121" s="67" t="s">
        <v>2025</v>
      </c>
      <c r="L121" s="67" t="s">
        <v>2026</v>
      </c>
      <c r="M121" s="78" t="s">
        <v>2002</v>
      </c>
      <c r="N121" s="12" t="s">
        <v>1428</v>
      </c>
      <c r="O121" s="12" t="s">
        <v>2003</v>
      </c>
      <c r="P121" s="79" t="s">
        <v>2004</v>
      </c>
      <c r="Q121" s="12" t="s">
        <v>2005</v>
      </c>
      <c r="R121" s="12" t="s">
        <v>2015</v>
      </c>
      <c r="S121" s="12" t="s">
        <v>2007</v>
      </c>
      <c r="T121" s="12" t="s">
        <v>2008</v>
      </c>
      <c r="U121" s="12" t="s">
        <v>2065</v>
      </c>
      <c r="V121" s="12" t="s">
        <v>1428</v>
      </c>
      <c r="W121" s="12" t="s">
        <v>2010</v>
      </c>
    </row>
    <row r="122" spans="1:23" ht="57.6" x14ac:dyDescent="0.3">
      <c r="A122" s="12">
        <f t="shared" si="1"/>
        <v>121</v>
      </c>
      <c r="B122" s="64" t="s">
        <v>2199</v>
      </c>
      <c r="C122" s="12" t="s">
        <v>2200</v>
      </c>
      <c r="D122" s="12" t="s">
        <v>2064</v>
      </c>
      <c r="E122" s="82" t="s">
        <v>168</v>
      </c>
      <c r="F122" s="66">
        <v>46113</v>
      </c>
      <c r="G122" s="12" t="s">
        <v>1999</v>
      </c>
      <c r="H122" s="12" t="s">
        <v>684</v>
      </c>
      <c r="I122" s="78" t="s">
        <v>2000</v>
      </c>
      <c r="J122" s="12" t="s">
        <v>547</v>
      </c>
      <c r="K122" s="67" t="s">
        <v>2025</v>
      </c>
      <c r="L122" s="67" t="s">
        <v>2026</v>
      </c>
      <c r="M122" s="78" t="s">
        <v>2002</v>
      </c>
      <c r="N122" s="12" t="s">
        <v>1428</v>
      </c>
      <c r="O122" s="12" t="s">
        <v>2003</v>
      </c>
      <c r="P122" s="79" t="s">
        <v>2004</v>
      </c>
      <c r="Q122" s="12" t="s">
        <v>2005</v>
      </c>
      <c r="R122" s="12" t="s">
        <v>2015</v>
      </c>
      <c r="S122" s="12" t="s">
        <v>2007</v>
      </c>
      <c r="T122" s="12" t="s">
        <v>2008</v>
      </c>
      <c r="U122" s="12" t="s">
        <v>2065</v>
      </c>
      <c r="V122" s="12" t="s">
        <v>1428</v>
      </c>
      <c r="W122" s="12" t="s">
        <v>2010</v>
      </c>
    </row>
    <row r="123" spans="1:23" ht="57.6" x14ac:dyDescent="0.3">
      <c r="A123" s="12">
        <f t="shared" si="1"/>
        <v>122</v>
      </c>
      <c r="B123" s="64" t="s">
        <v>2201</v>
      </c>
      <c r="C123" s="12" t="s">
        <v>2202</v>
      </c>
      <c r="D123" s="12" t="s">
        <v>2084</v>
      </c>
      <c r="E123" s="65" t="s">
        <v>168</v>
      </c>
      <c r="F123" s="66">
        <v>46146</v>
      </c>
      <c r="G123" s="12" t="s">
        <v>1999</v>
      </c>
      <c r="H123" s="12" t="s">
        <v>684</v>
      </c>
      <c r="I123" s="12" t="s">
        <v>2000</v>
      </c>
      <c r="J123" s="12" t="s">
        <v>547</v>
      </c>
      <c r="K123" s="67" t="s">
        <v>2025</v>
      </c>
      <c r="L123" s="67" t="s">
        <v>2026</v>
      </c>
      <c r="M123" s="12" t="s">
        <v>2002</v>
      </c>
      <c r="N123" s="12" t="s">
        <v>1428</v>
      </c>
      <c r="O123" s="12" t="s">
        <v>2003</v>
      </c>
      <c r="P123" s="12" t="s">
        <v>2004</v>
      </c>
      <c r="Q123" s="12" t="s">
        <v>2005</v>
      </c>
      <c r="R123" s="12" t="s">
        <v>2015</v>
      </c>
      <c r="S123" s="12" t="s">
        <v>2007</v>
      </c>
      <c r="T123" s="12" t="s">
        <v>2008</v>
      </c>
      <c r="U123" s="12" t="s">
        <v>2085</v>
      </c>
      <c r="V123" s="12" t="s">
        <v>1428</v>
      </c>
      <c r="W123" s="12" t="s">
        <v>2010</v>
      </c>
    </row>
    <row r="124" spans="1:23" ht="57.6" x14ac:dyDescent="0.3">
      <c r="A124" s="12">
        <f t="shared" si="1"/>
        <v>123</v>
      </c>
      <c r="B124" s="64" t="s">
        <v>2203</v>
      </c>
      <c r="C124" s="12" t="s">
        <v>2204</v>
      </c>
      <c r="D124" s="12" t="s">
        <v>2205</v>
      </c>
      <c r="E124" s="65" t="s">
        <v>168</v>
      </c>
      <c r="F124" s="66">
        <v>46163</v>
      </c>
      <c r="G124" s="12" t="s">
        <v>1999</v>
      </c>
      <c r="H124" s="12" t="s">
        <v>684</v>
      </c>
      <c r="I124" s="78" t="s">
        <v>2000</v>
      </c>
      <c r="J124" s="12" t="s">
        <v>547</v>
      </c>
      <c r="K124" s="67" t="s">
        <v>2025</v>
      </c>
      <c r="L124" s="67" t="s">
        <v>2026</v>
      </c>
      <c r="M124" s="12" t="s">
        <v>2002</v>
      </c>
      <c r="N124" s="12" t="s">
        <v>1428</v>
      </c>
      <c r="O124" s="12" t="s">
        <v>2003</v>
      </c>
      <c r="P124" s="84" t="s">
        <v>2004</v>
      </c>
      <c r="Q124" s="12" t="s">
        <v>2005</v>
      </c>
      <c r="R124" s="12" t="s">
        <v>2015</v>
      </c>
      <c r="S124" s="12" t="s">
        <v>2007</v>
      </c>
      <c r="T124" s="12" t="s">
        <v>2008</v>
      </c>
      <c r="U124" s="12" t="s">
        <v>2027</v>
      </c>
      <c r="V124" s="12" t="s">
        <v>2014</v>
      </c>
      <c r="W124" s="12" t="s">
        <v>2010</v>
      </c>
    </row>
    <row r="125" spans="1:23" ht="72" x14ac:dyDescent="0.3">
      <c r="A125" s="12">
        <f t="shared" si="1"/>
        <v>124</v>
      </c>
      <c r="B125" s="64" t="s">
        <v>1941</v>
      </c>
      <c r="C125" s="12" t="s">
        <v>1939</v>
      </c>
      <c r="D125" s="12" t="s">
        <v>2206</v>
      </c>
      <c r="E125" s="65" t="s">
        <v>513</v>
      </c>
      <c r="F125" s="66">
        <v>46135</v>
      </c>
      <c r="G125" s="12" t="s">
        <v>2024</v>
      </c>
      <c r="H125" s="12" t="s">
        <v>684</v>
      </c>
      <c r="I125" s="12" t="s">
        <v>2109</v>
      </c>
      <c r="J125" s="12" t="s">
        <v>547</v>
      </c>
      <c r="K125" s="67" t="s">
        <v>2110</v>
      </c>
      <c r="L125" s="67" t="s">
        <v>2111</v>
      </c>
      <c r="M125" s="12" t="s">
        <v>2112</v>
      </c>
      <c r="N125" s="12" t="s">
        <v>2014</v>
      </c>
      <c r="O125" s="12" t="s">
        <v>2044</v>
      </c>
      <c r="P125" s="12" t="s">
        <v>2004</v>
      </c>
      <c r="Q125" s="12" t="s">
        <v>2005</v>
      </c>
      <c r="R125" s="12" t="s">
        <v>2113</v>
      </c>
      <c r="S125" s="12" t="s">
        <v>2007</v>
      </c>
      <c r="T125" s="12" t="s">
        <v>2016</v>
      </c>
      <c r="U125" s="12" t="s">
        <v>2118</v>
      </c>
      <c r="V125" s="12" t="s">
        <v>2014</v>
      </c>
      <c r="W125" s="12" t="s">
        <v>2010</v>
      </c>
    </row>
    <row r="126" spans="1:23" x14ac:dyDescent="0.3">
      <c r="A126" s="12">
        <f t="shared" si="1"/>
        <v>125</v>
      </c>
      <c r="B126" s="64" t="s">
        <v>1806</v>
      </c>
      <c r="C126" s="12" t="s">
        <v>1804</v>
      </c>
      <c r="D126" s="12" t="s">
        <v>2030</v>
      </c>
      <c r="E126" s="65" t="s">
        <v>168</v>
      </c>
      <c r="F126" s="66">
        <v>46204</v>
      </c>
      <c r="G126" s="12" t="s">
        <v>1999</v>
      </c>
      <c r="H126" s="12" t="s">
        <v>684</v>
      </c>
      <c r="I126" s="12" t="s">
        <v>2000</v>
      </c>
      <c r="J126" s="12" t="s">
        <v>547</v>
      </c>
      <c r="K126" s="67" t="s">
        <v>2031</v>
      </c>
      <c r="L126" s="67" t="s">
        <v>2032</v>
      </c>
      <c r="M126" s="78" t="s">
        <v>2013</v>
      </c>
      <c r="N126" s="78" t="s">
        <v>2014</v>
      </c>
      <c r="O126" s="12" t="s">
        <v>2003</v>
      </c>
      <c r="P126" s="79" t="s">
        <v>2014</v>
      </c>
      <c r="Q126" s="78" t="s">
        <v>2014</v>
      </c>
      <c r="R126" s="12" t="s">
        <v>2015</v>
      </c>
      <c r="S126" s="78" t="s">
        <v>2007</v>
      </c>
      <c r="T126" s="78" t="s">
        <v>2007</v>
      </c>
      <c r="U126" s="12" t="s">
        <v>1973</v>
      </c>
      <c r="V126" s="12" t="s">
        <v>2014</v>
      </c>
      <c r="W126" s="12" t="s">
        <v>2010</v>
      </c>
    </row>
    <row r="127" spans="1:23" ht="57.6" x14ac:dyDescent="0.3">
      <c r="A127" s="12">
        <f t="shared" si="1"/>
        <v>126</v>
      </c>
      <c r="B127" s="64" t="s">
        <v>2207</v>
      </c>
      <c r="C127" s="12" t="s">
        <v>2208</v>
      </c>
      <c r="D127" s="12" t="s">
        <v>2127</v>
      </c>
      <c r="E127" s="65" t="s">
        <v>168</v>
      </c>
      <c r="F127" s="66">
        <v>46217</v>
      </c>
      <c r="G127" s="12" t="s">
        <v>2024</v>
      </c>
      <c r="H127" s="12" t="s">
        <v>684</v>
      </c>
      <c r="I127" s="12" t="s">
        <v>2000</v>
      </c>
      <c r="J127" s="12" t="s">
        <v>547</v>
      </c>
      <c r="K127" s="67" t="s">
        <v>2025</v>
      </c>
      <c r="L127" s="67" t="s">
        <v>2026</v>
      </c>
      <c r="M127" s="12" t="s">
        <v>2013</v>
      </c>
      <c r="N127" s="12" t="s">
        <v>2014</v>
      </c>
      <c r="O127" s="12" t="s">
        <v>2003</v>
      </c>
      <c r="P127" s="79" t="s">
        <v>2004</v>
      </c>
      <c r="Q127" s="12" t="s">
        <v>2014</v>
      </c>
      <c r="R127" s="12" t="s">
        <v>2015</v>
      </c>
      <c r="S127" s="12" t="s">
        <v>2007</v>
      </c>
      <c r="T127" s="12" t="s">
        <v>2016</v>
      </c>
      <c r="U127" s="12" t="s">
        <v>2027</v>
      </c>
      <c r="V127" s="12" t="s">
        <v>2014</v>
      </c>
      <c r="W127" s="12" t="s">
        <v>2010</v>
      </c>
    </row>
    <row r="128" spans="1:23" ht="57.6" x14ac:dyDescent="0.3">
      <c r="A128" s="12">
        <f t="shared" si="1"/>
        <v>127</v>
      </c>
      <c r="B128" s="64" t="s">
        <v>2209</v>
      </c>
      <c r="C128" s="12" t="s">
        <v>2210</v>
      </c>
      <c r="D128" s="12" t="s">
        <v>2205</v>
      </c>
      <c r="E128" s="65" t="s">
        <v>168</v>
      </c>
      <c r="F128" s="66">
        <v>46217</v>
      </c>
      <c r="G128" s="12" t="s">
        <v>2024</v>
      </c>
      <c r="H128" s="12" t="s">
        <v>684</v>
      </c>
      <c r="I128" s="12" t="s">
        <v>2000</v>
      </c>
      <c r="J128" s="12" t="s">
        <v>547</v>
      </c>
      <c r="K128" s="67" t="s">
        <v>2025</v>
      </c>
      <c r="L128" s="67" t="s">
        <v>2026</v>
      </c>
      <c r="M128" s="12" t="s">
        <v>2002</v>
      </c>
      <c r="N128" s="12" t="s">
        <v>1428</v>
      </c>
      <c r="O128" s="12" t="s">
        <v>2003</v>
      </c>
      <c r="P128" s="79" t="s">
        <v>2004</v>
      </c>
      <c r="Q128" s="12" t="s">
        <v>2014</v>
      </c>
      <c r="R128" s="12" t="s">
        <v>2015</v>
      </c>
      <c r="S128" s="12" t="s">
        <v>2007</v>
      </c>
      <c r="T128" s="12" t="s">
        <v>2016</v>
      </c>
      <c r="U128" s="12" t="s">
        <v>2027</v>
      </c>
      <c r="V128" s="12" t="s">
        <v>2014</v>
      </c>
      <c r="W128" s="12" t="s">
        <v>2010</v>
      </c>
    </row>
    <row r="129" spans="1:23" x14ac:dyDescent="0.3">
      <c r="A129" s="12">
        <f t="shared" si="1"/>
        <v>128</v>
      </c>
      <c r="B129" s="64" t="s">
        <v>2211</v>
      </c>
      <c r="C129" s="12" t="s">
        <v>2212</v>
      </c>
      <c r="D129" s="12" t="s">
        <v>2030</v>
      </c>
      <c r="E129" s="82" t="s">
        <v>168</v>
      </c>
      <c r="F129" s="66">
        <v>46240</v>
      </c>
      <c r="G129" s="12" t="s">
        <v>1999</v>
      </c>
      <c r="H129" s="12" t="s">
        <v>684</v>
      </c>
      <c r="I129" s="12" t="s">
        <v>2000</v>
      </c>
      <c r="J129" s="12" t="s">
        <v>547</v>
      </c>
      <c r="K129" s="67" t="s">
        <v>2031</v>
      </c>
      <c r="L129" s="67" t="s">
        <v>2032</v>
      </c>
      <c r="M129" s="78" t="s">
        <v>2013</v>
      </c>
      <c r="N129" s="78" t="s">
        <v>2014</v>
      </c>
      <c r="O129" s="12" t="s">
        <v>2003</v>
      </c>
      <c r="P129" s="79" t="s">
        <v>2014</v>
      </c>
      <c r="Q129" s="78" t="s">
        <v>2014</v>
      </c>
      <c r="R129" s="12" t="s">
        <v>2015</v>
      </c>
      <c r="S129" s="78" t="s">
        <v>2007</v>
      </c>
      <c r="T129" s="78" t="s">
        <v>2007</v>
      </c>
      <c r="U129" s="12" t="s">
        <v>1623</v>
      </c>
      <c r="V129" s="12" t="s">
        <v>2014</v>
      </c>
      <c r="W129" s="12" t="s">
        <v>2010</v>
      </c>
    </row>
    <row r="130" spans="1:23" ht="57.6" x14ac:dyDescent="0.3">
      <c r="A130" s="12">
        <f t="shared" si="1"/>
        <v>129</v>
      </c>
      <c r="B130" s="64" t="s">
        <v>2213</v>
      </c>
      <c r="C130" s="12" t="s">
        <v>2214</v>
      </c>
      <c r="D130" s="12" t="s">
        <v>2084</v>
      </c>
      <c r="E130" s="65" t="s">
        <v>168</v>
      </c>
      <c r="F130" s="66">
        <v>46238</v>
      </c>
      <c r="G130" s="12" t="s">
        <v>1999</v>
      </c>
      <c r="H130" s="12" t="s">
        <v>684</v>
      </c>
      <c r="I130" s="12" t="s">
        <v>2000</v>
      </c>
      <c r="J130" s="12" t="s">
        <v>547</v>
      </c>
      <c r="K130" s="67" t="s">
        <v>2025</v>
      </c>
      <c r="L130" s="67" t="s">
        <v>2026</v>
      </c>
      <c r="M130" s="12" t="s">
        <v>2002</v>
      </c>
      <c r="N130" s="12" t="s">
        <v>1428</v>
      </c>
      <c r="O130" s="12" t="s">
        <v>2003</v>
      </c>
      <c r="P130" s="79" t="s">
        <v>2004</v>
      </c>
      <c r="Q130" s="12" t="s">
        <v>2014</v>
      </c>
      <c r="R130" s="12" t="s">
        <v>2015</v>
      </c>
      <c r="S130" s="12" t="s">
        <v>2007</v>
      </c>
      <c r="T130" s="12" t="s">
        <v>2016</v>
      </c>
      <c r="U130" s="12" t="s">
        <v>2027</v>
      </c>
      <c r="V130" s="12" t="s">
        <v>2014</v>
      </c>
      <c r="W130" s="12" t="s">
        <v>2010</v>
      </c>
    </row>
    <row r="131" spans="1:23" ht="57.6" x14ac:dyDescent="0.3">
      <c r="A131" s="12">
        <f t="shared" si="1"/>
        <v>130</v>
      </c>
      <c r="B131" s="64" t="s">
        <v>2215</v>
      </c>
      <c r="C131" s="12" t="s">
        <v>2216</v>
      </c>
      <c r="D131" s="12" t="s">
        <v>2084</v>
      </c>
      <c r="E131" s="65" t="s">
        <v>2217</v>
      </c>
      <c r="F131" s="66">
        <v>46244</v>
      </c>
      <c r="G131" s="12" t="s">
        <v>1999</v>
      </c>
      <c r="H131" s="12" t="s">
        <v>684</v>
      </c>
      <c r="I131" s="12" t="s">
        <v>2000</v>
      </c>
      <c r="J131" s="12" t="s">
        <v>547</v>
      </c>
      <c r="K131" s="67" t="s">
        <v>2025</v>
      </c>
      <c r="L131" s="67" t="s">
        <v>2026</v>
      </c>
      <c r="M131" s="12" t="s">
        <v>2002</v>
      </c>
      <c r="N131" s="12" t="s">
        <v>1428</v>
      </c>
      <c r="O131" s="12" t="s">
        <v>2003</v>
      </c>
      <c r="P131" s="79" t="s">
        <v>2004</v>
      </c>
      <c r="Q131" s="12" t="s">
        <v>2014</v>
      </c>
      <c r="R131" s="12" t="s">
        <v>2015</v>
      </c>
      <c r="S131" s="12" t="s">
        <v>2007</v>
      </c>
      <c r="T131" s="12" t="s">
        <v>2016</v>
      </c>
      <c r="U131" s="12" t="s">
        <v>2085</v>
      </c>
      <c r="V131" s="12" t="s">
        <v>2014</v>
      </c>
      <c r="W131" s="12" t="s">
        <v>2010</v>
      </c>
    </row>
    <row r="132" spans="1:23" ht="57.6" x14ac:dyDescent="0.3">
      <c r="A132" s="12">
        <f t="shared" si="1"/>
        <v>131</v>
      </c>
      <c r="B132" s="64" t="s">
        <v>2218</v>
      </c>
      <c r="C132" s="12" t="s">
        <v>2219</v>
      </c>
      <c r="D132" s="12" t="s">
        <v>2145</v>
      </c>
      <c r="E132" s="65" t="s">
        <v>168</v>
      </c>
      <c r="F132" s="66">
        <v>45432</v>
      </c>
      <c r="G132" s="12" t="s">
        <v>1999</v>
      </c>
      <c r="H132" s="12" t="s">
        <v>684</v>
      </c>
      <c r="I132" s="12" t="s">
        <v>2000</v>
      </c>
      <c r="J132" s="12" t="s">
        <v>547</v>
      </c>
      <c r="K132" s="67" t="s">
        <v>2025</v>
      </c>
      <c r="L132" s="67" t="s">
        <v>2026</v>
      </c>
      <c r="M132" s="12" t="s">
        <v>2002</v>
      </c>
      <c r="N132" s="12" t="s">
        <v>1428</v>
      </c>
      <c r="O132" s="12" t="s">
        <v>2003</v>
      </c>
      <c r="P132" s="12" t="s">
        <v>2004</v>
      </c>
      <c r="Q132" s="12" t="s">
        <v>2005</v>
      </c>
      <c r="R132" s="12" t="s">
        <v>2015</v>
      </c>
      <c r="S132" s="12" t="s">
        <v>2007</v>
      </c>
      <c r="T132" s="12" t="s">
        <v>2008</v>
      </c>
      <c r="U132" s="12" t="s">
        <v>2085</v>
      </c>
      <c r="V132" s="12" t="s">
        <v>1428</v>
      </c>
      <c r="W132" s="12" t="s">
        <v>2010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188BE-8E48-4392-88FC-6A288551D04D}">
  <dimension ref="A1:W59"/>
  <sheetViews>
    <sheetView workbookViewId="0">
      <selection activeCell="F14" sqref="F14"/>
    </sheetView>
  </sheetViews>
  <sheetFormatPr defaultRowHeight="14.4" x14ac:dyDescent="0.3"/>
  <cols>
    <col min="1" max="1" width="17.44140625" style="12" bestFit="1" customWidth="1"/>
    <col min="2" max="2" width="48.21875" style="12" bestFit="1" customWidth="1"/>
    <col min="3" max="3" width="14.33203125" style="12" bestFit="1" customWidth="1"/>
    <col min="4" max="4" width="16.44140625" style="12" bestFit="1" customWidth="1"/>
    <col min="5" max="5" width="18" style="12" bestFit="1" customWidth="1"/>
    <col min="6" max="6" width="20.33203125" style="12" bestFit="1" customWidth="1"/>
    <col min="7" max="13" width="17" style="12" bestFit="1" customWidth="1"/>
    <col min="14" max="14" width="15.6640625" style="12" bestFit="1" customWidth="1"/>
    <col min="15" max="15" width="22.21875" style="12" bestFit="1" customWidth="1"/>
    <col min="16" max="16" width="17" style="12" bestFit="1" customWidth="1"/>
    <col min="17" max="18" width="12.109375" style="12" bestFit="1" customWidth="1"/>
    <col min="19" max="19" width="13.109375" style="12" bestFit="1" customWidth="1"/>
    <col min="20" max="20" width="19.77734375" style="12" bestFit="1" customWidth="1"/>
    <col min="21" max="21" width="19.5546875" style="12" bestFit="1" customWidth="1"/>
    <col min="22" max="22" width="16" style="12" bestFit="1" customWidth="1"/>
    <col min="23" max="23" width="14.21875" style="12" bestFit="1" customWidth="1"/>
    <col min="24" max="16384" width="8.88671875" style="12"/>
  </cols>
  <sheetData>
    <row r="1" spans="1:23" ht="15" thickBot="1" x14ac:dyDescent="0.35"/>
    <row r="2" spans="1:23" x14ac:dyDescent="0.3">
      <c r="F2" s="13" t="s">
        <v>1384</v>
      </c>
      <c r="G2" s="14" t="s">
        <v>1385</v>
      </c>
      <c r="H2" s="14" t="s">
        <v>1385</v>
      </c>
      <c r="I2" s="14" t="s">
        <v>1385</v>
      </c>
      <c r="J2" s="14" t="s">
        <v>1385</v>
      </c>
      <c r="K2" s="14" t="s">
        <v>1385</v>
      </c>
      <c r="L2" s="14" t="s">
        <v>1385</v>
      </c>
      <c r="M2" s="14" t="s">
        <v>1385</v>
      </c>
      <c r="N2" s="14" t="s">
        <v>1386</v>
      </c>
      <c r="O2" s="14" t="s">
        <v>1387</v>
      </c>
      <c r="P2" s="14" t="s">
        <v>1385</v>
      </c>
      <c r="Q2" s="14" t="s">
        <v>1388</v>
      </c>
      <c r="R2" s="14" t="s">
        <v>1388</v>
      </c>
      <c r="S2" s="14" t="s">
        <v>1389</v>
      </c>
      <c r="T2" s="14" t="s">
        <v>1390</v>
      </c>
      <c r="U2" s="14" t="s">
        <v>1391</v>
      </c>
      <c r="V2" s="14" t="s">
        <v>1392</v>
      </c>
      <c r="W2" s="15" t="s">
        <v>1393</v>
      </c>
    </row>
    <row r="3" spans="1:23" ht="15" thickBot="1" x14ac:dyDescent="0.35">
      <c r="F3" s="16" t="s">
        <v>1394</v>
      </c>
      <c r="G3" s="17" t="s">
        <v>1395</v>
      </c>
      <c r="H3" s="17" t="s">
        <v>1395</v>
      </c>
      <c r="I3" s="17" t="s">
        <v>1395</v>
      </c>
      <c r="J3" s="17" t="s">
        <v>1395</v>
      </c>
      <c r="K3" s="17" t="s">
        <v>1395</v>
      </c>
      <c r="L3" s="17" t="s">
        <v>1395</v>
      </c>
      <c r="M3" s="17" t="s">
        <v>1395</v>
      </c>
      <c r="N3" s="17" t="s">
        <v>1396</v>
      </c>
      <c r="O3" s="17" t="s">
        <v>1396</v>
      </c>
      <c r="P3" s="17" t="s">
        <v>1395</v>
      </c>
      <c r="Q3" s="17" t="s">
        <v>1397</v>
      </c>
      <c r="R3" s="17" t="s">
        <v>1397</v>
      </c>
      <c r="S3" s="17" t="s">
        <v>1395</v>
      </c>
      <c r="T3" s="17" t="s">
        <v>1395</v>
      </c>
      <c r="U3" s="17" t="s">
        <v>1395</v>
      </c>
      <c r="V3" s="17" t="s">
        <v>1398</v>
      </c>
      <c r="W3" s="18" t="s">
        <v>1395</v>
      </c>
    </row>
    <row r="4" spans="1:23" ht="15" thickBot="1" x14ac:dyDescent="0.35">
      <c r="A4" s="19" t="s">
        <v>1399</v>
      </c>
      <c r="B4" s="20" t="s">
        <v>1400</v>
      </c>
      <c r="C4" s="20" t="s">
        <v>1401</v>
      </c>
      <c r="D4" s="21" t="s">
        <v>1402</v>
      </c>
      <c r="E4" s="21" t="s">
        <v>1403</v>
      </c>
      <c r="F4" s="21" t="s">
        <v>1404</v>
      </c>
      <c r="G4" s="21" t="s">
        <v>1405</v>
      </c>
      <c r="H4" s="21" t="s">
        <v>1406</v>
      </c>
      <c r="I4" s="21" t="s">
        <v>167</v>
      </c>
      <c r="J4" s="21" t="s">
        <v>1407</v>
      </c>
      <c r="K4" s="21" t="s">
        <v>1408</v>
      </c>
      <c r="L4" s="21" t="s">
        <v>1409</v>
      </c>
      <c r="M4" s="21" t="s">
        <v>1410</v>
      </c>
      <c r="N4" s="21" t="s">
        <v>1411</v>
      </c>
      <c r="O4" s="21" t="s">
        <v>684</v>
      </c>
      <c r="P4" s="21" t="s">
        <v>1412</v>
      </c>
      <c r="Q4" s="21" t="s">
        <v>1413</v>
      </c>
      <c r="R4" s="21" t="s">
        <v>1414</v>
      </c>
      <c r="S4" s="21" t="s">
        <v>1389</v>
      </c>
      <c r="T4" s="21" t="s">
        <v>1390</v>
      </c>
      <c r="U4" s="21" t="s">
        <v>1415</v>
      </c>
      <c r="V4" s="21" t="s">
        <v>1416</v>
      </c>
      <c r="W4" s="22" t="s">
        <v>1393</v>
      </c>
    </row>
    <row r="5" spans="1:23" x14ac:dyDescent="0.3">
      <c r="A5" s="23" t="s">
        <v>1417</v>
      </c>
      <c r="B5" s="24" t="s">
        <v>1418</v>
      </c>
      <c r="C5" s="24" t="s">
        <v>1419</v>
      </c>
      <c r="D5" s="12" t="s">
        <v>1420</v>
      </c>
      <c r="E5" s="12" t="s">
        <v>1421</v>
      </c>
      <c r="F5" s="12" t="s">
        <v>1422</v>
      </c>
      <c r="G5" s="12" t="s">
        <v>1423</v>
      </c>
      <c r="H5" s="12" t="s">
        <v>1423</v>
      </c>
      <c r="I5" s="12" t="s">
        <v>1423</v>
      </c>
      <c r="J5" s="12" t="s">
        <v>1423</v>
      </c>
      <c r="K5" s="12" t="s">
        <v>1423</v>
      </c>
      <c r="L5" s="12" t="s">
        <v>1423</v>
      </c>
      <c r="M5" s="12" t="s">
        <v>1423</v>
      </c>
      <c r="N5" s="12" t="s">
        <v>1423</v>
      </c>
      <c r="O5" s="12" t="s">
        <v>1423</v>
      </c>
      <c r="P5" s="12" t="s">
        <v>1423</v>
      </c>
      <c r="Q5" s="12" t="s">
        <v>1424</v>
      </c>
      <c r="R5" s="12" t="s">
        <v>1424</v>
      </c>
      <c r="S5" s="12" t="s">
        <v>1424</v>
      </c>
      <c r="T5" s="12" t="s">
        <v>1424</v>
      </c>
      <c r="U5" s="12" t="s">
        <v>1423</v>
      </c>
      <c r="V5" s="12" t="s">
        <v>1423</v>
      </c>
      <c r="W5" s="25" t="s">
        <v>1423</v>
      </c>
    </row>
    <row r="6" spans="1:23" x14ac:dyDescent="0.3">
      <c r="A6" s="23" t="s">
        <v>1425</v>
      </c>
      <c r="B6" s="24" t="s">
        <v>1426</v>
      </c>
      <c r="C6" s="24" t="s">
        <v>1419</v>
      </c>
      <c r="D6" s="12" t="s">
        <v>1420</v>
      </c>
      <c r="E6" s="12" t="s">
        <v>1427</v>
      </c>
      <c r="F6" s="12" t="s">
        <v>1428</v>
      </c>
      <c r="G6" s="12" t="s">
        <v>1423</v>
      </c>
      <c r="H6" s="12" t="s">
        <v>1423</v>
      </c>
      <c r="I6" s="12" t="s">
        <v>1423</v>
      </c>
      <c r="J6" s="12" t="s">
        <v>1423</v>
      </c>
      <c r="K6" s="12" t="s">
        <v>1423</v>
      </c>
      <c r="L6" s="12" t="s">
        <v>1423</v>
      </c>
      <c r="M6" s="12" t="s">
        <v>1423</v>
      </c>
      <c r="N6" s="12" t="s">
        <v>1423</v>
      </c>
      <c r="O6" s="12" t="s">
        <v>1423</v>
      </c>
      <c r="P6" s="12" t="s">
        <v>1423</v>
      </c>
      <c r="Q6" s="12" t="s">
        <v>1423</v>
      </c>
      <c r="R6" s="12" t="s">
        <v>1423</v>
      </c>
      <c r="S6" s="12" t="s">
        <v>1424</v>
      </c>
      <c r="T6" s="12" t="s">
        <v>1424</v>
      </c>
      <c r="U6" s="12" t="s">
        <v>1423</v>
      </c>
      <c r="V6" s="12" t="s">
        <v>1423</v>
      </c>
      <c r="W6" s="25" t="s">
        <v>1423</v>
      </c>
    </row>
    <row r="7" spans="1:23" x14ac:dyDescent="0.3">
      <c r="A7" s="26" t="s">
        <v>1429</v>
      </c>
      <c r="B7" s="27" t="s">
        <v>1430</v>
      </c>
      <c r="C7" s="27" t="s">
        <v>1419</v>
      </c>
      <c r="D7" s="12" t="s">
        <v>1420</v>
      </c>
      <c r="E7" s="12" t="s">
        <v>1427</v>
      </c>
      <c r="F7" s="12" t="s">
        <v>1428</v>
      </c>
      <c r="G7" s="12" t="s">
        <v>1423</v>
      </c>
      <c r="H7" s="12" t="s">
        <v>1423</v>
      </c>
      <c r="I7" s="12" t="s">
        <v>1423</v>
      </c>
      <c r="J7" s="12" t="s">
        <v>1423</v>
      </c>
      <c r="K7" s="12" t="s">
        <v>1423</v>
      </c>
      <c r="L7" s="12" t="s">
        <v>1423</v>
      </c>
      <c r="M7" s="12" t="s">
        <v>1423</v>
      </c>
      <c r="N7" s="12" t="s">
        <v>1423</v>
      </c>
      <c r="O7" s="12" t="s">
        <v>1423</v>
      </c>
      <c r="P7" s="12" t="s">
        <v>1423</v>
      </c>
      <c r="Q7" s="12" t="s">
        <v>1423</v>
      </c>
      <c r="R7" s="12" t="s">
        <v>1423</v>
      </c>
      <c r="S7" s="12" t="s">
        <v>1424</v>
      </c>
      <c r="T7" s="12" t="s">
        <v>1423</v>
      </c>
      <c r="U7" s="12" t="s">
        <v>1423</v>
      </c>
      <c r="V7" s="12" t="s">
        <v>1423</v>
      </c>
      <c r="W7" s="25" t="s">
        <v>1423</v>
      </c>
    </row>
    <row r="8" spans="1:23" x14ac:dyDescent="0.3">
      <c r="A8" s="26" t="s">
        <v>1431</v>
      </c>
      <c r="B8" s="27" t="s">
        <v>1432</v>
      </c>
      <c r="C8" s="27" t="s">
        <v>1419</v>
      </c>
      <c r="D8" s="12" t="s">
        <v>1433</v>
      </c>
      <c r="E8" s="12" t="s">
        <v>1421</v>
      </c>
      <c r="F8" s="12" t="s">
        <v>1434</v>
      </c>
      <c r="G8" s="12" t="s">
        <v>1435</v>
      </c>
      <c r="H8" s="12" t="s">
        <v>1435</v>
      </c>
      <c r="I8" s="12" t="s">
        <v>1435</v>
      </c>
      <c r="J8" s="12" t="s">
        <v>1435</v>
      </c>
      <c r="K8" s="12" t="s">
        <v>1423</v>
      </c>
      <c r="L8" s="12" t="s">
        <v>1423</v>
      </c>
      <c r="M8" s="12" t="s">
        <v>1423</v>
      </c>
      <c r="N8" s="12" t="s">
        <v>1435</v>
      </c>
      <c r="O8" s="12" t="s">
        <v>1435</v>
      </c>
      <c r="P8" s="12" t="s">
        <v>1435</v>
      </c>
      <c r="Q8" s="12" t="s">
        <v>1423</v>
      </c>
      <c r="R8" s="12" t="s">
        <v>1423</v>
      </c>
      <c r="S8" s="12" t="s">
        <v>1423</v>
      </c>
      <c r="T8" s="12" t="s">
        <v>1424</v>
      </c>
      <c r="U8" s="12" t="s">
        <v>1423</v>
      </c>
      <c r="V8" s="12" t="s">
        <v>1423</v>
      </c>
      <c r="W8" s="25" t="s">
        <v>1423</v>
      </c>
    </row>
    <row r="9" spans="1:23" x14ac:dyDescent="0.3">
      <c r="A9" s="26" t="s">
        <v>1436</v>
      </c>
      <c r="B9" s="27" t="s">
        <v>1437</v>
      </c>
      <c r="C9" s="27" t="s">
        <v>1419</v>
      </c>
      <c r="D9" s="12" t="s">
        <v>1420</v>
      </c>
      <c r="E9" s="12" t="s">
        <v>1427</v>
      </c>
      <c r="F9" s="12" t="s">
        <v>1428</v>
      </c>
      <c r="G9" s="12" t="s">
        <v>1423</v>
      </c>
      <c r="H9" s="12" t="s">
        <v>1423</v>
      </c>
      <c r="I9" s="12" t="s">
        <v>1423</v>
      </c>
      <c r="J9" s="12" t="s">
        <v>1423</v>
      </c>
      <c r="K9" s="12" t="s">
        <v>1423</v>
      </c>
      <c r="L9" s="12" t="s">
        <v>1423</v>
      </c>
      <c r="M9" s="12" t="s">
        <v>1423</v>
      </c>
      <c r="N9" s="12" t="s">
        <v>1423</v>
      </c>
      <c r="O9" s="12" t="s">
        <v>1423</v>
      </c>
      <c r="P9" s="12" t="s">
        <v>1423</v>
      </c>
      <c r="Q9" s="12" t="s">
        <v>1423</v>
      </c>
      <c r="R9" s="12" t="s">
        <v>1423</v>
      </c>
      <c r="S9" s="12" t="s">
        <v>1424</v>
      </c>
      <c r="T9" s="12" t="s">
        <v>1423</v>
      </c>
      <c r="U9" s="12" t="s">
        <v>1423</v>
      </c>
      <c r="V9" s="12" t="s">
        <v>1423</v>
      </c>
      <c r="W9" s="25" t="s">
        <v>1423</v>
      </c>
    </row>
    <row r="10" spans="1:23" x14ac:dyDescent="0.3">
      <c r="A10" s="26" t="s">
        <v>1438</v>
      </c>
      <c r="B10" s="27" t="s">
        <v>1439</v>
      </c>
      <c r="C10" s="27" t="s">
        <v>1419</v>
      </c>
      <c r="D10" s="12" t="s">
        <v>1433</v>
      </c>
      <c r="E10" s="12" t="s">
        <v>1421</v>
      </c>
      <c r="F10" s="12" t="s">
        <v>1434</v>
      </c>
      <c r="G10" s="12" t="s">
        <v>1435</v>
      </c>
      <c r="H10" s="12" t="s">
        <v>1435</v>
      </c>
      <c r="I10" s="12" t="s">
        <v>1435</v>
      </c>
      <c r="J10" s="12" t="s">
        <v>1435</v>
      </c>
      <c r="K10" s="12" t="s">
        <v>1435</v>
      </c>
      <c r="L10" s="12" t="s">
        <v>1435</v>
      </c>
      <c r="M10" s="12" t="s">
        <v>1435</v>
      </c>
      <c r="N10" s="12" t="s">
        <v>1435</v>
      </c>
      <c r="O10" s="12" t="s">
        <v>1435</v>
      </c>
      <c r="P10" s="12" t="s">
        <v>1435</v>
      </c>
      <c r="Q10" s="12" t="s">
        <v>1423</v>
      </c>
      <c r="R10" s="12" t="s">
        <v>1423</v>
      </c>
      <c r="S10" s="12" t="s">
        <v>1423</v>
      </c>
      <c r="T10" s="12" t="s">
        <v>1424</v>
      </c>
      <c r="U10" s="12" t="s">
        <v>1423</v>
      </c>
      <c r="V10" s="12" t="s">
        <v>1423</v>
      </c>
      <c r="W10" s="25" t="s">
        <v>1423</v>
      </c>
    </row>
    <row r="11" spans="1:23" x14ac:dyDescent="0.3">
      <c r="A11" s="26" t="s">
        <v>1440</v>
      </c>
      <c r="B11" s="27" t="s">
        <v>1441</v>
      </c>
      <c r="C11" s="27" t="s">
        <v>1419</v>
      </c>
      <c r="D11" s="12" t="s">
        <v>1420</v>
      </c>
      <c r="E11" s="12" t="s">
        <v>1427</v>
      </c>
      <c r="F11" s="12" t="s">
        <v>1428</v>
      </c>
      <c r="G11" s="12" t="s">
        <v>1423</v>
      </c>
      <c r="H11" s="12" t="s">
        <v>1423</v>
      </c>
      <c r="I11" s="12" t="s">
        <v>1423</v>
      </c>
      <c r="J11" s="12" t="s">
        <v>1423</v>
      </c>
      <c r="K11" s="12" t="s">
        <v>1423</v>
      </c>
      <c r="L11" s="12" t="s">
        <v>1423</v>
      </c>
      <c r="M11" s="12" t="s">
        <v>1423</v>
      </c>
      <c r="N11" s="12" t="s">
        <v>1423</v>
      </c>
      <c r="O11" s="12" t="s">
        <v>1423</v>
      </c>
      <c r="P11" s="12" t="s">
        <v>1423</v>
      </c>
      <c r="Q11" s="12" t="s">
        <v>1423</v>
      </c>
      <c r="R11" s="12" t="s">
        <v>1423</v>
      </c>
      <c r="S11" s="12" t="s">
        <v>1424</v>
      </c>
      <c r="T11" s="12" t="s">
        <v>1423</v>
      </c>
      <c r="U11" s="12" t="s">
        <v>1423</v>
      </c>
      <c r="V11" s="12" t="s">
        <v>1423</v>
      </c>
      <c r="W11" s="25" t="s">
        <v>1423</v>
      </c>
    </row>
    <row r="12" spans="1:23" x14ac:dyDescent="0.3">
      <c r="A12" s="26" t="s">
        <v>1442</v>
      </c>
      <c r="B12" s="27" t="s">
        <v>1443</v>
      </c>
      <c r="C12" s="27" t="s">
        <v>1419</v>
      </c>
      <c r="D12" s="12" t="s">
        <v>1433</v>
      </c>
      <c r="E12" s="12" t="s">
        <v>1421</v>
      </c>
      <c r="F12" s="12" t="s">
        <v>1434</v>
      </c>
      <c r="G12" s="12" t="s">
        <v>1435</v>
      </c>
      <c r="H12" s="12" t="s">
        <v>1435</v>
      </c>
      <c r="I12" s="12" t="s">
        <v>1435</v>
      </c>
      <c r="J12" s="12" t="s">
        <v>1435</v>
      </c>
      <c r="K12" s="12" t="s">
        <v>1435</v>
      </c>
      <c r="L12" s="12" t="s">
        <v>1435</v>
      </c>
      <c r="M12" s="12" t="s">
        <v>1435</v>
      </c>
      <c r="N12" s="12" t="s">
        <v>1435</v>
      </c>
      <c r="O12" s="12" t="s">
        <v>1435</v>
      </c>
      <c r="P12" s="12" t="s">
        <v>1435</v>
      </c>
      <c r="Q12" s="12" t="s">
        <v>1423</v>
      </c>
      <c r="R12" s="12" t="s">
        <v>1423</v>
      </c>
      <c r="S12" s="12" t="s">
        <v>1423</v>
      </c>
      <c r="T12" s="12" t="s">
        <v>1424</v>
      </c>
      <c r="U12" s="12" t="s">
        <v>1423</v>
      </c>
      <c r="V12" s="12" t="s">
        <v>1423</v>
      </c>
      <c r="W12" s="25" t="s">
        <v>1423</v>
      </c>
    </row>
    <row r="13" spans="1:23" x14ac:dyDescent="0.3">
      <c r="A13" s="26" t="s">
        <v>1444</v>
      </c>
      <c r="B13" s="27" t="s">
        <v>1445</v>
      </c>
      <c r="C13" s="27" t="s">
        <v>1419</v>
      </c>
      <c r="D13" s="12" t="s">
        <v>1420</v>
      </c>
      <c r="E13" s="12" t="s">
        <v>1427</v>
      </c>
      <c r="F13" s="12" t="s">
        <v>1428</v>
      </c>
      <c r="G13" s="12" t="s">
        <v>1423</v>
      </c>
      <c r="H13" s="12" t="s">
        <v>1423</v>
      </c>
      <c r="I13" s="12" t="s">
        <v>1423</v>
      </c>
      <c r="J13" s="12" t="s">
        <v>1423</v>
      </c>
      <c r="K13" s="12" t="s">
        <v>1423</v>
      </c>
      <c r="L13" s="12" t="s">
        <v>1423</v>
      </c>
      <c r="M13" s="12" t="s">
        <v>1423</v>
      </c>
      <c r="N13" s="12" t="s">
        <v>1423</v>
      </c>
      <c r="O13" s="12" t="s">
        <v>1423</v>
      </c>
      <c r="P13" s="12" t="s">
        <v>1423</v>
      </c>
      <c r="Q13" s="12" t="s">
        <v>1423</v>
      </c>
      <c r="R13" s="12" t="s">
        <v>1423</v>
      </c>
      <c r="S13" s="12" t="s">
        <v>1424</v>
      </c>
      <c r="T13" s="12" t="s">
        <v>1423</v>
      </c>
      <c r="U13" s="12" t="s">
        <v>1423</v>
      </c>
      <c r="V13" s="12" t="s">
        <v>1423</v>
      </c>
      <c r="W13" s="25" t="s">
        <v>1423</v>
      </c>
    </row>
    <row r="14" spans="1:23" x14ac:dyDescent="0.3">
      <c r="A14" s="26" t="s">
        <v>1446</v>
      </c>
      <c r="B14" s="27" t="s">
        <v>1447</v>
      </c>
      <c r="C14" s="27" t="s">
        <v>1419</v>
      </c>
      <c r="D14" s="12" t="s">
        <v>1433</v>
      </c>
      <c r="E14" s="12" t="s">
        <v>1421</v>
      </c>
      <c r="F14" s="12" t="s">
        <v>1434</v>
      </c>
      <c r="G14" s="12" t="s">
        <v>1435</v>
      </c>
      <c r="H14" s="12" t="s">
        <v>1435</v>
      </c>
      <c r="I14" s="12" t="s">
        <v>1435</v>
      </c>
      <c r="J14" s="12" t="s">
        <v>1423</v>
      </c>
      <c r="K14" s="12" t="s">
        <v>1423</v>
      </c>
      <c r="L14" s="12" t="s">
        <v>1423</v>
      </c>
      <c r="M14" s="12" t="s">
        <v>1423</v>
      </c>
      <c r="N14" s="12" t="s">
        <v>1423</v>
      </c>
      <c r="O14" s="12" t="s">
        <v>1423</v>
      </c>
      <c r="P14" s="12" t="s">
        <v>1423</v>
      </c>
      <c r="Q14" s="12" t="s">
        <v>1423</v>
      </c>
      <c r="R14" s="12" t="s">
        <v>1423</v>
      </c>
      <c r="S14" s="12" t="s">
        <v>1423</v>
      </c>
      <c r="T14" s="12" t="s">
        <v>1423</v>
      </c>
      <c r="U14" s="12" t="s">
        <v>1423</v>
      </c>
      <c r="V14" s="12" t="s">
        <v>1423</v>
      </c>
      <c r="W14" s="25" t="s">
        <v>1423</v>
      </c>
    </row>
    <row r="15" spans="1:23" x14ac:dyDescent="0.3">
      <c r="A15" s="26" t="s">
        <v>1448</v>
      </c>
      <c r="B15" s="27" t="s">
        <v>1449</v>
      </c>
      <c r="C15" s="27" t="s">
        <v>1419</v>
      </c>
      <c r="D15" s="12" t="s">
        <v>1420</v>
      </c>
      <c r="E15" s="12" t="s">
        <v>1427</v>
      </c>
      <c r="F15" s="12" t="s">
        <v>1428</v>
      </c>
      <c r="G15" s="12" t="s">
        <v>1423</v>
      </c>
      <c r="H15" s="12" t="s">
        <v>1423</v>
      </c>
      <c r="I15" s="12" t="s">
        <v>1423</v>
      </c>
      <c r="J15" s="12" t="s">
        <v>1423</v>
      </c>
      <c r="K15" s="12" t="s">
        <v>1423</v>
      </c>
      <c r="L15" s="12" t="s">
        <v>1423</v>
      </c>
      <c r="M15" s="12" t="s">
        <v>1423</v>
      </c>
      <c r="N15" s="12" t="s">
        <v>1423</v>
      </c>
      <c r="O15" s="12" t="s">
        <v>1423</v>
      </c>
      <c r="P15" s="12" t="s">
        <v>1423</v>
      </c>
      <c r="Q15" s="12" t="s">
        <v>1423</v>
      </c>
      <c r="R15" s="12" t="s">
        <v>1423</v>
      </c>
      <c r="S15" s="12" t="s">
        <v>1424</v>
      </c>
      <c r="T15" s="12" t="s">
        <v>1423</v>
      </c>
      <c r="U15" s="12" t="s">
        <v>1423</v>
      </c>
      <c r="V15" s="12" t="s">
        <v>1423</v>
      </c>
      <c r="W15" s="25" t="s">
        <v>1423</v>
      </c>
    </row>
    <row r="16" spans="1:23" x14ac:dyDescent="0.3">
      <c r="A16" s="26" t="s">
        <v>1450</v>
      </c>
      <c r="B16" s="27" t="s">
        <v>1451</v>
      </c>
      <c r="C16" s="27" t="s">
        <v>1419</v>
      </c>
      <c r="D16" s="12" t="s">
        <v>1420</v>
      </c>
      <c r="E16" s="12" t="s">
        <v>1421</v>
      </c>
      <c r="F16" s="12" t="s">
        <v>1422</v>
      </c>
      <c r="G16" s="12" t="s">
        <v>1423</v>
      </c>
      <c r="H16" s="12" t="s">
        <v>1423</v>
      </c>
      <c r="I16" s="12" t="s">
        <v>1423</v>
      </c>
      <c r="J16" s="12" t="s">
        <v>1423</v>
      </c>
      <c r="K16" s="12" t="s">
        <v>1423</v>
      </c>
      <c r="L16" s="12" t="s">
        <v>1423</v>
      </c>
      <c r="M16" s="12" t="s">
        <v>1423</v>
      </c>
      <c r="N16" s="12" t="s">
        <v>1423</v>
      </c>
      <c r="O16" s="12" t="s">
        <v>1423</v>
      </c>
      <c r="P16" s="12" t="s">
        <v>1423</v>
      </c>
      <c r="Q16" s="12" t="s">
        <v>1423</v>
      </c>
      <c r="R16" s="12" t="s">
        <v>1423</v>
      </c>
      <c r="S16" s="12" t="s">
        <v>1423</v>
      </c>
      <c r="T16" s="12" t="s">
        <v>1423</v>
      </c>
      <c r="U16" s="12" t="s">
        <v>1424</v>
      </c>
      <c r="V16" s="12" t="s">
        <v>1423</v>
      </c>
      <c r="W16" s="25" t="s">
        <v>1423</v>
      </c>
    </row>
    <row r="17" spans="1:23" x14ac:dyDescent="0.3">
      <c r="A17" s="26" t="s">
        <v>1452</v>
      </c>
      <c r="B17" s="27" t="s">
        <v>1453</v>
      </c>
      <c r="C17" s="27" t="s">
        <v>1419</v>
      </c>
      <c r="D17" s="12" t="s">
        <v>1433</v>
      </c>
      <c r="E17" s="12" t="s">
        <v>1421</v>
      </c>
      <c r="F17" s="12" t="s">
        <v>1434</v>
      </c>
      <c r="G17" s="12" t="s">
        <v>1435</v>
      </c>
      <c r="H17" s="12" t="s">
        <v>1435</v>
      </c>
      <c r="I17" s="12" t="s">
        <v>1435</v>
      </c>
      <c r="J17" s="12" t="s">
        <v>1435</v>
      </c>
      <c r="K17" s="12" t="s">
        <v>1423</v>
      </c>
      <c r="L17" s="12" t="s">
        <v>1423</v>
      </c>
      <c r="M17" s="12" t="s">
        <v>1423</v>
      </c>
      <c r="N17" s="12" t="s">
        <v>1423</v>
      </c>
      <c r="O17" s="12" t="s">
        <v>1423</v>
      </c>
      <c r="P17" s="12" t="s">
        <v>1423</v>
      </c>
      <c r="Q17" s="12" t="s">
        <v>1423</v>
      </c>
      <c r="R17" s="12" t="s">
        <v>1423</v>
      </c>
      <c r="S17" s="12" t="s">
        <v>1423</v>
      </c>
      <c r="T17" s="12" t="s">
        <v>1423</v>
      </c>
      <c r="U17" s="12" t="s">
        <v>1423</v>
      </c>
      <c r="V17" s="12" t="s">
        <v>1423</v>
      </c>
      <c r="W17" s="25" t="s">
        <v>1423</v>
      </c>
    </row>
    <row r="18" spans="1:23" x14ac:dyDescent="0.3">
      <c r="A18" s="26" t="s">
        <v>1454</v>
      </c>
      <c r="B18" s="27" t="s">
        <v>1455</v>
      </c>
      <c r="C18" s="27" t="s">
        <v>1419</v>
      </c>
      <c r="D18" s="12" t="s">
        <v>1420</v>
      </c>
      <c r="E18" s="12" t="s">
        <v>1427</v>
      </c>
      <c r="F18" s="12" t="s">
        <v>1428</v>
      </c>
      <c r="G18" s="12" t="s">
        <v>1423</v>
      </c>
      <c r="H18" s="12" t="s">
        <v>1423</v>
      </c>
      <c r="I18" s="12" t="s">
        <v>1423</v>
      </c>
      <c r="J18" s="12" t="s">
        <v>1423</v>
      </c>
      <c r="K18" s="12" t="s">
        <v>1423</v>
      </c>
      <c r="L18" s="12" t="s">
        <v>1423</v>
      </c>
      <c r="M18" s="12" t="s">
        <v>1423</v>
      </c>
      <c r="N18" s="12" t="s">
        <v>1423</v>
      </c>
      <c r="O18" s="12" t="s">
        <v>1423</v>
      </c>
      <c r="P18" s="12" t="s">
        <v>1423</v>
      </c>
      <c r="Q18" s="12" t="s">
        <v>1423</v>
      </c>
      <c r="R18" s="12" t="s">
        <v>1423</v>
      </c>
      <c r="S18" s="12" t="s">
        <v>1424</v>
      </c>
      <c r="T18" s="12" t="s">
        <v>1423</v>
      </c>
      <c r="U18" s="12" t="s">
        <v>1423</v>
      </c>
      <c r="V18" s="12" t="s">
        <v>1423</v>
      </c>
      <c r="W18" s="25" t="s">
        <v>1423</v>
      </c>
    </row>
    <row r="19" spans="1:23" x14ac:dyDescent="0.3">
      <c r="A19" s="26" t="s">
        <v>1456</v>
      </c>
      <c r="B19" s="27" t="s">
        <v>1457</v>
      </c>
      <c r="C19" s="27" t="s">
        <v>1419</v>
      </c>
      <c r="D19" s="12" t="s">
        <v>1433</v>
      </c>
      <c r="E19" s="12" t="s">
        <v>1421</v>
      </c>
      <c r="F19" s="12" t="s">
        <v>1434</v>
      </c>
      <c r="G19" s="12" t="s">
        <v>1435</v>
      </c>
      <c r="H19" s="12" t="s">
        <v>1435</v>
      </c>
      <c r="I19" s="12" t="s">
        <v>1435</v>
      </c>
      <c r="J19" s="12" t="s">
        <v>1435</v>
      </c>
      <c r="K19" s="12" t="s">
        <v>1423</v>
      </c>
      <c r="L19" s="12" t="s">
        <v>1423</v>
      </c>
      <c r="M19" s="12" t="s">
        <v>1423</v>
      </c>
      <c r="N19" s="12" t="s">
        <v>1423</v>
      </c>
      <c r="O19" s="12" t="s">
        <v>1423</v>
      </c>
      <c r="P19" s="12" t="s">
        <v>1435</v>
      </c>
      <c r="Q19" s="12" t="s">
        <v>1423</v>
      </c>
      <c r="R19" s="12" t="s">
        <v>1423</v>
      </c>
      <c r="S19" s="12" t="s">
        <v>1423</v>
      </c>
      <c r="T19" s="12" t="s">
        <v>1423</v>
      </c>
      <c r="U19" s="12" t="s">
        <v>1423</v>
      </c>
      <c r="V19" s="12" t="s">
        <v>1423</v>
      </c>
      <c r="W19" s="25" t="s">
        <v>1423</v>
      </c>
    </row>
    <row r="20" spans="1:23" x14ac:dyDescent="0.3">
      <c r="A20" s="26" t="s">
        <v>1458</v>
      </c>
      <c r="B20" s="27" t="s">
        <v>1459</v>
      </c>
      <c r="C20" s="27" t="s">
        <v>1419</v>
      </c>
      <c r="D20" s="12" t="s">
        <v>1420</v>
      </c>
      <c r="E20" s="12" t="s">
        <v>1427</v>
      </c>
      <c r="F20" s="12" t="s">
        <v>1428</v>
      </c>
      <c r="G20" s="12" t="s">
        <v>1423</v>
      </c>
      <c r="H20" s="12" t="s">
        <v>1423</v>
      </c>
      <c r="I20" s="12" t="s">
        <v>1423</v>
      </c>
      <c r="J20" s="12" t="s">
        <v>1423</v>
      </c>
      <c r="K20" s="12" t="s">
        <v>1423</v>
      </c>
      <c r="L20" s="12" t="s">
        <v>1423</v>
      </c>
      <c r="M20" s="12" t="s">
        <v>1423</v>
      </c>
      <c r="N20" s="12" t="s">
        <v>1423</v>
      </c>
      <c r="O20" s="12" t="s">
        <v>1423</v>
      </c>
      <c r="P20" s="12" t="s">
        <v>1423</v>
      </c>
      <c r="Q20" s="12" t="s">
        <v>1423</v>
      </c>
      <c r="R20" s="12" t="s">
        <v>1423</v>
      </c>
      <c r="S20" s="12" t="s">
        <v>1424</v>
      </c>
      <c r="T20" s="12" t="s">
        <v>1423</v>
      </c>
      <c r="U20" s="12" t="s">
        <v>1423</v>
      </c>
      <c r="V20" s="12" t="s">
        <v>1423</v>
      </c>
      <c r="W20" s="25" t="s">
        <v>1423</v>
      </c>
    </row>
    <row r="21" spans="1:23" x14ac:dyDescent="0.3">
      <c r="A21" s="26" t="s">
        <v>1460</v>
      </c>
      <c r="B21" s="27" t="s">
        <v>1461</v>
      </c>
      <c r="C21" s="27" t="s">
        <v>1419</v>
      </c>
      <c r="D21" s="12" t="s">
        <v>1433</v>
      </c>
      <c r="E21" s="12" t="s">
        <v>1421</v>
      </c>
      <c r="F21" s="12" t="s">
        <v>1434</v>
      </c>
      <c r="G21" s="12" t="s">
        <v>1435</v>
      </c>
      <c r="H21" s="12" t="s">
        <v>1435</v>
      </c>
      <c r="I21" s="12" t="s">
        <v>1435</v>
      </c>
      <c r="J21" s="12" t="s">
        <v>1423</v>
      </c>
      <c r="K21" s="12" t="s">
        <v>1435</v>
      </c>
      <c r="L21" s="12" t="s">
        <v>1435</v>
      </c>
      <c r="M21" s="12" t="s">
        <v>1435</v>
      </c>
      <c r="N21" s="12" t="s">
        <v>1423</v>
      </c>
      <c r="O21" s="12" t="s">
        <v>1423</v>
      </c>
      <c r="P21" s="12" t="s">
        <v>1423</v>
      </c>
      <c r="Q21" s="12" t="s">
        <v>1423</v>
      </c>
      <c r="R21" s="12" t="s">
        <v>1423</v>
      </c>
      <c r="S21" s="12" t="s">
        <v>1423</v>
      </c>
      <c r="T21" s="12" t="s">
        <v>1423</v>
      </c>
      <c r="U21" s="12" t="s">
        <v>1423</v>
      </c>
      <c r="V21" s="12" t="s">
        <v>1423</v>
      </c>
      <c r="W21" s="25" t="s">
        <v>1423</v>
      </c>
    </row>
    <row r="22" spans="1:23" x14ac:dyDescent="0.3">
      <c r="A22" s="26" t="s">
        <v>1462</v>
      </c>
      <c r="B22" s="27" t="s">
        <v>1463</v>
      </c>
      <c r="C22" s="27" t="s">
        <v>1419</v>
      </c>
      <c r="D22" s="12" t="s">
        <v>1433</v>
      </c>
      <c r="E22" s="12" t="s">
        <v>1421</v>
      </c>
      <c r="F22" s="12" t="s">
        <v>1434</v>
      </c>
      <c r="G22" s="12" t="s">
        <v>1435</v>
      </c>
      <c r="H22" s="12" t="s">
        <v>1435</v>
      </c>
      <c r="I22" s="12" t="s">
        <v>1435</v>
      </c>
      <c r="J22" s="12" t="s">
        <v>1423</v>
      </c>
      <c r="K22" s="12" t="s">
        <v>1435</v>
      </c>
      <c r="L22" s="12" t="s">
        <v>1435</v>
      </c>
      <c r="M22" s="12" t="s">
        <v>1435</v>
      </c>
      <c r="N22" s="12" t="s">
        <v>1423</v>
      </c>
      <c r="O22" s="12" t="s">
        <v>1423</v>
      </c>
      <c r="P22" s="12" t="s">
        <v>1423</v>
      </c>
      <c r="Q22" s="12" t="s">
        <v>1423</v>
      </c>
      <c r="R22" s="12" t="s">
        <v>1423</v>
      </c>
      <c r="S22" s="12" t="s">
        <v>1423</v>
      </c>
      <c r="T22" s="12" t="s">
        <v>1423</v>
      </c>
      <c r="U22" s="12" t="s">
        <v>1423</v>
      </c>
      <c r="V22" s="12" t="s">
        <v>1423</v>
      </c>
      <c r="W22" s="25" t="s">
        <v>1423</v>
      </c>
    </row>
    <row r="23" spans="1:23" x14ac:dyDescent="0.3">
      <c r="A23" s="26" t="s">
        <v>1464</v>
      </c>
      <c r="B23" s="27" t="s">
        <v>1465</v>
      </c>
      <c r="C23" s="27" t="s">
        <v>1419</v>
      </c>
      <c r="D23" s="12" t="s">
        <v>1433</v>
      </c>
      <c r="E23" s="12" t="s">
        <v>1421</v>
      </c>
      <c r="F23" s="12" t="s">
        <v>1434</v>
      </c>
      <c r="G23" s="12" t="s">
        <v>1435</v>
      </c>
      <c r="H23" s="12" t="s">
        <v>1435</v>
      </c>
      <c r="I23" s="12" t="s">
        <v>1435</v>
      </c>
      <c r="J23" s="12" t="s">
        <v>1435</v>
      </c>
      <c r="K23" s="12" t="s">
        <v>1423</v>
      </c>
      <c r="L23" s="12" t="s">
        <v>1423</v>
      </c>
      <c r="M23" s="12" t="s">
        <v>1423</v>
      </c>
      <c r="N23" s="12" t="s">
        <v>1423</v>
      </c>
      <c r="O23" s="12" t="s">
        <v>1423</v>
      </c>
      <c r="P23" s="12" t="s">
        <v>1423</v>
      </c>
      <c r="Q23" s="12" t="s">
        <v>1423</v>
      </c>
      <c r="R23" s="12" t="s">
        <v>1423</v>
      </c>
      <c r="S23" s="12" t="s">
        <v>1423</v>
      </c>
      <c r="T23" s="12" t="s">
        <v>1423</v>
      </c>
      <c r="U23" s="12" t="s">
        <v>1423</v>
      </c>
      <c r="V23" s="12" t="s">
        <v>1423</v>
      </c>
      <c r="W23" s="25" t="s">
        <v>1423</v>
      </c>
    </row>
    <row r="24" spans="1:23" x14ac:dyDescent="0.3">
      <c r="A24" s="26" t="s">
        <v>1466</v>
      </c>
      <c r="B24" s="27" t="s">
        <v>1467</v>
      </c>
      <c r="C24" s="27" t="s">
        <v>1419</v>
      </c>
      <c r="D24" s="12" t="s">
        <v>1420</v>
      </c>
      <c r="E24" s="12" t="s">
        <v>1421</v>
      </c>
      <c r="F24" s="12" t="s">
        <v>1422</v>
      </c>
      <c r="G24" s="12" t="s">
        <v>1423</v>
      </c>
      <c r="H24" s="12" t="s">
        <v>1423</v>
      </c>
      <c r="I24" s="12" t="s">
        <v>1423</v>
      </c>
      <c r="J24" s="12" t="s">
        <v>1423</v>
      </c>
      <c r="K24" s="12" t="s">
        <v>1423</v>
      </c>
      <c r="L24" s="12" t="s">
        <v>1423</v>
      </c>
      <c r="M24" s="12" t="s">
        <v>1423</v>
      </c>
      <c r="N24" s="12" t="s">
        <v>1423</v>
      </c>
      <c r="O24" s="12" t="s">
        <v>1423</v>
      </c>
      <c r="P24" s="12" t="s">
        <v>1423</v>
      </c>
      <c r="Q24" s="12" t="s">
        <v>1423</v>
      </c>
      <c r="R24" s="12" t="s">
        <v>1423</v>
      </c>
      <c r="S24" s="12" t="s">
        <v>1423</v>
      </c>
      <c r="T24" s="12" t="s">
        <v>1423</v>
      </c>
      <c r="U24" s="12" t="s">
        <v>1424</v>
      </c>
      <c r="V24" s="12" t="s">
        <v>1423</v>
      </c>
      <c r="W24" s="25" t="s">
        <v>1423</v>
      </c>
    </row>
    <row r="25" spans="1:23" x14ac:dyDescent="0.3">
      <c r="A25" s="26" t="s">
        <v>1468</v>
      </c>
      <c r="B25" s="27" t="s">
        <v>1469</v>
      </c>
      <c r="C25" s="27" t="s">
        <v>1419</v>
      </c>
      <c r="D25" s="12" t="s">
        <v>1420</v>
      </c>
      <c r="E25" s="12" t="s">
        <v>1427</v>
      </c>
      <c r="F25" s="12" t="s">
        <v>1428</v>
      </c>
      <c r="G25" s="12" t="s">
        <v>1423</v>
      </c>
      <c r="H25" s="12" t="s">
        <v>1423</v>
      </c>
      <c r="I25" s="12" t="s">
        <v>1423</v>
      </c>
      <c r="J25" s="12" t="s">
        <v>1423</v>
      </c>
      <c r="K25" s="12" t="s">
        <v>1423</v>
      </c>
      <c r="L25" s="12" t="s">
        <v>1423</v>
      </c>
      <c r="M25" s="12" t="s">
        <v>1423</v>
      </c>
      <c r="N25" s="12" t="s">
        <v>1423</v>
      </c>
      <c r="O25" s="12" t="s">
        <v>1423</v>
      </c>
      <c r="P25" s="12" t="s">
        <v>1423</v>
      </c>
      <c r="Q25" s="12" t="s">
        <v>1423</v>
      </c>
      <c r="R25" s="12" t="s">
        <v>1423</v>
      </c>
      <c r="S25" s="12" t="s">
        <v>1424</v>
      </c>
      <c r="T25" s="12" t="s">
        <v>1423</v>
      </c>
      <c r="U25" s="12" t="s">
        <v>1423</v>
      </c>
      <c r="V25" s="12" t="s">
        <v>1423</v>
      </c>
      <c r="W25" s="25" t="s">
        <v>1423</v>
      </c>
    </row>
    <row r="26" spans="1:23" x14ac:dyDescent="0.3">
      <c r="A26" s="26" t="s">
        <v>1470</v>
      </c>
      <c r="B26" s="27" t="s">
        <v>1471</v>
      </c>
      <c r="C26" s="27" t="s">
        <v>1419</v>
      </c>
      <c r="D26" s="12" t="s">
        <v>1420</v>
      </c>
      <c r="E26" s="12" t="s">
        <v>1427</v>
      </c>
      <c r="F26" s="12" t="s">
        <v>1428</v>
      </c>
      <c r="G26" s="12" t="s">
        <v>1423</v>
      </c>
      <c r="H26" s="12" t="s">
        <v>1423</v>
      </c>
      <c r="I26" s="12" t="s">
        <v>1423</v>
      </c>
      <c r="J26" s="12" t="s">
        <v>1423</v>
      </c>
      <c r="K26" s="12" t="s">
        <v>1423</v>
      </c>
      <c r="L26" s="12" t="s">
        <v>1423</v>
      </c>
      <c r="M26" s="12" t="s">
        <v>1423</v>
      </c>
      <c r="N26" s="12" t="s">
        <v>1423</v>
      </c>
      <c r="O26" s="12" t="s">
        <v>1423</v>
      </c>
      <c r="P26" s="12" t="s">
        <v>1423</v>
      </c>
      <c r="Q26" s="12" t="s">
        <v>1423</v>
      </c>
      <c r="R26" s="12" t="s">
        <v>1423</v>
      </c>
      <c r="S26" s="12" t="s">
        <v>1424</v>
      </c>
      <c r="T26" s="12" t="s">
        <v>1424</v>
      </c>
      <c r="U26" s="12" t="s">
        <v>1423</v>
      </c>
      <c r="V26" s="12" t="s">
        <v>1423</v>
      </c>
      <c r="W26" s="25" t="s">
        <v>1423</v>
      </c>
    </row>
    <row r="27" spans="1:23" x14ac:dyDescent="0.3">
      <c r="A27" s="26" t="s">
        <v>1472</v>
      </c>
      <c r="B27" s="27" t="s">
        <v>1473</v>
      </c>
      <c r="C27" s="27" t="s">
        <v>1419</v>
      </c>
      <c r="D27" s="12" t="s">
        <v>1420</v>
      </c>
      <c r="E27" s="12" t="s">
        <v>1427</v>
      </c>
      <c r="F27" s="12" t="s">
        <v>1428</v>
      </c>
      <c r="G27" s="12" t="s">
        <v>1423</v>
      </c>
      <c r="H27" s="12" t="s">
        <v>1423</v>
      </c>
      <c r="I27" s="12" t="s">
        <v>1423</v>
      </c>
      <c r="J27" s="12" t="s">
        <v>1423</v>
      </c>
      <c r="K27" s="12" t="s">
        <v>1423</v>
      </c>
      <c r="L27" s="12" t="s">
        <v>1423</v>
      </c>
      <c r="M27" s="12" t="s">
        <v>1423</v>
      </c>
      <c r="N27" s="12" t="s">
        <v>1423</v>
      </c>
      <c r="O27" s="12" t="s">
        <v>1423</v>
      </c>
      <c r="P27" s="12" t="s">
        <v>1423</v>
      </c>
      <c r="Q27" s="12" t="s">
        <v>1423</v>
      </c>
      <c r="R27" s="12" t="s">
        <v>1423</v>
      </c>
      <c r="S27" s="12" t="s">
        <v>1424</v>
      </c>
      <c r="T27" s="12" t="s">
        <v>1423</v>
      </c>
      <c r="U27" s="12" t="s">
        <v>1423</v>
      </c>
      <c r="V27" s="12" t="s">
        <v>1423</v>
      </c>
      <c r="W27" s="25" t="s">
        <v>1435</v>
      </c>
    </row>
    <row r="28" spans="1:23" x14ac:dyDescent="0.3">
      <c r="A28" s="26" t="s">
        <v>1474</v>
      </c>
      <c r="B28" s="27" t="s">
        <v>1475</v>
      </c>
      <c r="C28" s="27" t="s">
        <v>1419</v>
      </c>
      <c r="D28" s="12" t="s">
        <v>1420</v>
      </c>
      <c r="E28" s="12" t="s">
        <v>1427</v>
      </c>
      <c r="F28" s="12" t="s">
        <v>1428</v>
      </c>
      <c r="G28" s="12" t="s">
        <v>1423</v>
      </c>
      <c r="H28" s="12" t="s">
        <v>1423</v>
      </c>
      <c r="I28" s="12" t="s">
        <v>1423</v>
      </c>
      <c r="J28" s="12" t="s">
        <v>1423</v>
      </c>
      <c r="K28" s="12" t="s">
        <v>1423</v>
      </c>
      <c r="L28" s="12" t="s">
        <v>1423</v>
      </c>
      <c r="M28" s="12" t="s">
        <v>1423</v>
      </c>
      <c r="N28" s="12" t="s">
        <v>1423</v>
      </c>
      <c r="O28" s="12" t="s">
        <v>1423</v>
      </c>
      <c r="P28" s="12" t="s">
        <v>1423</v>
      </c>
      <c r="Q28" s="12" t="s">
        <v>1423</v>
      </c>
      <c r="R28" s="12" t="s">
        <v>1423</v>
      </c>
      <c r="S28" s="12" t="s">
        <v>1424</v>
      </c>
      <c r="T28" s="12" t="s">
        <v>1423</v>
      </c>
      <c r="U28" s="12" t="s">
        <v>1423</v>
      </c>
      <c r="V28" s="12" t="s">
        <v>1423</v>
      </c>
      <c r="W28" s="25" t="s">
        <v>1423</v>
      </c>
    </row>
    <row r="29" spans="1:23" x14ac:dyDescent="0.3">
      <c r="A29" s="26" t="s">
        <v>1476</v>
      </c>
      <c r="B29" s="27" t="s">
        <v>1477</v>
      </c>
      <c r="C29" s="27" t="s">
        <v>1419</v>
      </c>
      <c r="D29" s="12" t="s">
        <v>1420</v>
      </c>
      <c r="E29" s="12" t="s">
        <v>1427</v>
      </c>
      <c r="F29" s="12" t="s">
        <v>1428</v>
      </c>
      <c r="G29" s="12" t="s">
        <v>1423</v>
      </c>
      <c r="H29" s="12" t="s">
        <v>1423</v>
      </c>
      <c r="I29" s="12" t="s">
        <v>1423</v>
      </c>
      <c r="J29" s="12" t="s">
        <v>1423</v>
      </c>
      <c r="K29" s="12" t="s">
        <v>1423</v>
      </c>
      <c r="L29" s="12" t="s">
        <v>1423</v>
      </c>
      <c r="M29" s="12" t="s">
        <v>1423</v>
      </c>
      <c r="N29" s="12" t="s">
        <v>1423</v>
      </c>
      <c r="O29" s="12" t="s">
        <v>1423</v>
      </c>
      <c r="P29" s="12" t="s">
        <v>1423</v>
      </c>
      <c r="Q29" s="12" t="s">
        <v>1423</v>
      </c>
      <c r="R29" s="12" t="s">
        <v>1423</v>
      </c>
      <c r="S29" s="12" t="s">
        <v>1424</v>
      </c>
      <c r="T29" s="12" t="s">
        <v>1423</v>
      </c>
      <c r="U29" s="12" t="s">
        <v>1423</v>
      </c>
      <c r="V29" s="12" t="s">
        <v>1423</v>
      </c>
      <c r="W29" s="25" t="s">
        <v>1423</v>
      </c>
    </row>
    <row r="30" spans="1:23" x14ac:dyDescent="0.3">
      <c r="A30" s="26" t="s">
        <v>1478</v>
      </c>
      <c r="B30" s="27" t="s">
        <v>1479</v>
      </c>
      <c r="C30" s="27" t="s">
        <v>1419</v>
      </c>
      <c r="D30" s="12" t="s">
        <v>1433</v>
      </c>
      <c r="E30" s="12" t="s">
        <v>1421</v>
      </c>
      <c r="F30" s="12" t="s">
        <v>1434</v>
      </c>
      <c r="G30" s="12" t="s">
        <v>1435</v>
      </c>
      <c r="H30" s="12" t="s">
        <v>1435</v>
      </c>
      <c r="I30" s="12" t="s">
        <v>1435</v>
      </c>
      <c r="J30" s="12" t="s">
        <v>1423</v>
      </c>
      <c r="K30" s="12" t="s">
        <v>1423</v>
      </c>
      <c r="L30" s="12" t="s">
        <v>1423</v>
      </c>
      <c r="M30" s="12" t="s">
        <v>1423</v>
      </c>
      <c r="N30" s="12" t="s">
        <v>1423</v>
      </c>
      <c r="O30" s="12" t="s">
        <v>1423</v>
      </c>
      <c r="P30" s="12" t="s">
        <v>1423</v>
      </c>
      <c r="Q30" s="12" t="s">
        <v>1423</v>
      </c>
      <c r="R30" s="12" t="s">
        <v>1423</v>
      </c>
      <c r="S30" s="12" t="s">
        <v>1423</v>
      </c>
      <c r="T30" s="12" t="s">
        <v>1423</v>
      </c>
      <c r="U30" s="12" t="s">
        <v>1423</v>
      </c>
      <c r="V30" s="12" t="s">
        <v>1423</v>
      </c>
      <c r="W30" s="25" t="s">
        <v>1423</v>
      </c>
    </row>
    <row r="31" spans="1:23" x14ac:dyDescent="0.3">
      <c r="A31" s="26" t="s">
        <v>1480</v>
      </c>
      <c r="B31" s="27" t="s">
        <v>1481</v>
      </c>
      <c r="C31" s="27" t="s">
        <v>1419</v>
      </c>
      <c r="D31" s="12" t="s">
        <v>1420</v>
      </c>
      <c r="E31" s="12" t="s">
        <v>1427</v>
      </c>
      <c r="F31" s="12" t="s">
        <v>1428</v>
      </c>
      <c r="G31" s="12" t="s">
        <v>1423</v>
      </c>
      <c r="H31" s="12" t="s">
        <v>1423</v>
      </c>
      <c r="I31" s="12" t="s">
        <v>1423</v>
      </c>
      <c r="J31" s="12" t="s">
        <v>1423</v>
      </c>
      <c r="K31" s="12" t="s">
        <v>1423</v>
      </c>
      <c r="L31" s="12" t="s">
        <v>1423</v>
      </c>
      <c r="M31" s="12" t="s">
        <v>1423</v>
      </c>
      <c r="N31" s="12" t="s">
        <v>1423</v>
      </c>
      <c r="O31" s="12" t="s">
        <v>1423</v>
      </c>
      <c r="P31" s="12" t="s">
        <v>1423</v>
      </c>
      <c r="Q31" s="12" t="s">
        <v>1423</v>
      </c>
      <c r="R31" s="12" t="s">
        <v>1423</v>
      </c>
      <c r="S31" s="12" t="s">
        <v>1424</v>
      </c>
      <c r="T31" s="12" t="s">
        <v>1423</v>
      </c>
      <c r="U31" s="12" t="s">
        <v>1423</v>
      </c>
      <c r="V31" s="12" t="s">
        <v>1423</v>
      </c>
      <c r="W31" s="25" t="s">
        <v>1423</v>
      </c>
    </row>
    <row r="32" spans="1:23" x14ac:dyDescent="0.3">
      <c r="A32" s="26" t="s">
        <v>1482</v>
      </c>
      <c r="B32" s="27" t="s">
        <v>1483</v>
      </c>
      <c r="C32" s="27" t="s">
        <v>1419</v>
      </c>
      <c r="D32" s="12" t="s">
        <v>1433</v>
      </c>
      <c r="E32" s="12" t="s">
        <v>1421</v>
      </c>
      <c r="F32" s="12" t="s">
        <v>1434</v>
      </c>
      <c r="G32" s="12" t="s">
        <v>1435</v>
      </c>
      <c r="H32" s="12" t="s">
        <v>1435</v>
      </c>
      <c r="I32" s="12" t="s">
        <v>1435</v>
      </c>
      <c r="J32" s="12" t="s">
        <v>1435</v>
      </c>
      <c r="K32" s="12" t="s">
        <v>1435</v>
      </c>
      <c r="L32" s="12" t="s">
        <v>1435</v>
      </c>
      <c r="M32" s="12" t="s">
        <v>1435</v>
      </c>
      <c r="N32" s="12" t="s">
        <v>1435</v>
      </c>
      <c r="O32" s="12" t="s">
        <v>1435</v>
      </c>
      <c r="P32" s="12" t="s">
        <v>1435</v>
      </c>
      <c r="Q32" s="12" t="s">
        <v>1423</v>
      </c>
      <c r="R32" s="12" t="s">
        <v>1423</v>
      </c>
      <c r="S32" s="12" t="s">
        <v>1423</v>
      </c>
      <c r="T32" s="12" t="s">
        <v>1424</v>
      </c>
      <c r="U32" s="12" t="s">
        <v>1423</v>
      </c>
      <c r="V32" s="12" t="s">
        <v>1423</v>
      </c>
      <c r="W32" s="25" t="s">
        <v>1423</v>
      </c>
    </row>
    <row r="33" spans="1:23" x14ac:dyDescent="0.3">
      <c r="A33" s="26" t="s">
        <v>1484</v>
      </c>
      <c r="B33" s="27" t="s">
        <v>1485</v>
      </c>
      <c r="C33" s="27" t="s">
        <v>1419</v>
      </c>
      <c r="D33" s="12" t="s">
        <v>1433</v>
      </c>
      <c r="E33" s="12" t="s">
        <v>1421</v>
      </c>
      <c r="F33" s="12" t="s">
        <v>1434</v>
      </c>
      <c r="G33" s="12" t="s">
        <v>1423</v>
      </c>
      <c r="H33" s="12" t="s">
        <v>1423</v>
      </c>
      <c r="I33" s="12" t="s">
        <v>1435</v>
      </c>
      <c r="J33" s="12" t="s">
        <v>1423</v>
      </c>
      <c r="K33" s="12" t="s">
        <v>1423</v>
      </c>
      <c r="L33" s="12" t="s">
        <v>1423</v>
      </c>
      <c r="M33" s="12" t="s">
        <v>1423</v>
      </c>
      <c r="N33" s="12" t="s">
        <v>1423</v>
      </c>
      <c r="O33" s="12" t="s">
        <v>1423</v>
      </c>
      <c r="P33" s="12" t="s">
        <v>1423</v>
      </c>
      <c r="Q33" s="12" t="s">
        <v>1423</v>
      </c>
      <c r="R33" s="12" t="s">
        <v>1423</v>
      </c>
      <c r="S33" s="12" t="s">
        <v>1423</v>
      </c>
      <c r="T33" s="12" t="s">
        <v>1423</v>
      </c>
      <c r="U33" s="12" t="s">
        <v>1423</v>
      </c>
      <c r="V33" s="12" t="s">
        <v>1423</v>
      </c>
      <c r="W33" s="25" t="s">
        <v>1423</v>
      </c>
    </row>
    <row r="34" spans="1:23" x14ac:dyDescent="0.3">
      <c r="A34" s="26" t="s">
        <v>1486</v>
      </c>
      <c r="B34" s="27" t="s">
        <v>1487</v>
      </c>
      <c r="C34" s="27" t="s">
        <v>1419</v>
      </c>
      <c r="D34" s="12" t="s">
        <v>1433</v>
      </c>
      <c r="E34" s="12" t="s">
        <v>1421</v>
      </c>
      <c r="F34" s="12" t="s">
        <v>1434</v>
      </c>
      <c r="G34" s="12" t="s">
        <v>1423</v>
      </c>
      <c r="H34" s="12" t="s">
        <v>1423</v>
      </c>
      <c r="I34" s="12" t="s">
        <v>1423</v>
      </c>
      <c r="J34" s="12" t="s">
        <v>1423</v>
      </c>
      <c r="K34" s="12" t="s">
        <v>1435</v>
      </c>
      <c r="L34" s="12" t="s">
        <v>1435</v>
      </c>
      <c r="M34" s="12" t="s">
        <v>1435</v>
      </c>
      <c r="N34" s="12" t="s">
        <v>1435</v>
      </c>
      <c r="O34" s="12" t="s">
        <v>1435</v>
      </c>
      <c r="P34" s="12" t="s">
        <v>1423</v>
      </c>
      <c r="Q34" s="12" t="s">
        <v>1423</v>
      </c>
      <c r="R34" s="12" t="s">
        <v>1423</v>
      </c>
      <c r="S34" s="12" t="s">
        <v>1423</v>
      </c>
      <c r="T34" s="12" t="s">
        <v>1423</v>
      </c>
      <c r="U34" s="12" t="s">
        <v>1423</v>
      </c>
      <c r="V34" s="12" t="s">
        <v>1423</v>
      </c>
      <c r="W34" s="25" t="s">
        <v>1423</v>
      </c>
    </row>
    <row r="35" spans="1:23" x14ac:dyDescent="0.3">
      <c r="A35" s="26" t="s">
        <v>1488</v>
      </c>
      <c r="B35" s="27" t="s">
        <v>1489</v>
      </c>
      <c r="C35" s="27" t="s">
        <v>1419</v>
      </c>
      <c r="D35" s="12" t="s">
        <v>1433</v>
      </c>
      <c r="E35" s="12" t="s">
        <v>1421</v>
      </c>
      <c r="F35" s="12" t="s">
        <v>1434</v>
      </c>
      <c r="G35" s="12" t="s">
        <v>1423</v>
      </c>
      <c r="H35" s="12" t="s">
        <v>1423</v>
      </c>
      <c r="I35" s="12" t="s">
        <v>1423</v>
      </c>
      <c r="J35" s="12" t="s">
        <v>1423</v>
      </c>
      <c r="K35" s="12" t="s">
        <v>1435</v>
      </c>
      <c r="L35" s="12" t="s">
        <v>1435</v>
      </c>
      <c r="M35" s="12" t="s">
        <v>1435</v>
      </c>
      <c r="N35" s="12" t="s">
        <v>1435</v>
      </c>
      <c r="O35" s="12" t="s">
        <v>1435</v>
      </c>
      <c r="P35" s="12" t="s">
        <v>1423</v>
      </c>
      <c r="Q35" s="12" t="s">
        <v>1423</v>
      </c>
      <c r="R35" s="12" t="s">
        <v>1423</v>
      </c>
      <c r="S35" s="12" t="s">
        <v>1423</v>
      </c>
      <c r="T35" s="12" t="s">
        <v>1423</v>
      </c>
      <c r="U35" s="12" t="s">
        <v>1423</v>
      </c>
      <c r="V35" s="12" t="s">
        <v>1423</v>
      </c>
      <c r="W35" s="25" t="s">
        <v>1423</v>
      </c>
    </row>
    <row r="36" spans="1:23" x14ac:dyDescent="0.3">
      <c r="A36" s="26" t="s">
        <v>1490</v>
      </c>
      <c r="B36" s="27" t="s">
        <v>1491</v>
      </c>
      <c r="C36" s="27" t="s">
        <v>1419</v>
      </c>
      <c r="D36" s="12" t="s">
        <v>1420</v>
      </c>
      <c r="E36" s="12" t="s">
        <v>1427</v>
      </c>
      <c r="F36" s="12" t="s">
        <v>1428</v>
      </c>
      <c r="G36" s="12" t="s">
        <v>1423</v>
      </c>
      <c r="H36" s="12" t="s">
        <v>1423</v>
      </c>
      <c r="I36" s="12" t="s">
        <v>1423</v>
      </c>
      <c r="J36" s="12" t="s">
        <v>1423</v>
      </c>
      <c r="K36" s="12" t="s">
        <v>1423</v>
      </c>
      <c r="L36" s="12" t="s">
        <v>1423</v>
      </c>
      <c r="M36" s="12" t="s">
        <v>1423</v>
      </c>
      <c r="N36" s="12" t="s">
        <v>1423</v>
      </c>
      <c r="O36" s="12" t="s">
        <v>1423</v>
      </c>
      <c r="P36" s="12" t="s">
        <v>1423</v>
      </c>
      <c r="Q36" s="12" t="s">
        <v>1423</v>
      </c>
      <c r="R36" s="12" t="s">
        <v>1423</v>
      </c>
      <c r="S36" s="12" t="s">
        <v>1424</v>
      </c>
      <c r="T36" s="12" t="s">
        <v>1423</v>
      </c>
      <c r="U36" s="12" t="s">
        <v>1423</v>
      </c>
      <c r="V36" s="12" t="s">
        <v>1423</v>
      </c>
      <c r="W36" s="25" t="s">
        <v>1423</v>
      </c>
    </row>
    <row r="37" spans="1:23" x14ac:dyDescent="0.3">
      <c r="A37" s="26" t="s">
        <v>1492</v>
      </c>
      <c r="B37" s="27" t="s">
        <v>1493</v>
      </c>
      <c r="C37" s="27" t="s">
        <v>1419</v>
      </c>
      <c r="D37" s="12" t="s">
        <v>1420</v>
      </c>
      <c r="E37" s="12" t="s">
        <v>1421</v>
      </c>
      <c r="F37" s="12" t="s">
        <v>1422</v>
      </c>
      <c r="G37" s="12" t="s">
        <v>1423</v>
      </c>
      <c r="H37" s="12" t="s">
        <v>1423</v>
      </c>
      <c r="I37" s="12" t="s">
        <v>1423</v>
      </c>
      <c r="J37" s="12" t="s">
        <v>1423</v>
      </c>
      <c r="K37" s="12" t="s">
        <v>1423</v>
      </c>
      <c r="L37" s="12" t="s">
        <v>1423</v>
      </c>
      <c r="M37" s="12" t="s">
        <v>1423</v>
      </c>
      <c r="N37" s="12" t="s">
        <v>1423</v>
      </c>
      <c r="O37" s="12" t="s">
        <v>1423</v>
      </c>
      <c r="P37" s="12" t="s">
        <v>1423</v>
      </c>
      <c r="Q37" s="12" t="s">
        <v>1423</v>
      </c>
      <c r="R37" s="12" t="s">
        <v>1423</v>
      </c>
      <c r="S37" s="12" t="s">
        <v>1423</v>
      </c>
      <c r="T37" s="12" t="s">
        <v>1423</v>
      </c>
      <c r="U37" s="12" t="s">
        <v>1423</v>
      </c>
      <c r="V37" s="12" t="s">
        <v>1423</v>
      </c>
      <c r="W37" s="25" t="s">
        <v>1423</v>
      </c>
    </row>
    <row r="38" spans="1:23" x14ac:dyDescent="0.3">
      <c r="A38" s="26" t="s">
        <v>1494</v>
      </c>
      <c r="B38" s="27" t="s">
        <v>1495</v>
      </c>
      <c r="C38" s="27" t="s">
        <v>1419</v>
      </c>
      <c r="D38" s="12" t="s">
        <v>1420</v>
      </c>
      <c r="E38" s="12" t="s">
        <v>1427</v>
      </c>
      <c r="F38" s="12" t="s">
        <v>1428</v>
      </c>
      <c r="G38" s="12" t="s">
        <v>1423</v>
      </c>
      <c r="H38" s="12" t="s">
        <v>1423</v>
      </c>
      <c r="I38" s="12" t="s">
        <v>1423</v>
      </c>
      <c r="J38" s="12" t="s">
        <v>1423</v>
      </c>
      <c r="K38" s="12" t="s">
        <v>1423</v>
      </c>
      <c r="L38" s="12" t="s">
        <v>1423</v>
      </c>
      <c r="M38" s="12" t="s">
        <v>1423</v>
      </c>
      <c r="N38" s="12" t="s">
        <v>1423</v>
      </c>
      <c r="O38" s="12" t="s">
        <v>1423</v>
      </c>
      <c r="P38" s="12" t="s">
        <v>1423</v>
      </c>
      <c r="Q38" s="12" t="s">
        <v>1423</v>
      </c>
      <c r="R38" s="12" t="s">
        <v>1423</v>
      </c>
      <c r="S38" s="12" t="s">
        <v>1424</v>
      </c>
      <c r="T38" s="12" t="s">
        <v>1423</v>
      </c>
      <c r="U38" s="12" t="s">
        <v>1423</v>
      </c>
      <c r="V38" s="12" t="s">
        <v>1423</v>
      </c>
      <c r="W38" s="25" t="s">
        <v>1423</v>
      </c>
    </row>
    <row r="39" spans="1:23" x14ac:dyDescent="0.3">
      <c r="A39" s="26" t="s">
        <v>1496</v>
      </c>
      <c r="B39" s="27" t="s">
        <v>1497</v>
      </c>
      <c r="C39" s="27" t="s">
        <v>1419</v>
      </c>
      <c r="D39" s="12" t="s">
        <v>1433</v>
      </c>
      <c r="E39" s="12" t="s">
        <v>1421</v>
      </c>
      <c r="F39" s="12" t="s">
        <v>1434</v>
      </c>
      <c r="G39" s="12" t="s">
        <v>1423</v>
      </c>
      <c r="H39" s="12" t="s">
        <v>1423</v>
      </c>
      <c r="I39" s="12" t="s">
        <v>1423</v>
      </c>
      <c r="J39" s="12" t="s">
        <v>1423</v>
      </c>
      <c r="K39" s="12" t="s">
        <v>1435</v>
      </c>
      <c r="L39" s="12" t="s">
        <v>1435</v>
      </c>
      <c r="M39" s="12" t="s">
        <v>1435</v>
      </c>
      <c r="N39" s="12" t="s">
        <v>1435</v>
      </c>
      <c r="O39" s="12" t="s">
        <v>1435</v>
      </c>
      <c r="P39" s="12" t="s">
        <v>1423</v>
      </c>
      <c r="Q39" s="12" t="s">
        <v>1423</v>
      </c>
      <c r="R39" s="12" t="s">
        <v>1423</v>
      </c>
      <c r="S39" s="12" t="s">
        <v>1423</v>
      </c>
      <c r="T39" s="12" t="s">
        <v>1423</v>
      </c>
      <c r="U39" s="12" t="s">
        <v>1423</v>
      </c>
      <c r="V39" s="12" t="s">
        <v>1423</v>
      </c>
      <c r="W39" s="25" t="s">
        <v>1423</v>
      </c>
    </row>
    <row r="40" spans="1:23" x14ac:dyDescent="0.3">
      <c r="A40" s="26" t="s">
        <v>1498</v>
      </c>
      <c r="B40" s="27" t="s">
        <v>1499</v>
      </c>
      <c r="C40" s="27" t="s">
        <v>1419</v>
      </c>
      <c r="D40" s="12" t="s">
        <v>1420</v>
      </c>
      <c r="E40" s="12" t="s">
        <v>1421</v>
      </c>
      <c r="F40" s="12" t="s">
        <v>1500</v>
      </c>
      <c r="G40" s="12" t="s">
        <v>1423</v>
      </c>
      <c r="H40" s="12" t="s">
        <v>1423</v>
      </c>
      <c r="I40" s="12" t="s">
        <v>1423</v>
      </c>
      <c r="J40" s="12" t="s">
        <v>1423</v>
      </c>
      <c r="K40" s="12" t="s">
        <v>1423</v>
      </c>
      <c r="L40" s="12" t="s">
        <v>1423</v>
      </c>
      <c r="M40" s="12" t="s">
        <v>1423</v>
      </c>
      <c r="N40" s="12" t="s">
        <v>1423</v>
      </c>
      <c r="O40" s="12" t="s">
        <v>1423</v>
      </c>
      <c r="P40" s="12" t="s">
        <v>1423</v>
      </c>
      <c r="Q40" s="12" t="s">
        <v>1423</v>
      </c>
      <c r="R40" s="12" t="s">
        <v>1423</v>
      </c>
      <c r="S40" s="12" t="s">
        <v>1423</v>
      </c>
      <c r="T40" s="12" t="s">
        <v>1424</v>
      </c>
      <c r="U40" s="12" t="s">
        <v>1423</v>
      </c>
      <c r="V40" s="12" t="s">
        <v>1423</v>
      </c>
      <c r="W40" s="25" t="s">
        <v>1423</v>
      </c>
    </row>
    <row r="41" spans="1:23" x14ac:dyDescent="0.3">
      <c r="A41" s="26" t="s">
        <v>1501</v>
      </c>
      <c r="B41" s="27" t="s">
        <v>1502</v>
      </c>
      <c r="C41" s="27" t="s">
        <v>1419</v>
      </c>
      <c r="D41" s="12" t="s">
        <v>1433</v>
      </c>
      <c r="E41" s="12" t="s">
        <v>1421</v>
      </c>
      <c r="F41" s="12" t="s">
        <v>1434</v>
      </c>
      <c r="G41" s="12" t="s">
        <v>1423</v>
      </c>
      <c r="H41" s="12" t="s">
        <v>1423</v>
      </c>
      <c r="I41" s="12" t="s">
        <v>1423</v>
      </c>
      <c r="J41" s="12" t="s">
        <v>1423</v>
      </c>
      <c r="K41" s="12" t="s">
        <v>1435</v>
      </c>
      <c r="L41" s="12" t="s">
        <v>1435</v>
      </c>
      <c r="M41" s="12" t="s">
        <v>1435</v>
      </c>
      <c r="N41" s="12" t="s">
        <v>1435</v>
      </c>
      <c r="O41" s="12" t="s">
        <v>1435</v>
      </c>
      <c r="P41" s="12" t="s">
        <v>1423</v>
      </c>
      <c r="Q41" s="12" t="s">
        <v>1423</v>
      </c>
      <c r="R41" s="12" t="s">
        <v>1423</v>
      </c>
      <c r="S41" s="12" t="s">
        <v>1423</v>
      </c>
      <c r="T41" s="12" t="s">
        <v>1423</v>
      </c>
      <c r="U41" s="12" t="s">
        <v>1423</v>
      </c>
      <c r="V41" s="12" t="s">
        <v>1423</v>
      </c>
      <c r="W41" s="25" t="s">
        <v>1423</v>
      </c>
    </row>
    <row r="42" spans="1:23" x14ac:dyDescent="0.3">
      <c r="A42" s="26" t="s">
        <v>1503</v>
      </c>
      <c r="B42" s="27" t="s">
        <v>1504</v>
      </c>
      <c r="C42" s="27" t="s">
        <v>1419</v>
      </c>
      <c r="D42" s="12" t="s">
        <v>1433</v>
      </c>
      <c r="E42" s="12" t="s">
        <v>1421</v>
      </c>
      <c r="F42" s="12" t="s">
        <v>1434</v>
      </c>
      <c r="G42" s="12" t="s">
        <v>1423</v>
      </c>
      <c r="H42" s="12" t="s">
        <v>1423</v>
      </c>
      <c r="I42" s="12" t="s">
        <v>1423</v>
      </c>
      <c r="J42" s="12" t="s">
        <v>1423</v>
      </c>
      <c r="K42" s="12" t="s">
        <v>1435</v>
      </c>
      <c r="L42" s="12" t="s">
        <v>1435</v>
      </c>
      <c r="M42" s="12" t="s">
        <v>1435</v>
      </c>
      <c r="N42" s="12" t="s">
        <v>1435</v>
      </c>
      <c r="O42" s="12" t="s">
        <v>1435</v>
      </c>
      <c r="P42" s="12" t="s">
        <v>1423</v>
      </c>
      <c r="Q42" s="12" t="s">
        <v>1423</v>
      </c>
      <c r="R42" s="12" t="s">
        <v>1423</v>
      </c>
      <c r="S42" s="12" t="s">
        <v>1423</v>
      </c>
      <c r="T42" s="12" t="s">
        <v>1423</v>
      </c>
      <c r="U42" s="12" t="s">
        <v>1423</v>
      </c>
      <c r="V42" s="12" t="s">
        <v>1423</v>
      </c>
      <c r="W42" s="25" t="s">
        <v>1423</v>
      </c>
    </row>
    <row r="43" spans="1:23" x14ac:dyDescent="0.3">
      <c r="A43" s="26" t="s">
        <v>1505</v>
      </c>
      <c r="B43" s="27" t="s">
        <v>1506</v>
      </c>
      <c r="C43" s="27" t="s">
        <v>1419</v>
      </c>
      <c r="D43" s="12" t="s">
        <v>1433</v>
      </c>
      <c r="E43" s="12" t="s">
        <v>1421</v>
      </c>
      <c r="F43" s="12" t="s">
        <v>1434</v>
      </c>
      <c r="G43" s="12" t="s">
        <v>1435</v>
      </c>
      <c r="H43" s="12" t="s">
        <v>1435</v>
      </c>
      <c r="I43" s="12" t="s">
        <v>1435</v>
      </c>
      <c r="J43" s="12" t="s">
        <v>1435</v>
      </c>
      <c r="K43" s="12" t="s">
        <v>1423</v>
      </c>
      <c r="L43" s="12" t="s">
        <v>1423</v>
      </c>
      <c r="M43" s="12" t="s">
        <v>1423</v>
      </c>
      <c r="N43" s="12" t="s">
        <v>1423</v>
      </c>
      <c r="O43" s="12" t="s">
        <v>1423</v>
      </c>
      <c r="P43" s="12" t="s">
        <v>1423</v>
      </c>
      <c r="Q43" s="12" t="s">
        <v>1423</v>
      </c>
      <c r="R43" s="12" t="s">
        <v>1423</v>
      </c>
      <c r="S43" s="12" t="s">
        <v>1423</v>
      </c>
      <c r="T43" s="12" t="s">
        <v>1423</v>
      </c>
      <c r="U43" s="12" t="s">
        <v>1423</v>
      </c>
      <c r="V43" s="12" t="s">
        <v>1423</v>
      </c>
      <c r="W43" s="25" t="s">
        <v>1423</v>
      </c>
    </row>
    <row r="44" spans="1:23" x14ac:dyDescent="0.3">
      <c r="A44" s="26" t="s">
        <v>1507</v>
      </c>
      <c r="B44" s="27" t="s">
        <v>1508</v>
      </c>
      <c r="C44" s="27" t="s">
        <v>1419</v>
      </c>
      <c r="D44" s="12" t="s">
        <v>1433</v>
      </c>
      <c r="E44" s="12" t="s">
        <v>1421</v>
      </c>
      <c r="F44" s="12" t="s">
        <v>1434</v>
      </c>
      <c r="G44" s="12" t="s">
        <v>1423</v>
      </c>
      <c r="H44" s="12" t="s">
        <v>1423</v>
      </c>
      <c r="I44" s="12" t="s">
        <v>1423</v>
      </c>
      <c r="J44" s="12" t="s">
        <v>1423</v>
      </c>
      <c r="K44" s="12" t="s">
        <v>1435</v>
      </c>
      <c r="L44" s="12" t="s">
        <v>1435</v>
      </c>
      <c r="M44" s="12" t="s">
        <v>1435</v>
      </c>
      <c r="N44" s="12" t="s">
        <v>1435</v>
      </c>
      <c r="O44" s="12" t="s">
        <v>1435</v>
      </c>
      <c r="P44" s="12" t="s">
        <v>1423</v>
      </c>
      <c r="Q44" s="12" t="s">
        <v>1423</v>
      </c>
      <c r="R44" s="12" t="s">
        <v>1423</v>
      </c>
      <c r="S44" s="12" t="s">
        <v>1423</v>
      </c>
      <c r="T44" s="12" t="s">
        <v>1423</v>
      </c>
      <c r="U44" s="12" t="s">
        <v>1423</v>
      </c>
      <c r="V44" s="12" t="s">
        <v>1423</v>
      </c>
      <c r="W44" s="25" t="s">
        <v>1423</v>
      </c>
    </row>
    <row r="45" spans="1:23" x14ac:dyDescent="0.3">
      <c r="A45" s="26" t="s">
        <v>1509</v>
      </c>
      <c r="B45" s="27" t="s">
        <v>1510</v>
      </c>
      <c r="C45" s="27" t="s">
        <v>1419</v>
      </c>
      <c r="D45" s="12" t="s">
        <v>1420</v>
      </c>
      <c r="E45" s="12" t="s">
        <v>1421</v>
      </c>
      <c r="F45" s="12" t="s">
        <v>1422</v>
      </c>
      <c r="G45" s="12" t="s">
        <v>1423</v>
      </c>
      <c r="H45" s="12" t="s">
        <v>1423</v>
      </c>
      <c r="I45" s="12" t="s">
        <v>1423</v>
      </c>
      <c r="J45" s="12" t="s">
        <v>1423</v>
      </c>
      <c r="K45" s="12" t="s">
        <v>1423</v>
      </c>
      <c r="L45" s="12" t="s">
        <v>1423</v>
      </c>
      <c r="M45" s="12" t="s">
        <v>1423</v>
      </c>
      <c r="N45" s="12" t="s">
        <v>1423</v>
      </c>
      <c r="O45" s="12" t="s">
        <v>1423</v>
      </c>
      <c r="P45" s="12" t="s">
        <v>1423</v>
      </c>
      <c r="Q45" s="12" t="s">
        <v>1423</v>
      </c>
      <c r="R45" s="12" t="s">
        <v>1423</v>
      </c>
      <c r="S45" s="12" t="s">
        <v>1423</v>
      </c>
      <c r="T45" s="12" t="s">
        <v>1423</v>
      </c>
      <c r="U45" s="12" t="s">
        <v>1423</v>
      </c>
      <c r="V45" s="12" t="s">
        <v>1423</v>
      </c>
      <c r="W45" s="25" t="s">
        <v>1423</v>
      </c>
    </row>
    <row r="46" spans="1:23" x14ac:dyDescent="0.3">
      <c r="A46" s="26" t="s">
        <v>1511</v>
      </c>
      <c r="B46" s="27" t="s">
        <v>1512</v>
      </c>
      <c r="C46" s="27" t="s">
        <v>1419</v>
      </c>
      <c r="D46" s="12" t="s">
        <v>1420</v>
      </c>
      <c r="E46" s="12" t="s">
        <v>1421</v>
      </c>
      <c r="F46" s="12" t="s">
        <v>1422</v>
      </c>
      <c r="G46" s="12" t="s">
        <v>1423</v>
      </c>
      <c r="H46" s="12" t="s">
        <v>1423</v>
      </c>
      <c r="I46" s="12" t="s">
        <v>1423</v>
      </c>
      <c r="J46" s="12" t="s">
        <v>1423</v>
      </c>
      <c r="K46" s="12" t="s">
        <v>1423</v>
      </c>
      <c r="L46" s="12" t="s">
        <v>1423</v>
      </c>
      <c r="M46" s="12" t="s">
        <v>1423</v>
      </c>
      <c r="N46" s="12" t="s">
        <v>1423</v>
      </c>
      <c r="O46" s="12" t="s">
        <v>1423</v>
      </c>
      <c r="P46" s="12" t="s">
        <v>1423</v>
      </c>
      <c r="Q46" s="12" t="s">
        <v>1423</v>
      </c>
      <c r="R46" s="12" t="s">
        <v>1423</v>
      </c>
      <c r="S46" s="12" t="s">
        <v>1423</v>
      </c>
      <c r="T46" s="12" t="s">
        <v>1423</v>
      </c>
      <c r="U46" s="12" t="s">
        <v>1423</v>
      </c>
      <c r="V46" s="12" t="s">
        <v>1423</v>
      </c>
      <c r="W46" s="25" t="s">
        <v>1423</v>
      </c>
    </row>
    <row r="47" spans="1:23" x14ac:dyDescent="0.3">
      <c r="A47" s="26" t="s">
        <v>1513</v>
      </c>
      <c r="B47" s="27" t="s">
        <v>1514</v>
      </c>
      <c r="C47" s="27" t="s">
        <v>1419</v>
      </c>
      <c r="D47" s="12" t="s">
        <v>1420</v>
      </c>
      <c r="E47" s="12" t="s">
        <v>1427</v>
      </c>
      <c r="F47" s="12" t="s">
        <v>1428</v>
      </c>
      <c r="G47" s="12" t="s">
        <v>1423</v>
      </c>
      <c r="H47" s="12" t="s">
        <v>1423</v>
      </c>
      <c r="I47" s="12" t="s">
        <v>1423</v>
      </c>
      <c r="J47" s="12" t="s">
        <v>1423</v>
      </c>
      <c r="K47" s="12" t="s">
        <v>1423</v>
      </c>
      <c r="L47" s="12" t="s">
        <v>1423</v>
      </c>
      <c r="M47" s="12" t="s">
        <v>1423</v>
      </c>
      <c r="N47" s="12" t="s">
        <v>1423</v>
      </c>
      <c r="O47" s="12" t="s">
        <v>1423</v>
      </c>
      <c r="P47" s="12" t="s">
        <v>1423</v>
      </c>
      <c r="Q47" s="12" t="s">
        <v>1423</v>
      </c>
      <c r="R47" s="12" t="s">
        <v>1423</v>
      </c>
      <c r="S47" s="12" t="s">
        <v>1424</v>
      </c>
      <c r="T47" s="12" t="s">
        <v>1424</v>
      </c>
      <c r="U47" s="12" t="s">
        <v>1423</v>
      </c>
      <c r="V47" s="12" t="s">
        <v>1423</v>
      </c>
      <c r="W47" s="25" t="s">
        <v>1423</v>
      </c>
    </row>
    <row r="48" spans="1:23" x14ac:dyDescent="0.3">
      <c r="A48" s="26" t="s">
        <v>1515</v>
      </c>
      <c r="B48" s="27" t="s">
        <v>1516</v>
      </c>
      <c r="C48" s="27" t="s">
        <v>1419</v>
      </c>
      <c r="D48" s="12" t="s">
        <v>1420</v>
      </c>
      <c r="E48" s="12" t="s">
        <v>1427</v>
      </c>
      <c r="F48" s="12" t="s">
        <v>1428</v>
      </c>
      <c r="G48" s="12" t="s">
        <v>1423</v>
      </c>
      <c r="H48" s="12" t="s">
        <v>1423</v>
      </c>
      <c r="I48" s="12" t="s">
        <v>1423</v>
      </c>
      <c r="J48" s="12" t="s">
        <v>1423</v>
      </c>
      <c r="K48" s="12" t="s">
        <v>1423</v>
      </c>
      <c r="L48" s="12" t="s">
        <v>1423</v>
      </c>
      <c r="M48" s="12" t="s">
        <v>1423</v>
      </c>
      <c r="N48" s="12" t="s">
        <v>1423</v>
      </c>
      <c r="O48" s="12" t="s">
        <v>1423</v>
      </c>
      <c r="P48" s="12" t="s">
        <v>1423</v>
      </c>
      <c r="Q48" s="12" t="s">
        <v>1423</v>
      </c>
      <c r="R48" s="12" t="s">
        <v>1423</v>
      </c>
      <c r="S48" s="12" t="s">
        <v>1424</v>
      </c>
      <c r="T48" s="12" t="s">
        <v>1424</v>
      </c>
      <c r="U48" s="12" t="s">
        <v>1423</v>
      </c>
      <c r="V48" s="12" t="s">
        <v>1423</v>
      </c>
      <c r="W48" s="25" t="s">
        <v>1423</v>
      </c>
    </row>
    <row r="49" spans="1:23" x14ac:dyDescent="0.3">
      <c r="A49" s="26" t="s">
        <v>1517</v>
      </c>
      <c r="B49" s="27" t="s">
        <v>1518</v>
      </c>
      <c r="C49" s="27" t="s">
        <v>1419</v>
      </c>
      <c r="D49" s="12" t="s">
        <v>1433</v>
      </c>
      <c r="E49" s="12" t="s">
        <v>1519</v>
      </c>
      <c r="F49" s="12" t="s">
        <v>1434</v>
      </c>
      <c r="G49" s="12" t="s">
        <v>1423</v>
      </c>
      <c r="H49" s="12" t="s">
        <v>1423</v>
      </c>
      <c r="I49" s="12" t="s">
        <v>1423</v>
      </c>
      <c r="J49" s="12" t="s">
        <v>1423</v>
      </c>
      <c r="K49" s="12" t="s">
        <v>1435</v>
      </c>
      <c r="L49" s="12" t="s">
        <v>1435</v>
      </c>
      <c r="M49" s="12" t="s">
        <v>1435</v>
      </c>
      <c r="N49" s="12" t="s">
        <v>1435</v>
      </c>
      <c r="O49" s="12" t="s">
        <v>1435</v>
      </c>
      <c r="P49" s="12" t="s">
        <v>1423</v>
      </c>
      <c r="Q49" s="12" t="s">
        <v>1423</v>
      </c>
      <c r="R49" s="12" t="s">
        <v>1423</v>
      </c>
      <c r="S49" s="12" t="s">
        <v>1423</v>
      </c>
      <c r="T49" s="12" t="s">
        <v>1423</v>
      </c>
      <c r="U49" s="12" t="s">
        <v>1423</v>
      </c>
      <c r="V49" s="12" t="s">
        <v>1423</v>
      </c>
      <c r="W49" s="25" t="s">
        <v>1423</v>
      </c>
    </row>
    <row r="50" spans="1:23" x14ac:dyDescent="0.3">
      <c r="A50" s="26" t="s">
        <v>1520</v>
      </c>
      <c r="B50" s="27" t="s">
        <v>1521</v>
      </c>
      <c r="C50" s="27" t="s">
        <v>1419</v>
      </c>
      <c r="D50" s="12" t="s">
        <v>1420</v>
      </c>
      <c r="E50" s="12" t="s">
        <v>1427</v>
      </c>
      <c r="F50" s="12" t="s">
        <v>1428</v>
      </c>
      <c r="G50" s="12" t="s">
        <v>1423</v>
      </c>
      <c r="H50" s="12" t="s">
        <v>1423</v>
      </c>
      <c r="I50" s="12" t="s">
        <v>1423</v>
      </c>
      <c r="J50" s="12" t="s">
        <v>1423</v>
      </c>
      <c r="K50" s="12" t="s">
        <v>1423</v>
      </c>
      <c r="L50" s="12" t="s">
        <v>1423</v>
      </c>
      <c r="M50" s="12" t="s">
        <v>1423</v>
      </c>
      <c r="N50" s="12" t="s">
        <v>1423</v>
      </c>
      <c r="O50" s="12" t="s">
        <v>1423</v>
      </c>
      <c r="P50" s="12" t="s">
        <v>1423</v>
      </c>
      <c r="Q50" s="12" t="s">
        <v>1423</v>
      </c>
      <c r="R50" s="12" t="s">
        <v>1423</v>
      </c>
      <c r="S50" s="12" t="s">
        <v>1424</v>
      </c>
      <c r="T50" s="12" t="s">
        <v>1423</v>
      </c>
      <c r="U50" s="12" t="s">
        <v>1423</v>
      </c>
      <c r="V50" s="12" t="s">
        <v>1423</v>
      </c>
      <c r="W50" s="25" t="s">
        <v>1435</v>
      </c>
    </row>
    <row r="51" spans="1:23" x14ac:dyDescent="0.3">
      <c r="A51" s="26" t="s">
        <v>1522</v>
      </c>
      <c r="B51" s="27" t="s">
        <v>1523</v>
      </c>
      <c r="C51" s="27" t="s">
        <v>1419</v>
      </c>
      <c r="D51" s="12" t="s">
        <v>1433</v>
      </c>
      <c r="E51" s="12" t="s">
        <v>1519</v>
      </c>
      <c r="F51" s="12" t="s">
        <v>1434</v>
      </c>
      <c r="G51" s="12" t="s">
        <v>1423</v>
      </c>
      <c r="H51" s="12" t="s">
        <v>1423</v>
      </c>
      <c r="I51" s="12" t="s">
        <v>1423</v>
      </c>
      <c r="J51" s="12" t="s">
        <v>1423</v>
      </c>
      <c r="K51" s="12" t="s">
        <v>1435</v>
      </c>
      <c r="L51" s="12" t="s">
        <v>1435</v>
      </c>
      <c r="M51" s="12" t="s">
        <v>1435</v>
      </c>
      <c r="N51" s="12" t="s">
        <v>1435</v>
      </c>
      <c r="O51" s="12" t="s">
        <v>1435</v>
      </c>
      <c r="P51" s="12" t="s">
        <v>1423</v>
      </c>
      <c r="Q51" s="12" t="s">
        <v>1423</v>
      </c>
      <c r="R51" s="12" t="s">
        <v>1423</v>
      </c>
      <c r="S51" s="12" t="s">
        <v>1423</v>
      </c>
      <c r="T51" s="12" t="s">
        <v>1423</v>
      </c>
      <c r="U51" s="12" t="s">
        <v>1423</v>
      </c>
      <c r="V51" s="12" t="s">
        <v>1423</v>
      </c>
      <c r="W51" s="25" t="s">
        <v>1423</v>
      </c>
    </row>
    <row r="52" spans="1:23" x14ac:dyDescent="0.3">
      <c r="A52" s="26" t="s">
        <v>1524</v>
      </c>
      <c r="B52" s="27" t="s">
        <v>1525</v>
      </c>
      <c r="C52" s="27" t="s">
        <v>1419</v>
      </c>
      <c r="D52" s="12" t="s">
        <v>1420</v>
      </c>
      <c r="E52" s="12" t="s">
        <v>1427</v>
      </c>
      <c r="F52" s="12" t="s">
        <v>1428</v>
      </c>
      <c r="G52" s="12" t="s">
        <v>1423</v>
      </c>
      <c r="H52" s="12" t="s">
        <v>1423</v>
      </c>
      <c r="I52" s="12" t="s">
        <v>1423</v>
      </c>
      <c r="J52" s="12" t="s">
        <v>1423</v>
      </c>
      <c r="K52" s="12" t="s">
        <v>1423</v>
      </c>
      <c r="L52" s="12" t="s">
        <v>1423</v>
      </c>
      <c r="M52" s="12" t="s">
        <v>1423</v>
      </c>
      <c r="N52" s="12" t="s">
        <v>1423</v>
      </c>
      <c r="O52" s="12" t="s">
        <v>1423</v>
      </c>
      <c r="P52" s="12" t="s">
        <v>1423</v>
      </c>
      <c r="Q52" s="12" t="s">
        <v>1423</v>
      </c>
      <c r="R52" s="12" t="s">
        <v>1423</v>
      </c>
      <c r="S52" s="12" t="s">
        <v>1424</v>
      </c>
      <c r="T52" s="12" t="s">
        <v>1424</v>
      </c>
      <c r="U52" s="12" t="s">
        <v>1423</v>
      </c>
      <c r="V52" s="12" t="s">
        <v>1423</v>
      </c>
      <c r="W52" s="25" t="s">
        <v>1423</v>
      </c>
    </row>
    <row r="53" spans="1:23" x14ac:dyDescent="0.3">
      <c r="A53" s="26" t="s">
        <v>1526</v>
      </c>
      <c r="B53" s="27" t="s">
        <v>1527</v>
      </c>
      <c r="C53" s="27" t="s">
        <v>1419</v>
      </c>
      <c r="D53" s="12" t="s">
        <v>1433</v>
      </c>
      <c r="E53" s="12" t="s">
        <v>1519</v>
      </c>
      <c r="F53" s="12" t="s">
        <v>1434</v>
      </c>
      <c r="G53" s="12" t="s">
        <v>1423</v>
      </c>
      <c r="H53" s="12" t="s">
        <v>1423</v>
      </c>
      <c r="I53" s="12" t="s">
        <v>1423</v>
      </c>
      <c r="J53" s="12" t="s">
        <v>1423</v>
      </c>
      <c r="K53" s="12" t="s">
        <v>1435</v>
      </c>
      <c r="L53" s="12" t="s">
        <v>1435</v>
      </c>
      <c r="M53" s="12" t="s">
        <v>1435</v>
      </c>
      <c r="N53" s="12" t="s">
        <v>1435</v>
      </c>
      <c r="O53" s="12" t="s">
        <v>1435</v>
      </c>
      <c r="P53" s="12" t="s">
        <v>1423</v>
      </c>
      <c r="Q53" s="12" t="s">
        <v>1423</v>
      </c>
      <c r="R53" s="12" t="s">
        <v>1423</v>
      </c>
      <c r="S53" s="12" t="s">
        <v>1423</v>
      </c>
      <c r="T53" s="12" t="s">
        <v>1423</v>
      </c>
      <c r="U53" s="12" t="s">
        <v>1423</v>
      </c>
      <c r="V53" s="12" t="s">
        <v>1423</v>
      </c>
      <c r="W53" s="25" t="s">
        <v>1423</v>
      </c>
    </row>
    <row r="54" spans="1:23" x14ac:dyDescent="0.3">
      <c r="A54" s="26" t="s">
        <v>1528</v>
      </c>
      <c r="B54" s="27" t="s">
        <v>1529</v>
      </c>
      <c r="C54" s="27" t="s">
        <v>1419</v>
      </c>
      <c r="D54" s="12" t="s">
        <v>1433</v>
      </c>
      <c r="E54" s="12" t="s">
        <v>1519</v>
      </c>
      <c r="F54" s="12" t="s">
        <v>1434</v>
      </c>
      <c r="G54" s="12" t="s">
        <v>1423</v>
      </c>
      <c r="H54" s="12" t="s">
        <v>1423</v>
      </c>
      <c r="I54" s="12" t="s">
        <v>1423</v>
      </c>
      <c r="J54" s="12" t="s">
        <v>1423</v>
      </c>
      <c r="K54" s="12" t="s">
        <v>1435</v>
      </c>
      <c r="L54" s="12" t="s">
        <v>1435</v>
      </c>
      <c r="M54" s="12" t="s">
        <v>1435</v>
      </c>
      <c r="N54" s="12" t="s">
        <v>1435</v>
      </c>
      <c r="O54" s="12" t="s">
        <v>1435</v>
      </c>
      <c r="P54" s="12" t="s">
        <v>1423</v>
      </c>
      <c r="Q54" s="12" t="s">
        <v>1423</v>
      </c>
      <c r="R54" s="12" t="s">
        <v>1423</v>
      </c>
      <c r="S54" s="12" t="s">
        <v>1423</v>
      </c>
      <c r="T54" s="12" t="s">
        <v>1423</v>
      </c>
      <c r="U54" s="12" t="s">
        <v>1423</v>
      </c>
      <c r="V54" s="12" t="s">
        <v>1423</v>
      </c>
      <c r="W54" s="25" t="s">
        <v>1423</v>
      </c>
    </row>
    <row r="55" spans="1:23" x14ac:dyDescent="0.3">
      <c r="A55" s="26" t="s">
        <v>1530</v>
      </c>
      <c r="B55" s="27" t="s">
        <v>1531</v>
      </c>
      <c r="C55" s="27" t="s">
        <v>1419</v>
      </c>
      <c r="D55" s="12" t="s">
        <v>1420</v>
      </c>
      <c r="E55" s="12" t="s">
        <v>1427</v>
      </c>
      <c r="F55" s="12" t="s">
        <v>1428</v>
      </c>
      <c r="G55" s="12" t="s">
        <v>1423</v>
      </c>
      <c r="H55" s="12" t="s">
        <v>1423</v>
      </c>
      <c r="I55" s="12" t="s">
        <v>1423</v>
      </c>
      <c r="J55" s="12" t="s">
        <v>1423</v>
      </c>
      <c r="K55" s="12" t="s">
        <v>1423</v>
      </c>
      <c r="L55" s="12" t="s">
        <v>1423</v>
      </c>
      <c r="M55" s="12" t="s">
        <v>1423</v>
      </c>
      <c r="N55" s="12" t="s">
        <v>1423</v>
      </c>
      <c r="O55" s="12" t="s">
        <v>1423</v>
      </c>
      <c r="P55" s="12" t="s">
        <v>1423</v>
      </c>
      <c r="Q55" s="12" t="s">
        <v>1423</v>
      </c>
      <c r="R55" s="12" t="s">
        <v>1423</v>
      </c>
      <c r="S55" s="12" t="s">
        <v>1424</v>
      </c>
      <c r="T55" s="12" t="s">
        <v>1424</v>
      </c>
      <c r="U55" s="12" t="s">
        <v>1423</v>
      </c>
      <c r="V55" s="12" t="s">
        <v>1423</v>
      </c>
      <c r="W55" s="25" t="s">
        <v>1423</v>
      </c>
    </row>
    <row r="56" spans="1:23" x14ac:dyDescent="0.3">
      <c r="A56" s="26" t="s">
        <v>1532</v>
      </c>
      <c r="B56" s="27" t="s">
        <v>1533</v>
      </c>
      <c r="C56" s="27" t="s">
        <v>1419</v>
      </c>
      <c r="D56" s="12" t="s">
        <v>1433</v>
      </c>
      <c r="E56" s="12" t="s">
        <v>1519</v>
      </c>
      <c r="F56" s="12" t="s">
        <v>1434</v>
      </c>
      <c r="G56" s="12" t="s">
        <v>1423</v>
      </c>
      <c r="H56" s="12" t="s">
        <v>1423</v>
      </c>
      <c r="I56" s="12" t="s">
        <v>1423</v>
      </c>
      <c r="J56" s="12" t="s">
        <v>1423</v>
      </c>
      <c r="K56" s="12" t="s">
        <v>1435</v>
      </c>
      <c r="L56" s="12" t="s">
        <v>1435</v>
      </c>
      <c r="M56" s="12" t="s">
        <v>1435</v>
      </c>
      <c r="N56" s="12" t="s">
        <v>1435</v>
      </c>
      <c r="O56" s="12" t="s">
        <v>1435</v>
      </c>
      <c r="P56" s="12" t="s">
        <v>1423</v>
      </c>
      <c r="Q56" s="12" t="s">
        <v>1423</v>
      </c>
      <c r="R56" s="12" t="s">
        <v>1423</v>
      </c>
      <c r="S56" s="12" t="s">
        <v>1423</v>
      </c>
      <c r="T56" s="12" t="s">
        <v>1423</v>
      </c>
      <c r="U56" s="12" t="s">
        <v>1423</v>
      </c>
      <c r="V56" s="12" t="s">
        <v>1423</v>
      </c>
      <c r="W56" s="25" t="s">
        <v>1423</v>
      </c>
    </row>
    <row r="57" spans="1:23" x14ac:dyDescent="0.3">
      <c r="A57" s="26" t="s">
        <v>1534</v>
      </c>
      <c r="B57" s="27" t="s">
        <v>1535</v>
      </c>
      <c r="C57" s="27" t="s">
        <v>1419</v>
      </c>
      <c r="D57" s="12" t="s">
        <v>1420</v>
      </c>
      <c r="E57" s="12" t="s">
        <v>1427</v>
      </c>
      <c r="F57" s="12" t="s">
        <v>1428</v>
      </c>
      <c r="G57" s="12" t="s">
        <v>1423</v>
      </c>
      <c r="H57" s="12" t="s">
        <v>1423</v>
      </c>
      <c r="I57" s="12" t="s">
        <v>1423</v>
      </c>
      <c r="J57" s="12" t="s">
        <v>1423</v>
      </c>
      <c r="K57" s="12" t="s">
        <v>1423</v>
      </c>
      <c r="L57" s="12" t="s">
        <v>1423</v>
      </c>
      <c r="M57" s="12" t="s">
        <v>1423</v>
      </c>
      <c r="N57" s="12" t="s">
        <v>1423</v>
      </c>
      <c r="O57" s="12" t="s">
        <v>1423</v>
      </c>
      <c r="P57" s="12" t="s">
        <v>1423</v>
      </c>
      <c r="Q57" s="12" t="s">
        <v>1423</v>
      </c>
      <c r="R57" s="12" t="s">
        <v>1423</v>
      </c>
      <c r="S57" s="12" t="s">
        <v>1424</v>
      </c>
      <c r="T57" s="12" t="s">
        <v>1423</v>
      </c>
      <c r="U57" s="12" t="s">
        <v>1423</v>
      </c>
      <c r="V57" s="12" t="s">
        <v>1423</v>
      </c>
      <c r="W57" s="25" t="s">
        <v>1423</v>
      </c>
    </row>
    <row r="58" spans="1:23" x14ac:dyDescent="0.3">
      <c r="A58" s="28" t="s">
        <v>1536</v>
      </c>
      <c r="B58" s="12" t="s">
        <v>1537</v>
      </c>
      <c r="C58" s="27" t="s">
        <v>1419</v>
      </c>
      <c r="D58" s="12" t="s">
        <v>1420</v>
      </c>
      <c r="E58" s="12" t="s">
        <v>1427</v>
      </c>
      <c r="F58" s="12" t="s">
        <v>1538</v>
      </c>
      <c r="G58" s="12" t="s">
        <v>1423</v>
      </c>
      <c r="H58" s="12" t="s">
        <v>1423</v>
      </c>
      <c r="I58" s="12" t="s">
        <v>1423</v>
      </c>
      <c r="J58" s="12" t="s">
        <v>1423</v>
      </c>
      <c r="K58" s="12" t="s">
        <v>1423</v>
      </c>
      <c r="L58" s="12" t="s">
        <v>1423</v>
      </c>
      <c r="M58" s="12" t="s">
        <v>1423</v>
      </c>
      <c r="N58" s="12" t="s">
        <v>1423</v>
      </c>
      <c r="O58" s="12" t="s">
        <v>1423</v>
      </c>
      <c r="P58" s="12" t="s">
        <v>1423</v>
      </c>
      <c r="Q58" s="12" t="s">
        <v>1423</v>
      </c>
      <c r="R58" s="12" t="s">
        <v>1423</v>
      </c>
      <c r="S58" s="12" t="s">
        <v>1423</v>
      </c>
      <c r="T58" s="12" t="s">
        <v>1423</v>
      </c>
      <c r="U58" s="12" t="s">
        <v>1423</v>
      </c>
      <c r="V58" s="12" t="s">
        <v>1435</v>
      </c>
      <c r="W58" s="25" t="s">
        <v>1423</v>
      </c>
    </row>
    <row r="59" spans="1:23" ht="15" thickBot="1" x14ac:dyDescent="0.35">
      <c r="A59" s="16" t="s">
        <v>1539</v>
      </c>
      <c r="B59" s="17" t="s">
        <v>1540</v>
      </c>
      <c r="C59" s="29" t="s">
        <v>1419</v>
      </c>
      <c r="D59" s="17" t="s">
        <v>1420</v>
      </c>
      <c r="E59" s="17" t="s">
        <v>1427</v>
      </c>
      <c r="F59" s="17" t="s">
        <v>1538</v>
      </c>
      <c r="G59" s="17" t="s">
        <v>1423</v>
      </c>
      <c r="H59" s="17" t="s">
        <v>1423</v>
      </c>
      <c r="I59" s="17" t="s">
        <v>1423</v>
      </c>
      <c r="J59" s="17" t="s">
        <v>1423</v>
      </c>
      <c r="K59" s="17" t="s">
        <v>1423</v>
      </c>
      <c r="L59" s="17" t="s">
        <v>1423</v>
      </c>
      <c r="M59" s="17" t="s">
        <v>1423</v>
      </c>
      <c r="N59" s="17" t="s">
        <v>1423</v>
      </c>
      <c r="O59" s="17" t="s">
        <v>1423</v>
      </c>
      <c r="P59" s="17" t="s">
        <v>1423</v>
      </c>
      <c r="Q59" s="17" t="s">
        <v>1423</v>
      </c>
      <c r="R59" s="17" t="s">
        <v>1423</v>
      </c>
      <c r="S59" s="17" t="s">
        <v>1423</v>
      </c>
      <c r="T59" s="17" t="s">
        <v>1423</v>
      </c>
      <c r="U59" s="17" t="s">
        <v>1423</v>
      </c>
      <c r="V59" s="17" t="s">
        <v>1435</v>
      </c>
      <c r="W59" s="18" t="s">
        <v>1423</v>
      </c>
    </row>
  </sheetData>
  <autoFilter ref="A4:W59" xr:uid="{ED0BCAA5-A0B5-4493-BD2D-153577F4981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1E3D3-BF14-4878-A4E2-1B2D35C0EEBB}">
  <dimension ref="B2:B7"/>
  <sheetViews>
    <sheetView workbookViewId="0">
      <selection activeCell="B7" sqref="B7"/>
    </sheetView>
  </sheetViews>
  <sheetFormatPr defaultRowHeight="14.4" x14ac:dyDescent="0.3"/>
  <cols>
    <col min="1" max="1" width="8.88671875" style="12"/>
    <col min="2" max="2" width="21.6640625" style="12" bestFit="1" customWidth="1"/>
    <col min="3" max="16384" width="8.88671875" style="12"/>
  </cols>
  <sheetData>
    <row r="2" spans="2:2" ht="15.6" x14ac:dyDescent="0.3">
      <c r="B2" s="30" t="s">
        <v>1541</v>
      </c>
    </row>
    <row r="3" spans="2:2" ht="15.6" x14ac:dyDescent="0.3">
      <c r="B3" s="30" t="s">
        <v>1542</v>
      </c>
    </row>
    <row r="4" spans="2:2" ht="15.6" x14ac:dyDescent="0.3">
      <c r="B4" s="30" t="s">
        <v>1543</v>
      </c>
    </row>
    <row r="5" spans="2:2" ht="15.6" x14ac:dyDescent="0.3">
      <c r="B5" s="30" t="s">
        <v>1544</v>
      </c>
    </row>
    <row r="6" spans="2:2" ht="15.6" x14ac:dyDescent="0.3">
      <c r="B6" s="30" t="s">
        <v>1545</v>
      </c>
    </row>
    <row r="7" spans="2:2" ht="15.6" x14ac:dyDescent="0.3">
      <c r="B7" s="30" t="s">
        <v>1546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78EAE-50E1-4DB5-801B-40E38695081E}">
  <dimension ref="A2:O69"/>
  <sheetViews>
    <sheetView topLeftCell="C1" workbookViewId="0">
      <selection activeCell="I12" sqref="I12"/>
    </sheetView>
  </sheetViews>
  <sheetFormatPr defaultRowHeight="14.4" x14ac:dyDescent="0.3"/>
  <cols>
    <col min="1" max="1" width="18.5546875" bestFit="1" customWidth="1"/>
    <col min="2" max="2" width="13.77734375" bestFit="1" customWidth="1"/>
    <col min="3" max="3" width="14.44140625" bestFit="1" customWidth="1"/>
    <col min="4" max="4" width="12.6640625" bestFit="1" customWidth="1"/>
    <col min="5" max="5" width="11.77734375" bestFit="1" customWidth="1"/>
    <col min="6" max="6" width="17.44140625" bestFit="1" customWidth="1"/>
    <col min="7" max="7" width="10.77734375" bestFit="1" customWidth="1"/>
    <col min="8" max="8" width="5" bestFit="1" customWidth="1"/>
    <col min="9" max="9" width="20.21875" bestFit="1" customWidth="1"/>
    <col min="10" max="10" width="7.88671875" bestFit="1" customWidth="1"/>
    <col min="11" max="11" width="19" bestFit="1" customWidth="1"/>
    <col min="12" max="12" width="26.44140625" bestFit="1" customWidth="1"/>
    <col min="13" max="13" width="17" bestFit="1" customWidth="1"/>
    <col min="14" max="14" width="20" bestFit="1" customWidth="1"/>
    <col min="15" max="15" width="12" bestFit="1" customWidth="1"/>
  </cols>
  <sheetData>
    <row r="2" spans="1:15" x14ac:dyDescent="0.3">
      <c r="A2" s="94" t="s">
        <v>4518</v>
      </c>
      <c r="B2" s="94" t="s">
        <v>4519</v>
      </c>
      <c r="C2" s="94" t="s">
        <v>4520</v>
      </c>
      <c r="D2" t="s">
        <v>4521</v>
      </c>
      <c r="E2" t="s">
        <v>4522</v>
      </c>
      <c r="F2" t="s">
        <v>4523</v>
      </c>
      <c r="G2" t="s">
        <v>4524</v>
      </c>
      <c r="H2" t="s">
        <v>4525</v>
      </c>
      <c r="I2" t="s">
        <v>4526</v>
      </c>
      <c r="J2" t="s">
        <v>4527</v>
      </c>
      <c r="K2" t="s">
        <v>4591</v>
      </c>
      <c r="L2" t="s">
        <v>4589</v>
      </c>
      <c r="M2" t="s">
        <v>4590</v>
      </c>
      <c r="N2" t="s">
        <v>4528</v>
      </c>
      <c r="O2" t="s">
        <v>4588</v>
      </c>
    </row>
    <row r="3" spans="1:15" x14ac:dyDescent="0.3">
      <c r="A3" s="92" t="s">
        <v>511</v>
      </c>
      <c r="B3" s="93" t="s">
        <v>1924</v>
      </c>
      <c r="C3" s="93" t="s">
        <v>1924</v>
      </c>
      <c r="D3" t="s">
        <v>1923</v>
      </c>
      <c r="E3">
        <v>0.15</v>
      </c>
      <c r="F3">
        <v>7800</v>
      </c>
      <c r="G3">
        <v>16</v>
      </c>
      <c r="H3">
        <v>650</v>
      </c>
      <c r="I3">
        <v>236</v>
      </c>
      <c r="J3">
        <v>236</v>
      </c>
      <c r="K3">
        <v>57798.89968884363</v>
      </c>
      <c r="L3" s="85">
        <v>83.333333333333329</v>
      </c>
      <c r="M3" s="85">
        <v>2.7692307692307692</v>
      </c>
      <c r="N3" s="85">
        <v>38</v>
      </c>
      <c r="O3" s="85">
        <v>75138.569595496723</v>
      </c>
    </row>
    <row r="4" spans="1:15" x14ac:dyDescent="0.3">
      <c r="A4" s="92" t="s">
        <v>511</v>
      </c>
      <c r="B4" s="93" t="s">
        <v>1935</v>
      </c>
      <c r="C4" s="93" t="s">
        <v>1935</v>
      </c>
      <c r="D4" t="s">
        <v>1934</v>
      </c>
      <c r="E4">
        <v>0.2</v>
      </c>
      <c r="F4">
        <v>7800</v>
      </c>
      <c r="G4">
        <v>16</v>
      </c>
      <c r="H4">
        <v>650</v>
      </c>
      <c r="I4">
        <v>236</v>
      </c>
      <c r="J4">
        <v>236</v>
      </c>
      <c r="K4">
        <v>42975.810139978188</v>
      </c>
      <c r="L4" s="85">
        <v>55.128205128205131</v>
      </c>
      <c r="M4" s="85">
        <v>4.615384615384615</v>
      </c>
      <c r="N4" s="85">
        <v>38</v>
      </c>
      <c r="O4" s="85">
        <v>55868.553181971649</v>
      </c>
    </row>
    <row r="5" spans="1:15" x14ac:dyDescent="0.3">
      <c r="A5" s="92" t="s">
        <v>511</v>
      </c>
      <c r="B5" s="93" t="s">
        <v>4529</v>
      </c>
      <c r="C5" s="93" t="s">
        <v>4529</v>
      </c>
      <c r="D5" t="s">
        <v>1928</v>
      </c>
      <c r="E5">
        <v>0.25</v>
      </c>
      <c r="F5">
        <v>12000</v>
      </c>
      <c r="G5">
        <v>16</v>
      </c>
      <c r="H5">
        <v>1000</v>
      </c>
      <c r="I5">
        <v>236</v>
      </c>
      <c r="J5">
        <v>236</v>
      </c>
      <c r="K5">
        <v>53846.909640832557</v>
      </c>
      <c r="L5" s="85">
        <v>66.666666666666671</v>
      </c>
      <c r="M5" s="85">
        <v>13.846153846153848</v>
      </c>
      <c r="N5" s="85">
        <v>49</v>
      </c>
      <c r="O5" s="85">
        <v>70000.982533082322</v>
      </c>
    </row>
    <row r="6" spans="1:15" x14ac:dyDescent="0.3">
      <c r="A6" s="92" t="s">
        <v>511</v>
      </c>
      <c r="B6" s="93" t="s">
        <v>4530</v>
      </c>
      <c r="C6" s="93" t="s">
        <v>4530</v>
      </c>
      <c r="D6" t="s">
        <v>1959</v>
      </c>
      <c r="E6">
        <v>0.25</v>
      </c>
      <c r="F6">
        <v>12000</v>
      </c>
      <c r="G6">
        <v>16</v>
      </c>
      <c r="H6">
        <v>1000</v>
      </c>
      <c r="I6">
        <v>236</v>
      </c>
      <c r="J6">
        <v>236</v>
      </c>
      <c r="K6">
        <v>51668.074689013323</v>
      </c>
      <c r="L6" s="85">
        <v>66.666666666666671</v>
      </c>
      <c r="M6" s="85">
        <v>13.846153846153848</v>
      </c>
      <c r="N6" s="85">
        <v>49</v>
      </c>
      <c r="O6" s="85">
        <v>67168.497095717321</v>
      </c>
    </row>
    <row r="7" spans="1:15" x14ac:dyDescent="0.3">
      <c r="A7" s="92" t="s">
        <v>511</v>
      </c>
      <c r="B7" s="93" t="s">
        <v>4531</v>
      </c>
      <c r="C7" s="93" t="s">
        <v>4531</v>
      </c>
      <c r="D7" t="s">
        <v>1948</v>
      </c>
      <c r="E7">
        <v>0.25</v>
      </c>
      <c r="F7">
        <v>12000</v>
      </c>
      <c r="G7">
        <v>16</v>
      </c>
      <c r="H7">
        <v>1000</v>
      </c>
      <c r="I7">
        <v>236</v>
      </c>
      <c r="J7">
        <v>236</v>
      </c>
      <c r="K7">
        <v>51744.758672064163</v>
      </c>
      <c r="L7" s="85">
        <v>66.666666666666671</v>
      </c>
      <c r="M7" s="85">
        <v>13.846153846153848</v>
      </c>
      <c r="N7" s="85">
        <v>49</v>
      </c>
      <c r="O7" s="85">
        <v>67268.186273683415</v>
      </c>
    </row>
    <row r="8" spans="1:15" x14ac:dyDescent="0.3">
      <c r="A8" s="92" t="s">
        <v>511</v>
      </c>
      <c r="B8" s="93" t="s">
        <v>4532</v>
      </c>
      <c r="C8" s="93" t="s">
        <v>1943</v>
      </c>
      <c r="D8" t="s">
        <v>1942</v>
      </c>
      <c r="E8">
        <v>0.25</v>
      </c>
      <c r="F8">
        <v>12000</v>
      </c>
      <c r="G8">
        <v>16</v>
      </c>
      <c r="H8">
        <v>1000</v>
      </c>
      <c r="I8">
        <v>236</v>
      </c>
      <c r="J8">
        <v>236</v>
      </c>
      <c r="K8">
        <v>54975.302601081625</v>
      </c>
      <c r="L8" s="85">
        <v>66.666666666666671</v>
      </c>
      <c r="M8" s="85">
        <v>13.846153846153848</v>
      </c>
      <c r="N8" s="85">
        <v>49</v>
      </c>
      <c r="O8" s="85">
        <v>71467.893381406117</v>
      </c>
    </row>
    <row r="9" spans="1:15" x14ac:dyDescent="0.3">
      <c r="A9" s="92" t="s">
        <v>511</v>
      </c>
      <c r="B9" s="93" t="s">
        <v>4533</v>
      </c>
      <c r="C9" s="93" t="s">
        <v>4534</v>
      </c>
      <c r="D9" t="s">
        <v>1964</v>
      </c>
      <c r="E9">
        <v>0.35</v>
      </c>
      <c r="F9">
        <v>21600</v>
      </c>
      <c r="G9">
        <v>16</v>
      </c>
      <c r="H9">
        <v>1800</v>
      </c>
      <c r="I9">
        <v>236</v>
      </c>
      <c r="J9">
        <v>236</v>
      </c>
      <c r="K9">
        <v>82650.804124341492</v>
      </c>
      <c r="L9" s="85">
        <v>94.907407407407405</v>
      </c>
      <c r="M9" s="85">
        <v>23.076923076923077</v>
      </c>
      <c r="N9" s="85">
        <v>59</v>
      </c>
      <c r="O9" s="85">
        <v>107446.04536164395</v>
      </c>
    </row>
    <row r="10" spans="1:15" x14ac:dyDescent="0.3">
      <c r="A10" s="92" t="s">
        <v>511</v>
      </c>
      <c r="B10" s="93" t="s">
        <v>4535</v>
      </c>
      <c r="C10" s="93" t="s">
        <v>4536</v>
      </c>
      <c r="D10" t="s">
        <v>1917</v>
      </c>
      <c r="E10">
        <v>0.35</v>
      </c>
      <c r="F10">
        <v>21600</v>
      </c>
      <c r="G10">
        <v>16</v>
      </c>
      <c r="H10">
        <v>1800</v>
      </c>
      <c r="I10">
        <v>236</v>
      </c>
      <c r="J10">
        <v>236</v>
      </c>
      <c r="K10">
        <v>86200.454209087256</v>
      </c>
      <c r="L10" s="85">
        <v>94.907407407407405</v>
      </c>
      <c r="M10" s="85">
        <v>23.076923076923077</v>
      </c>
      <c r="N10" s="85">
        <v>59</v>
      </c>
      <c r="O10" s="85">
        <v>112060.59047181344</v>
      </c>
    </row>
    <row r="11" spans="1:15" x14ac:dyDescent="0.3">
      <c r="A11" s="92" t="s">
        <v>590</v>
      </c>
      <c r="B11" s="93" t="s">
        <v>1955</v>
      </c>
      <c r="C11" s="93" t="s">
        <v>1955</v>
      </c>
      <c r="D11" t="s">
        <v>1954</v>
      </c>
      <c r="E11">
        <v>0.42</v>
      </c>
      <c r="F11">
        <v>21600</v>
      </c>
      <c r="G11">
        <v>16</v>
      </c>
      <c r="H11">
        <v>1800</v>
      </c>
      <c r="I11">
        <v>284</v>
      </c>
      <c r="J11">
        <v>284</v>
      </c>
      <c r="K11">
        <v>98036.084589495164</v>
      </c>
      <c r="L11" s="85">
        <v>145.83333333333334</v>
      </c>
      <c r="M11" s="85">
        <v>24.615384615384613</v>
      </c>
      <c r="N11" s="85">
        <v>80</v>
      </c>
      <c r="O11" s="85">
        <v>127446.90996634372</v>
      </c>
    </row>
    <row r="12" spans="1:15" x14ac:dyDescent="0.3">
      <c r="A12" t="s">
        <v>590</v>
      </c>
      <c r="B12" t="s">
        <v>1892</v>
      </c>
      <c r="C12" t="s">
        <v>1892</v>
      </c>
      <c r="D12" t="s">
        <v>1891</v>
      </c>
      <c r="E12">
        <v>0.42</v>
      </c>
      <c r="F12">
        <v>21600</v>
      </c>
      <c r="G12">
        <v>16</v>
      </c>
      <c r="H12">
        <v>1800</v>
      </c>
      <c r="I12">
        <v>284</v>
      </c>
      <c r="J12">
        <v>284</v>
      </c>
      <c r="K12">
        <v>96572.172549933268</v>
      </c>
      <c r="L12" s="85">
        <v>145.83333333333334</v>
      </c>
      <c r="M12" s="85">
        <v>24.615384615384613</v>
      </c>
      <c r="N12" s="85">
        <v>80</v>
      </c>
      <c r="O12" s="85">
        <v>125543.82431491325</v>
      </c>
    </row>
    <row r="13" spans="1:15" x14ac:dyDescent="0.3">
      <c r="A13" t="s">
        <v>590</v>
      </c>
      <c r="B13" t="s">
        <v>1878</v>
      </c>
      <c r="C13" t="s">
        <v>1878</v>
      </c>
      <c r="D13" t="s">
        <v>1877</v>
      </c>
      <c r="E13">
        <v>0.42</v>
      </c>
      <c r="F13">
        <v>21600</v>
      </c>
      <c r="G13">
        <v>16</v>
      </c>
      <c r="H13">
        <v>1800</v>
      </c>
      <c r="I13">
        <v>284</v>
      </c>
      <c r="J13">
        <v>284</v>
      </c>
      <c r="K13">
        <v>89136.640621968778</v>
      </c>
      <c r="L13" s="85">
        <v>145.83333333333334</v>
      </c>
      <c r="M13" s="85">
        <v>30.76923076923077</v>
      </c>
      <c r="N13" s="85">
        <v>80</v>
      </c>
      <c r="O13" s="85">
        <v>115877.63280855941</v>
      </c>
    </row>
    <row r="14" spans="1:15" x14ac:dyDescent="0.3">
      <c r="A14" t="s">
        <v>590</v>
      </c>
      <c r="B14" t="s">
        <v>4537</v>
      </c>
      <c r="C14" t="s">
        <v>4538</v>
      </c>
      <c r="D14" t="s">
        <v>1901</v>
      </c>
      <c r="E14">
        <v>0.42</v>
      </c>
      <c r="F14">
        <v>21600</v>
      </c>
      <c r="G14">
        <v>16</v>
      </c>
      <c r="H14">
        <v>1800</v>
      </c>
      <c r="I14">
        <v>284</v>
      </c>
      <c r="J14">
        <v>284</v>
      </c>
      <c r="K14">
        <v>94395.325504988126</v>
      </c>
      <c r="L14" s="85">
        <v>145.83333333333334</v>
      </c>
      <c r="M14" s="85">
        <v>24.615384615384613</v>
      </c>
      <c r="N14" s="85">
        <v>80</v>
      </c>
      <c r="O14" s="85">
        <v>122713.92315648457</v>
      </c>
    </row>
    <row r="15" spans="1:15" x14ac:dyDescent="0.3">
      <c r="A15" t="s">
        <v>590</v>
      </c>
      <c r="B15" t="s">
        <v>4539</v>
      </c>
      <c r="C15" t="s">
        <v>4540</v>
      </c>
      <c r="D15" t="s">
        <v>1896</v>
      </c>
      <c r="E15">
        <v>0.42</v>
      </c>
      <c r="F15">
        <v>21600</v>
      </c>
      <c r="G15">
        <v>16</v>
      </c>
      <c r="H15">
        <v>1800</v>
      </c>
      <c r="I15">
        <v>284</v>
      </c>
      <c r="J15">
        <v>284</v>
      </c>
      <c r="K15">
        <v>96577.528954497437</v>
      </c>
      <c r="L15" s="85">
        <v>145.83333333333334</v>
      </c>
      <c r="M15" s="85">
        <v>24.615384615384613</v>
      </c>
      <c r="N15" s="85">
        <v>80</v>
      </c>
      <c r="O15" s="85">
        <v>125550.78764084667</v>
      </c>
    </row>
    <row r="16" spans="1:15" x14ac:dyDescent="0.3">
      <c r="A16" t="s">
        <v>590</v>
      </c>
      <c r="B16" t="s">
        <v>4541</v>
      </c>
      <c r="C16" t="s">
        <v>4542</v>
      </c>
      <c r="D16" t="s">
        <v>1884</v>
      </c>
      <c r="E16">
        <v>0.42</v>
      </c>
      <c r="F16">
        <v>21600</v>
      </c>
      <c r="G16">
        <v>8</v>
      </c>
      <c r="H16">
        <v>1800</v>
      </c>
      <c r="I16">
        <v>284</v>
      </c>
      <c r="J16">
        <v>284</v>
      </c>
      <c r="K16">
        <v>89671.97721782267</v>
      </c>
      <c r="L16" s="85">
        <v>145.83333333333334</v>
      </c>
      <c r="M16" s="85">
        <v>24.615384615384613</v>
      </c>
      <c r="N16" s="85">
        <v>40</v>
      </c>
      <c r="O16" s="85">
        <v>116573.57038316947</v>
      </c>
    </row>
    <row r="17" spans="1:15" x14ac:dyDescent="0.3">
      <c r="A17" t="s">
        <v>590</v>
      </c>
      <c r="B17" t="s">
        <v>1907</v>
      </c>
      <c r="C17" t="s">
        <v>1907</v>
      </c>
      <c r="D17" t="s">
        <v>1906</v>
      </c>
      <c r="E17">
        <v>0.35</v>
      </c>
      <c r="F17">
        <v>21600</v>
      </c>
      <c r="G17">
        <v>16</v>
      </c>
      <c r="H17">
        <v>1800</v>
      </c>
      <c r="I17">
        <v>284</v>
      </c>
      <c r="J17">
        <v>284</v>
      </c>
      <c r="K17">
        <v>94434.764941607835</v>
      </c>
      <c r="L17" s="85">
        <v>145.83333333333334</v>
      </c>
      <c r="M17" s="85">
        <v>24.615384615384613</v>
      </c>
      <c r="N17" s="85">
        <v>80</v>
      </c>
      <c r="O17" s="85">
        <v>122765.19442409019</v>
      </c>
    </row>
    <row r="18" spans="1:15" x14ac:dyDescent="0.3">
      <c r="A18" t="s">
        <v>590</v>
      </c>
      <c r="B18" t="s">
        <v>1913</v>
      </c>
      <c r="C18" t="s">
        <v>4543</v>
      </c>
      <c r="D18" t="s">
        <v>1912</v>
      </c>
      <c r="E18">
        <v>0.35</v>
      </c>
      <c r="F18">
        <v>21600</v>
      </c>
      <c r="G18">
        <v>16</v>
      </c>
      <c r="H18">
        <v>1800</v>
      </c>
      <c r="I18">
        <v>284</v>
      </c>
      <c r="J18">
        <v>284</v>
      </c>
      <c r="K18">
        <v>94533.356490903607</v>
      </c>
      <c r="L18" s="85">
        <v>145.83333333333334</v>
      </c>
      <c r="M18" s="85">
        <v>24.615384615384613</v>
      </c>
      <c r="N18" s="85">
        <v>80</v>
      </c>
      <c r="O18" s="85">
        <v>122893.3634381747</v>
      </c>
    </row>
    <row r="19" spans="1:15" x14ac:dyDescent="0.3">
      <c r="A19" t="s">
        <v>2034</v>
      </c>
      <c r="B19" t="s">
        <v>4544</v>
      </c>
      <c r="C19" t="s">
        <v>4545</v>
      </c>
      <c r="D19" t="s">
        <v>1681</v>
      </c>
      <c r="E19">
        <v>0.42</v>
      </c>
      <c r="F19">
        <v>54000</v>
      </c>
      <c r="G19">
        <v>3</v>
      </c>
      <c r="H19">
        <v>4500</v>
      </c>
      <c r="I19">
        <v>260</v>
      </c>
      <c r="J19">
        <v>260</v>
      </c>
      <c r="K19">
        <v>121005.57183661997</v>
      </c>
      <c r="L19" s="85">
        <v>82.870370370370367</v>
      </c>
      <c r="M19" s="85">
        <v>53.846153846153854</v>
      </c>
      <c r="N19" s="85">
        <v>25</v>
      </c>
      <c r="O19" s="85">
        <v>175458.07916309894</v>
      </c>
    </row>
    <row r="20" spans="1:15" x14ac:dyDescent="0.3">
      <c r="A20" t="s">
        <v>2034</v>
      </c>
      <c r="B20" t="s">
        <v>4546</v>
      </c>
      <c r="C20" t="s">
        <v>4547</v>
      </c>
      <c r="D20" t="s">
        <v>1675</v>
      </c>
      <c r="E20">
        <v>0.42</v>
      </c>
      <c r="F20">
        <v>54000</v>
      </c>
      <c r="G20">
        <v>3</v>
      </c>
      <c r="H20">
        <v>4500</v>
      </c>
      <c r="I20">
        <v>260</v>
      </c>
      <c r="J20">
        <v>260</v>
      </c>
      <c r="K20">
        <v>125410.42865331007</v>
      </c>
      <c r="L20" s="85">
        <v>82.870370370370367</v>
      </c>
      <c r="M20" s="85">
        <v>53.846153846153854</v>
      </c>
      <c r="N20" s="85">
        <v>25</v>
      </c>
      <c r="O20" s="85">
        <v>181845.12154729958</v>
      </c>
    </row>
    <row r="21" spans="1:15" x14ac:dyDescent="0.3">
      <c r="A21" t="s">
        <v>2034</v>
      </c>
      <c r="B21" t="s">
        <v>4548</v>
      </c>
      <c r="C21" t="s">
        <v>4549</v>
      </c>
      <c r="D21" t="s">
        <v>1658</v>
      </c>
      <c r="E21">
        <v>0.42</v>
      </c>
      <c r="F21">
        <v>54000</v>
      </c>
      <c r="G21">
        <v>3</v>
      </c>
      <c r="H21">
        <v>4500</v>
      </c>
      <c r="I21">
        <v>260</v>
      </c>
      <c r="J21">
        <v>260</v>
      </c>
      <c r="K21">
        <v>121469.3999511302</v>
      </c>
      <c r="L21" s="85">
        <v>82.870370370370367</v>
      </c>
      <c r="M21" s="85">
        <v>53.846153846153854</v>
      </c>
      <c r="N21" s="85">
        <v>25</v>
      </c>
      <c r="O21" s="85">
        <v>176130.62992913878</v>
      </c>
    </row>
    <row r="22" spans="1:15" x14ac:dyDescent="0.3">
      <c r="A22" t="s">
        <v>2034</v>
      </c>
      <c r="B22" t="s">
        <v>4550</v>
      </c>
      <c r="C22" t="s">
        <v>4551</v>
      </c>
      <c r="D22" t="s">
        <v>1672</v>
      </c>
      <c r="E22">
        <v>0.42</v>
      </c>
      <c r="F22">
        <v>54000</v>
      </c>
      <c r="G22">
        <v>3</v>
      </c>
      <c r="H22">
        <v>4500</v>
      </c>
      <c r="I22">
        <v>260</v>
      </c>
      <c r="J22">
        <v>260</v>
      </c>
      <c r="K22">
        <v>120034.11070038882</v>
      </c>
      <c r="L22" s="85">
        <v>82.870370370370367</v>
      </c>
      <c r="M22" s="85">
        <v>53.846153846153854</v>
      </c>
      <c r="N22" s="85">
        <v>25</v>
      </c>
      <c r="O22" s="85">
        <v>174049.46051556378</v>
      </c>
    </row>
    <row r="23" spans="1:15" x14ac:dyDescent="0.3">
      <c r="A23" t="s">
        <v>2034</v>
      </c>
      <c r="B23" t="s">
        <v>4552</v>
      </c>
      <c r="C23" t="s">
        <v>4553</v>
      </c>
      <c r="D23" t="s">
        <v>1667</v>
      </c>
      <c r="E23">
        <v>0.42</v>
      </c>
      <c r="F23">
        <v>54000</v>
      </c>
      <c r="G23">
        <v>3</v>
      </c>
      <c r="H23">
        <v>4500</v>
      </c>
      <c r="I23">
        <v>260</v>
      </c>
      <c r="J23">
        <v>260</v>
      </c>
      <c r="K23">
        <v>116627.47182719134</v>
      </c>
      <c r="L23" s="85">
        <v>82.870370370370367</v>
      </c>
      <c r="M23" s="85">
        <v>53.846153846153854</v>
      </c>
      <c r="N23" s="85">
        <v>25</v>
      </c>
      <c r="O23" s="85">
        <v>169109.83414942745</v>
      </c>
    </row>
    <row r="24" spans="1:15" x14ac:dyDescent="0.3">
      <c r="A24" t="s">
        <v>2034</v>
      </c>
      <c r="B24" t="s">
        <v>4554</v>
      </c>
      <c r="C24" t="s">
        <v>4555</v>
      </c>
      <c r="D24" t="s">
        <v>1663</v>
      </c>
      <c r="E24">
        <v>0.42</v>
      </c>
      <c r="F24">
        <v>54000</v>
      </c>
      <c r="G24">
        <v>3</v>
      </c>
      <c r="H24">
        <v>4500</v>
      </c>
      <c r="I24">
        <v>260</v>
      </c>
      <c r="J24">
        <v>260</v>
      </c>
      <c r="K24">
        <v>120564.07842584566</v>
      </c>
      <c r="L24" s="85">
        <v>82.870370370370367</v>
      </c>
      <c r="M24" s="85">
        <v>53.846153846153854</v>
      </c>
      <c r="N24" s="85">
        <v>25</v>
      </c>
      <c r="O24" s="85">
        <v>174817.91371747619</v>
      </c>
    </row>
    <row r="25" spans="1:15" x14ac:dyDescent="0.3">
      <c r="A25" t="s">
        <v>2034</v>
      </c>
      <c r="B25" t="s">
        <v>4556</v>
      </c>
      <c r="C25" t="s">
        <v>4556</v>
      </c>
      <c r="D25" t="s">
        <v>1686</v>
      </c>
      <c r="E25">
        <v>0.42</v>
      </c>
      <c r="F25">
        <v>54000</v>
      </c>
      <c r="G25">
        <v>3</v>
      </c>
      <c r="H25">
        <v>4500</v>
      </c>
      <c r="I25">
        <v>260</v>
      </c>
      <c r="J25">
        <v>260</v>
      </c>
      <c r="K25">
        <v>114005.32573164911</v>
      </c>
      <c r="L25" s="85">
        <v>82.870370370370367</v>
      </c>
      <c r="M25" s="85">
        <v>53.846153846153854</v>
      </c>
      <c r="N25" s="85">
        <v>25</v>
      </c>
      <c r="O25" s="85">
        <v>165307.7223108912</v>
      </c>
    </row>
    <row r="26" spans="1:15" x14ac:dyDescent="0.3">
      <c r="A26" t="s">
        <v>2032</v>
      </c>
      <c r="B26" t="s">
        <v>4557</v>
      </c>
      <c r="C26" t="s">
        <v>4558</v>
      </c>
      <c r="D26" t="s">
        <v>1750</v>
      </c>
      <c r="E26">
        <v>0.5</v>
      </c>
      <c r="F26">
        <v>66000</v>
      </c>
      <c r="G26">
        <v>3</v>
      </c>
      <c r="H26">
        <v>5500</v>
      </c>
      <c r="I26">
        <v>260</v>
      </c>
      <c r="J26">
        <v>260</v>
      </c>
      <c r="K26" s="85">
        <v>143836.71052033064</v>
      </c>
      <c r="L26" s="85">
        <v>81.439393939393938</v>
      </c>
      <c r="M26" s="85">
        <v>143.84615384615381</v>
      </c>
      <c r="N26" s="85">
        <v>25</v>
      </c>
      <c r="O26" s="85">
        <v>208563.23025447942</v>
      </c>
    </row>
    <row r="27" spans="1:15" x14ac:dyDescent="0.3">
      <c r="A27" t="s">
        <v>2032</v>
      </c>
      <c r="B27" t="s">
        <v>4559</v>
      </c>
      <c r="C27" t="s">
        <v>4559</v>
      </c>
      <c r="D27" t="s">
        <v>1692</v>
      </c>
      <c r="E27">
        <v>0.5</v>
      </c>
      <c r="F27">
        <v>66000</v>
      </c>
      <c r="G27">
        <v>3</v>
      </c>
      <c r="H27">
        <v>5500</v>
      </c>
      <c r="I27">
        <v>260</v>
      </c>
      <c r="J27">
        <v>260</v>
      </c>
      <c r="K27" s="85">
        <v>152604.65708583579</v>
      </c>
      <c r="L27" s="85">
        <v>99.621212121212125</v>
      </c>
      <c r="M27" s="85">
        <v>143.84615384615381</v>
      </c>
      <c r="N27" s="85">
        <v>25</v>
      </c>
      <c r="O27" s="85">
        <v>221276.7527744619</v>
      </c>
    </row>
    <row r="28" spans="1:15" x14ac:dyDescent="0.3">
      <c r="A28" t="s">
        <v>2032</v>
      </c>
      <c r="B28" t="s">
        <v>1707</v>
      </c>
      <c r="C28" t="s">
        <v>1707</v>
      </c>
      <c r="D28" t="s">
        <v>1706</v>
      </c>
      <c r="E28">
        <v>0.5</v>
      </c>
      <c r="F28">
        <v>66000</v>
      </c>
      <c r="G28">
        <v>3</v>
      </c>
      <c r="H28">
        <v>5500</v>
      </c>
      <c r="I28">
        <v>260</v>
      </c>
      <c r="J28">
        <v>260</v>
      </c>
      <c r="K28" s="85">
        <v>149429.3889114091</v>
      </c>
      <c r="L28" s="85">
        <v>99.621212121212125</v>
      </c>
      <c r="M28" s="85">
        <v>143.84615384615381</v>
      </c>
      <c r="N28" s="85">
        <v>25</v>
      </c>
      <c r="O28" s="85">
        <v>216672.61392154318</v>
      </c>
    </row>
    <row r="29" spans="1:15" x14ac:dyDescent="0.3">
      <c r="A29" t="s">
        <v>2032</v>
      </c>
      <c r="B29" t="s">
        <v>1725</v>
      </c>
      <c r="C29" t="s">
        <v>1725</v>
      </c>
      <c r="D29" t="s">
        <v>1724</v>
      </c>
      <c r="E29">
        <v>0.5</v>
      </c>
      <c r="F29">
        <v>66000</v>
      </c>
      <c r="G29">
        <v>3</v>
      </c>
      <c r="H29">
        <v>5500</v>
      </c>
      <c r="I29">
        <v>260</v>
      </c>
      <c r="J29">
        <v>260</v>
      </c>
      <c r="K29" s="85">
        <v>149292.24898186911</v>
      </c>
      <c r="L29" s="85">
        <v>99.621212121212125</v>
      </c>
      <c r="M29" s="85">
        <v>143.84615384615381</v>
      </c>
      <c r="N29" s="85">
        <v>25</v>
      </c>
      <c r="O29" s="85">
        <v>216473.76102371019</v>
      </c>
    </row>
    <row r="30" spans="1:15" x14ac:dyDescent="0.3">
      <c r="A30" t="s">
        <v>2032</v>
      </c>
      <c r="B30" t="s">
        <v>1736</v>
      </c>
      <c r="C30" t="s">
        <v>1736</v>
      </c>
      <c r="D30" t="s">
        <v>1735</v>
      </c>
      <c r="E30">
        <v>0.5</v>
      </c>
      <c r="F30">
        <v>66000</v>
      </c>
      <c r="G30">
        <v>3</v>
      </c>
      <c r="H30">
        <v>5500</v>
      </c>
      <c r="I30">
        <v>260</v>
      </c>
      <c r="J30">
        <v>260</v>
      </c>
      <c r="K30" s="85">
        <v>148973.78744340758</v>
      </c>
      <c r="L30" s="85">
        <v>99.621212121212125</v>
      </c>
      <c r="M30" s="85">
        <v>143.84615384615381</v>
      </c>
      <c r="N30" s="85">
        <v>25</v>
      </c>
      <c r="O30" s="85">
        <v>216011.99179294097</v>
      </c>
    </row>
    <row r="31" spans="1:15" x14ac:dyDescent="0.3">
      <c r="A31" t="s">
        <v>2032</v>
      </c>
      <c r="B31" t="s">
        <v>1700</v>
      </c>
      <c r="C31" t="s">
        <v>1700</v>
      </c>
      <c r="D31" t="s">
        <v>1699</v>
      </c>
      <c r="E31">
        <v>0.5</v>
      </c>
      <c r="F31">
        <v>66000</v>
      </c>
      <c r="G31">
        <v>3</v>
      </c>
      <c r="H31">
        <v>5500</v>
      </c>
      <c r="I31">
        <v>260</v>
      </c>
      <c r="J31">
        <v>260</v>
      </c>
      <c r="K31" s="85">
        <v>152865.39404206187</v>
      </c>
      <c r="L31" s="85">
        <v>99.621212121212125</v>
      </c>
      <c r="M31" s="85">
        <v>143.84615384615381</v>
      </c>
      <c r="N31" s="85">
        <v>25</v>
      </c>
      <c r="O31" s="85">
        <v>221654.82136098971</v>
      </c>
    </row>
    <row r="32" spans="1:15" x14ac:dyDescent="0.3">
      <c r="A32" t="s">
        <v>2032</v>
      </c>
      <c r="B32" t="s">
        <v>1731</v>
      </c>
      <c r="C32" t="s">
        <v>1731</v>
      </c>
      <c r="D32" t="s">
        <v>1730</v>
      </c>
      <c r="E32">
        <v>0.5</v>
      </c>
      <c r="F32">
        <v>66000</v>
      </c>
      <c r="G32">
        <v>3</v>
      </c>
      <c r="H32">
        <v>5500</v>
      </c>
      <c r="I32">
        <v>260</v>
      </c>
      <c r="J32">
        <v>260</v>
      </c>
      <c r="K32" s="85">
        <v>150824.47397495189</v>
      </c>
      <c r="L32" s="85">
        <v>99.621212121212125</v>
      </c>
      <c r="M32" s="85">
        <v>143.84615384615381</v>
      </c>
      <c r="N32" s="85">
        <v>25</v>
      </c>
      <c r="O32" s="85">
        <v>218695.48726368023</v>
      </c>
    </row>
    <row r="33" spans="1:15" x14ac:dyDescent="0.3">
      <c r="A33" t="s">
        <v>2032</v>
      </c>
      <c r="B33" t="s">
        <v>1712</v>
      </c>
      <c r="C33" t="s">
        <v>1712</v>
      </c>
      <c r="D33" t="s">
        <v>1711</v>
      </c>
      <c r="E33">
        <v>0.5</v>
      </c>
      <c r="F33">
        <v>66000</v>
      </c>
      <c r="G33">
        <v>3</v>
      </c>
      <c r="H33">
        <v>5500</v>
      </c>
      <c r="I33">
        <v>260</v>
      </c>
      <c r="J33">
        <v>260</v>
      </c>
      <c r="K33" s="85">
        <v>151466.41016803062</v>
      </c>
      <c r="L33" s="85">
        <v>99.621212121212125</v>
      </c>
      <c r="M33" s="85">
        <v>143.84615384615381</v>
      </c>
      <c r="N33" s="85">
        <v>25</v>
      </c>
      <c r="O33" s="85">
        <v>219626.29474364439</v>
      </c>
    </row>
    <row r="34" spans="1:15" x14ac:dyDescent="0.3">
      <c r="A34" t="s">
        <v>2032</v>
      </c>
      <c r="B34" t="s">
        <v>1720</v>
      </c>
      <c r="C34" t="s">
        <v>1720</v>
      </c>
      <c r="D34" t="s">
        <v>1719</v>
      </c>
      <c r="E34">
        <v>0.5</v>
      </c>
      <c r="F34">
        <v>66000</v>
      </c>
      <c r="G34">
        <v>3</v>
      </c>
      <c r="H34">
        <v>5500</v>
      </c>
      <c r="I34">
        <v>260</v>
      </c>
      <c r="J34">
        <v>260</v>
      </c>
      <c r="K34" s="85">
        <v>153464.87102242178</v>
      </c>
      <c r="L34" s="85">
        <v>99.621212121212125</v>
      </c>
      <c r="M34" s="85">
        <v>143.84615384615381</v>
      </c>
      <c r="N34" s="85">
        <v>25</v>
      </c>
      <c r="O34" s="85">
        <v>222524.06298251156</v>
      </c>
    </row>
    <row r="35" spans="1:15" x14ac:dyDescent="0.3">
      <c r="A35" t="s">
        <v>2032</v>
      </c>
      <c r="B35" t="s">
        <v>1741</v>
      </c>
      <c r="C35" t="s">
        <v>1741</v>
      </c>
      <c r="D35" t="s">
        <v>1740</v>
      </c>
      <c r="E35">
        <v>0.5</v>
      </c>
      <c r="F35">
        <v>66000</v>
      </c>
      <c r="G35">
        <v>3</v>
      </c>
      <c r="H35">
        <v>5500</v>
      </c>
      <c r="I35">
        <v>260</v>
      </c>
      <c r="J35">
        <v>260</v>
      </c>
      <c r="K35" s="85">
        <v>149968.40282802295</v>
      </c>
      <c r="L35" s="85">
        <v>99.621212121212125</v>
      </c>
      <c r="M35" s="85">
        <v>143.84615384615381</v>
      </c>
      <c r="N35" s="85">
        <v>25</v>
      </c>
      <c r="O35" s="85">
        <v>217454.18410063328</v>
      </c>
    </row>
    <row r="36" spans="1:15" x14ac:dyDescent="0.3">
      <c r="A36" t="s">
        <v>2032</v>
      </c>
      <c r="B36" t="s">
        <v>1714</v>
      </c>
      <c r="C36" t="s">
        <v>1714</v>
      </c>
      <c r="D36" t="s">
        <v>1713</v>
      </c>
      <c r="E36">
        <v>0.5</v>
      </c>
      <c r="F36">
        <v>66000</v>
      </c>
      <c r="G36">
        <v>3</v>
      </c>
      <c r="H36">
        <v>5500</v>
      </c>
      <c r="I36">
        <v>260</v>
      </c>
      <c r="J36">
        <v>260</v>
      </c>
      <c r="K36" s="85">
        <v>153501.00323968194</v>
      </c>
      <c r="L36" s="85">
        <v>99.621212121212125</v>
      </c>
      <c r="M36" s="85">
        <v>143.84615384615381</v>
      </c>
      <c r="N36" s="85">
        <v>25</v>
      </c>
      <c r="O36" s="85">
        <v>222576.45469753881</v>
      </c>
    </row>
    <row r="37" spans="1:15" x14ac:dyDescent="0.3">
      <c r="A37" t="s">
        <v>2032</v>
      </c>
      <c r="B37" t="s">
        <v>1746</v>
      </c>
      <c r="C37" t="s">
        <v>1746</v>
      </c>
      <c r="D37" t="s">
        <v>1745</v>
      </c>
      <c r="E37">
        <v>0.5</v>
      </c>
      <c r="F37">
        <v>66000</v>
      </c>
      <c r="G37">
        <v>3</v>
      </c>
      <c r="H37">
        <v>5500</v>
      </c>
      <c r="I37">
        <v>260</v>
      </c>
      <c r="J37">
        <v>260</v>
      </c>
      <c r="K37" s="85">
        <v>153541.04170122041</v>
      </c>
      <c r="L37" s="85">
        <v>99.621212121212125</v>
      </c>
      <c r="M37" s="85">
        <v>143.84615384615381</v>
      </c>
      <c r="N37" s="85">
        <v>25</v>
      </c>
      <c r="O37" s="85">
        <v>222634.5104667696</v>
      </c>
    </row>
    <row r="38" spans="1:15" x14ac:dyDescent="0.3">
      <c r="A38" t="s">
        <v>2032</v>
      </c>
      <c r="B38" t="s">
        <v>4560</v>
      </c>
      <c r="C38" t="s">
        <v>4560</v>
      </c>
      <c r="D38" t="s">
        <v>1761</v>
      </c>
      <c r="E38">
        <v>0.5</v>
      </c>
      <c r="F38">
        <v>66000</v>
      </c>
      <c r="G38">
        <v>3</v>
      </c>
      <c r="H38">
        <v>5500</v>
      </c>
      <c r="I38">
        <v>260</v>
      </c>
      <c r="J38">
        <v>260</v>
      </c>
      <c r="K38" s="85">
        <v>153341.02325965409</v>
      </c>
      <c r="L38" s="85">
        <v>81.439393939393938</v>
      </c>
      <c r="M38" s="85">
        <v>143.84615384615381</v>
      </c>
      <c r="N38" s="85">
        <v>25</v>
      </c>
      <c r="O38" s="85">
        <v>222344.48372649841</v>
      </c>
    </row>
    <row r="39" spans="1:15" x14ac:dyDescent="0.3">
      <c r="A39" t="s">
        <v>2032</v>
      </c>
      <c r="B39" t="s">
        <v>4561</v>
      </c>
      <c r="C39" t="s">
        <v>4562</v>
      </c>
      <c r="D39" t="s">
        <v>4563</v>
      </c>
      <c r="E39">
        <v>0.5</v>
      </c>
      <c r="F39">
        <v>66000</v>
      </c>
      <c r="G39">
        <v>3</v>
      </c>
      <c r="H39">
        <v>5500</v>
      </c>
      <c r="I39">
        <v>260</v>
      </c>
      <c r="J39">
        <v>260</v>
      </c>
      <c r="K39" s="85">
        <v>144896.47975109986</v>
      </c>
      <c r="L39" s="85">
        <v>81.439393939393938</v>
      </c>
      <c r="M39" s="85">
        <v>143.84615384615381</v>
      </c>
      <c r="N39" s="85">
        <v>25</v>
      </c>
      <c r="O39" s="85">
        <v>210099.89563909479</v>
      </c>
    </row>
    <row r="40" spans="1:15" x14ac:dyDescent="0.3">
      <c r="A40" t="s">
        <v>2032</v>
      </c>
      <c r="B40" t="s">
        <v>1756</v>
      </c>
      <c r="C40" t="s">
        <v>1756</v>
      </c>
      <c r="D40" t="s">
        <v>1755</v>
      </c>
      <c r="E40">
        <v>0.5</v>
      </c>
      <c r="F40">
        <v>66000</v>
      </c>
      <c r="G40">
        <v>3</v>
      </c>
      <c r="H40">
        <v>5500</v>
      </c>
      <c r="I40">
        <v>260</v>
      </c>
      <c r="J40">
        <v>260</v>
      </c>
      <c r="K40" s="85">
        <v>145775.3493935281</v>
      </c>
      <c r="L40" s="85">
        <v>81.439393939393938</v>
      </c>
      <c r="M40" s="85">
        <v>143.84615384615381</v>
      </c>
      <c r="N40" s="85">
        <v>25</v>
      </c>
      <c r="O40" s="85">
        <v>211374.25662061575</v>
      </c>
    </row>
    <row r="41" spans="1:15" x14ac:dyDescent="0.3">
      <c r="A41" t="s">
        <v>2032</v>
      </c>
      <c r="B41" t="s">
        <v>1767</v>
      </c>
      <c r="C41" t="s">
        <v>1767</v>
      </c>
      <c r="D41" t="s">
        <v>1766</v>
      </c>
      <c r="E41">
        <v>0.5</v>
      </c>
      <c r="F41">
        <v>66000</v>
      </c>
      <c r="G41">
        <v>3</v>
      </c>
      <c r="H41">
        <v>5500</v>
      </c>
      <c r="I41">
        <v>260</v>
      </c>
      <c r="J41">
        <v>260</v>
      </c>
      <c r="K41" s="85">
        <v>142201.09513571527</v>
      </c>
      <c r="L41" s="85">
        <v>81.439393939393938</v>
      </c>
      <c r="M41" s="85">
        <v>143.84615384615381</v>
      </c>
      <c r="N41" s="85">
        <v>25</v>
      </c>
      <c r="O41" s="85">
        <v>206191.58794678713</v>
      </c>
    </row>
    <row r="42" spans="1:15" x14ac:dyDescent="0.3">
      <c r="A42" t="s">
        <v>2032</v>
      </c>
      <c r="B42" t="s">
        <v>1772</v>
      </c>
      <c r="C42" t="s">
        <v>1772</v>
      </c>
      <c r="D42" t="s">
        <v>1771</v>
      </c>
      <c r="E42">
        <v>0.5</v>
      </c>
      <c r="F42">
        <v>66000</v>
      </c>
      <c r="G42">
        <v>3</v>
      </c>
      <c r="H42">
        <v>5500</v>
      </c>
      <c r="I42">
        <v>260</v>
      </c>
      <c r="J42">
        <v>260</v>
      </c>
      <c r="K42" s="85">
        <v>145036.61016275888</v>
      </c>
      <c r="L42" s="85">
        <v>81.439393939393938</v>
      </c>
      <c r="M42" s="85">
        <v>143.84615384615381</v>
      </c>
      <c r="N42" s="85">
        <v>25</v>
      </c>
      <c r="O42" s="85">
        <v>210303.08473600037</v>
      </c>
    </row>
    <row r="43" spans="1:15" x14ac:dyDescent="0.3">
      <c r="A43" t="s">
        <v>22</v>
      </c>
      <c r="B43" t="str">
        <f>_xlfn.XLOOKUP(D43,'Asset Code'!$A:$A,'Asset Code'!$B:$B)</f>
        <v>T33405LA</v>
      </c>
      <c r="C43" t="str">
        <f>B43</f>
        <v>T33405LA</v>
      </c>
      <c r="D43" t="s">
        <v>1825</v>
      </c>
      <c r="E43">
        <v>0.5</v>
      </c>
      <c r="F43">
        <v>66000</v>
      </c>
      <c r="G43">
        <v>3</v>
      </c>
      <c r="H43">
        <v>5500</v>
      </c>
      <c r="I43">
        <v>293</v>
      </c>
      <c r="J43">
        <v>293</v>
      </c>
      <c r="K43" s="85">
        <v>187900.17098451007</v>
      </c>
      <c r="L43" s="85">
        <v>99.621212121212125</v>
      </c>
      <c r="M43" s="85">
        <v>143.84615384615381</v>
      </c>
      <c r="N43" s="85">
        <v>36</v>
      </c>
      <c r="O43" s="85">
        <v>244270.22227986311</v>
      </c>
    </row>
    <row r="44" spans="1:15" x14ac:dyDescent="0.3">
      <c r="A44" t="s">
        <v>22</v>
      </c>
      <c r="B44" t="str">
        <f>_xlfn.XLOOKUP(D44,'Asset Code'!$A:$A,'Asset Code'!$B:$B)</f>
        <v>T33404LA</v>
      </c>
      <c r="C44" t="str">
        <f t="shared" ref="C44:C52" si="0">B44</f>
        <v>T33404LA</v>
      </c>
      <c r="D44" t="s">
        <v>1832</v>
      </c>
      <c r="E44">
        <v>0.5</v>
      </c>
      <c r="F44">
        <v>66000</v>
      </c>
      <c r="G44">
        <v>3</v>
      </c>
      <c r="H44">
        <v>5500</v>
      </c>
      <c r="I44">
        <v>293</v>
      </c>
      <c r="J44">
        <v>293</v>
      </c>
      <c r="K44" s="85">
        <v>187900.17098451007</v>
      </c>
      <c r="L44" s="85">
        <v>99.621212121212125</v>
      </c>
      <c r="M44" s="85">
        <v>143.84615384615381</v>
      </c>
      <c r="N44" s="85">
        <v>36</v>
      </c>
      <c r="O44" s="85">
        <v>244270.22227986311</v>
      </c>
    </row>
    <row r="45" spans="1:15" x14ac:dyDescent="0.3">
      <c r="A45" t="s">
        <v>22</v>
      </c>
      <c r="B45" t="str">
        <f>_xlfn.XLOOKUP(D45,'Asset Code'!$A:$A,'Asset Code'!$B:$B)</f>
        <v>T33403LA</v>
      </c>
      <c r="C45" t="str">
        <f t="shared" si="0"/>
        <v>T33403LA</v>
      </c>
      <c r="D45" t="s">
        <v>1837</v>
      </c>
      <c r="E45">
        <v>0.5</v>
      </c>
      <c r="F45">
        <v>66000</v>
      </c>
      <c r="G45">
        <v>3</v>
      </c>
      <c r="H45">
        <v>5500</v>
      </c>
      <c r="I45">
        <v>293</v>
      </c>
      <c r="J45">
        <v>293</v>
      </c>
      <c r="K45" s="85">
        <v>187900.17098451007</v>
      </c>
      <c r="L45" s="85">
        <v>99.621212121212125</v>
      </c>
      <c r="M45" s="85">
        <v>143.84615384615381</v>
      </c>
      <c r="N45" s="85">
        <v>36</v>
      </c>
      <c r="O45" s="85">
        <v>244270.22227986311</v>
      </c>
    </row>
    <row r="46" spans="1:15" x14ac:dyDescent="0.3">
      <c r="A46" t="s">
        <v>22</v>
      </c>
      <c r="B46" t="str">
        <f>_xlfn.XLOOKUP(D46,'Asset Code'!$A:$A,'Asset Code'!$B:$B)</f>
        <v>T33402LA</v>
      </c>
      <c r="C46" t="str">
        <f t="shared" si="0"/>
        <v>T33402LA</v>
      </c>
      <c r="D46" t="s">
        <v>1842</v>
      </c>
      <c r="E46">
        <v>0.5</v>
      </c>
      <c r="F46">
        <v>66000</v>
      </c>
      <c r="G46">
        <v>3</v>
      </c>
      <c r="H46">
        <v>5500</v>
      </c>
      <c r="I46">
        <v>293</v>
      </c>
      <c r="J46">
        <v>293</v>
      </c>
      <c r="K46" s="85">
        <v>187900.17098451007</v>
      </c>
      <c r="L46" s="85">
        <v>99.621212121212125</v>
      </c>
      <c r="M46" s="85">
        <v>143.84615384615381</v>
      </c>
      <c r="N46" s="85">
        <v>36</v>
      </c>
      <c r="O46" s="85">
        <v>244270.22227986311</v>
      </c>
    </row>
    <row r="47" spans="1:15" x14ac:dyDescent="0.3">
      <c r="A47" t="s">
        <v>22</v>
      </c>
      <c r="B47" t="str">
        <f>_xlfn.XLOOKUP(D47,'Asset Code'!$A:$A,'Asset Code'!$B:$B)</f>
        <v>T33401LA</v>
      </c>
      <c r="C47" t="str">
        <f t="shared" si="0"/>
        <v>T33401LA</v>
      </c>
      <c r="D47" t="s">
        <v>1847</v>
      </c>
      <c r="E47">
        <v>0.5</v>
      </c>
      <c r="F47">
        <v>66000</v>
      </c>
      <c r="G47">
        <v>3</v>
      </c>
      <c r="H47">
        <v>5500</v>
      </c>
      <c r="I47">
        <v>293</v>
      </c>
      <c r="J47">
        <v>293</v>
      </c>
      <c r="K47" s="85">
        <v>187900.17098451007</v>
      </c>
      <c r="L47" s="85">
        <v>99.621212121212125</v>
      </c>
      <c r="M47" s="85">
        <v>143.84615384615381</v>
      </c>
      <c r="N47" s="85">
        <v>36</v>
      </c>
      <c r="O47" s="85">
        <v>244270.22227986311</v>
      </c>
    </row>
    <row r="48" spans="1:15" x14ac:dyDescent="0.3">
      <c r="A48" t="s">
        <v>22</v>
      </c>
      <c r="B48" t="str">
        <f>_xlfn.XLOOKUP(D48,'Asset Code'!$A:$A,'Asset Code'!$B:$B)</f>
        <v>T33213LA</v>
      </c>
      <c r="C48" t="str">
        <f t="shared" si="0"/>
        <v>T33213LA</v>
      </c>
      <c r="D48" t="s">
        <v>1852</v>
      </c>
      <c r="E48">
        <v>0.5</v>
      </c>
      <c r="F48">
        <v>66000</v>
      </c>
      <c r="G48">
        <v>3</v>
      </c>
      <c r="H48">
        <v>5500</v>
      </c>
      <c r="I48">
        <v>293</v>
      </c>
      <c r="J48">
        <v>293</v>
      </c>
      <c r="K48" s="85">
        <v>187900.17098451007</v>
      </c>
      <c r="L48" s="85">
        <v>99.621212121212125</v>
      </c>
      <c r="M48" s="85">
        <v>143.84615384615381</v>
      </c>
      <c r="N48" s="85">
        <v>36</v>
      </c>
      <c r="O48" s="85">
        <v>244270.22227986311</v>
      </c>
    </row>
    <row r="49" spans="1:15" x14ac:dyDescent="0.3">
      <c r="A49" t="s">
        <v>22</v>
      </c>
      <c r="B49" t="str">
        <f>_xlfn.XLOOKUP(D49,'Asset Code'!$A:$A,'Asset Code'!$B:$B)</f>
        <v>T33076LA</v>
      </c>
      <c r="C49" t="str">
        <f t="shared" si="0"/>
        <v>T33076LA</v>
      </c>
      <c r="D49" t="s">
        <v>1857</v>
      </c>
      <c r="E49">
        <v>0.5</v>
      </c>
      <c r="F49">
        <v>66000</v>
      </c>
      <c r="G49">
        <v>3</v>
      </c>
      <c r="H49">
        <v>5500</v>
      </c>
      <c r="I49">
        <v>293</v>
      </c>
      <c r="J49">
        <v>293</v>
      </c>
      <c r="K49" s="85">
        <v>187900.17098451007</v>
      </c>
      <c r="L49" s="85">
        <v>99.621212121212125</v>
      </c>
      <c r="M49" s="85">
        <v>143.84615384615381</v>
      </c>
      <c r="N49" s="85">
        <v>36</v>
      </c>
      <c r="O49" s="85">
        <v>244270.22227986311</v>
      </c>
    </row>
    <row r="50" spans="1:15" x14ac:dyDescent="0.3">
      <c r="A50" t="s">
        <v>22</v>
      </c>
      <c r="B50" t="str">
        <f>_xlfn.XLOOKUP(D50,'Asset Code'!$A:$A,'Asset Code'!$B:$B)</f>
        <v>T33075LA</v>
      </c>
      <c r="C50" t="str">
        <f t="shared" si="0"/>
        <v>T33075LA</v>
      </c>
      <c r="D50" t="s">
        <v>1862</v>
      </c>
      <c r="E50">
        <v>0.5</v>
      </c>
      <c r="F50">
        <v>66000</v>
      </c>
      <c r="G50">
        <v>3</v>
      </c>
      <c r="H50">
        <v>5500</v>
      </c>
      <c r="I50">
        <v>293</v>
      </c>
      <c r="J50">
        <v>293</v>
      </c>
      <c r="K50" s="85">
        <v>187900.17098451007</v>
      </c>
      <c r="L50" s="85">
        <v>99.621212121212125</v>
      </c>
      <c r="M50" s="85">
        <v>143.84615384615381</v>
      </c>
      <c r="N50" s="85">
        <v>36</v>
      </c>
      <c r="O50" s="85">
        <v>244270.22227986311</v>
      </c>
    </row>
    <row r="51" spans="1:15" x14ac:dyDescent="0.3">
      <c r="A51" t="s">
        <v>22</v>
      </c>
      <c r="B51" t="str">
        <f>_xlfn.XLOOKUP(D51,'Asset Code'!$A:$A,'Asset Code'!$B:$B)</f>
        <v>T33074LA</v>
      </c>
      <c r="C51" t="str">
        <f t="shared" si="0"/>
        <v>T33074LA</v>
      </c>
      <c r="D51" t="s">
        <v>1867</v>
      </c>
      <c r="E51">
        <v>0.5</v>
      </c>
      <c r="F51">
        <v>66000</v>
      </c>
      <c r="G51">
        <v>3</v>
      </c>
      <c r="H51">
        <v>5500</v>
      </c>
      <c r="I51">
        <v>293</v>
      </c>
      <c r="J51">
        <v>293</v>
      </c>
      <c r="K51" s="85">
        <v>187900.17098451007</v>
      </c>
      <c r="L51" s="85">
        <v>99.621212121212125</v>
      </c>
      <c r="M51" s="85">
        <v>143.84615384615381</v>
      </c>
      <c r="N51" s="85">
        <v>36</v>
      </c>
      <c r="O51" s="85">
        <v>244270.22227986311</v>
      </c>
    </row>
    <row r="52" spans="1:15" x14ac:dyDescent="0.3">
      <c r="A52" t="s">
        <v>22</v>
      </c>
      <c r="B52" t="str">
        <f>_xlfn.XLOOKUP(D52,'Asset Code'!$A:$A,'Asset Code'!$B:$B)</f>
        <v>T33073LA</v>
      </c>
      <c r="C52" t="str">
        <f t="shared" si="0"/>
        <v>T33073LA</v>
      </c>
      <c r="D52" t="s">
        <v>1872</v>
      </c>
      <c r="E52">
        <v>0.5</v>
      </c>
      <c r="F52">
        <v>66000</v>
      </c>
      <c r="G52">
        <v>3</v>
      </c>
      <c r="H52">
        <v>5500</v>
      </c>
      <c r="I52">
        <v>293</v>
      </c>
      <c r="J52">
        <v>293</v>
      </c>
      <c r="K52" s="85">
        <v>187900.17098451007</v>
      </c>
      <c r="L52" s="85">
        <v>99.621212121212125</v>
      </c>
      <c r="M52" s="85">
        <v>143.84615384615381</v>
      </c>
      <c r="N52" s="85">
        <v>36</v>
      </c>
      <c r="O52" s="85">
        <v>244270.22227986311</v>
      </c>
    </row>
    <row r="53" spans="1:15" x14ac:dyDescent="0.3">
      <c r="A53" t="s">
        <v>4517</v>
      </c>
      <c r="B53" t="s">
        <v>4564</v>
      </c>
      <c r="C53" t="s">
        <v>4564</v>
      </c>
      <c r="D53" t="s">
        <v>1776</v>
      </c>
      <c r="E53">
        <v>0.7</v>
      </c>
      <c r="F53">
        <v>66000</v>
      </c>
      <c r="G53">
        <v>3</v>
      </c>
      <c r="H53">
        <v>5500</v>
      </c>
      <c r="I53">
        <v>293</v>
      </c>
      <c r="J53">
        <v>293</v>
      </c>
      <c r="K53">
        <v>204282.42354423704</v>
      </c>
      <c r="L53" s="85">
        <v>99.621212121212125</v>
      </c>
      <c r="M53" s="85">
        <v>143.84615384615381</v>
      </c>
      <c r="N53" s="85">
        <v>36</v>
      </c>
      <c r="O53" s="85">
        <v>265567.15060750814</v>
      </c>
    </row>
    <row r="54" spans="1:15" x14ac:dyDescent="0.3">
      <c r="A54" t="s">
        <v>4517</v>
      </c>
      <c r="B54" t="s">
        <v>4565</v>
      </c>
      <c r="C54" t="s">
        <v>4565</v>
      </c>
      <c r="D54" t="s">
        <v>1782</v>
      </c>
      <c r="E54">
        <v>0.7</v>
      </c>
      <c r="F54">
        <v>66000</v>
      </c>
      <c r="G54">
        <v>3</v>
      </c>
      <c r="H54">
        <v>5500</v>
      </c>
      <c r="I54">
        <v>293</v>
      </c>
      <c r="J54">
        <v>293</v>
      </c>
      <c r="K54">
        <v>204282.42354423704</v>
      </c>
      <c r="L54" s="85">
        <v>99.621212121212125</v>
      </c>
      <c r="M54" s="85">
        <v>143.84615384615381</v>
      </c>
      <c r="N54" s="85">
        <v>36</v>
      </c>
      <c r="O54" s="85">
        <v>265567.15060750814</v>
      </c>
    </row>
    <row r="55" spans="1:15" x14ac:dyDescent="0.3">
      <c r="A55" t="s">
        <v>4517</v>
      </c>
      <c r="B55" t="s">
        <v>4566</v>
      </c>
      <c r="C55" t="s">
        <v>4566</v>
      </c>
      <c r="D55" t="s">
        <v>1787</v>
      </c>
      <c r="E55">
        <v>0.7</v>
      </c>
      <c r="F55">
        <v>66000</v>
      </c>
      <c r="G55">
        <v>3</v>
      </c>
      <c r="H55">
        <v>5500</v>
      </c>
      <c r="I55">
        <v>293</v>
      </c>
      <c r="J55">
        <v>293</v>
      </c>
      <c r="K55">
        <v>204282.42354423704</v>
      </c>
      <c r="L55" s="85">
        <v>99.621212121212125</v>
      </c>
      <c r="M55" s="85">
        <v>143.84615384615381</v>
      </c>
      <c r="N55" s="85">
        <v>36</v>
      </c>
      <c r="O55" s="85">
        <v>265567.15060750814</v>
      </c>
    </row>
    <row r="56" spans="1:15" x14ac:dyDescent="0.3">
      <c r="A56" t="s">
        <v>4517</v>
      </c>
      <c r="B56" t="s">
        <v>4567</v>
      </c>
      <c r="C56" t="s">
        <v>4567</v>
      </c>
      <c r="D56" t="s">
        <v>1792</v>
      </c>
      <c r="E56">
        <v>0.7</v>
      </c>
      <c r="F56">
        <v>66000</v>
      </c>
      <c r="G56">
        <v>3</v>
      </c>
      <c r="H56">
        <v>5500</v>
      </c>
      <c r="I56">
        <v>293</v>
      </c>
      <c r="J56">
        <v>293</v>
      </c>
      <c r="K56">
        <v>204282.42354423704</v>
      </c>
      <c r="L56" s="85">
        <v>99.621212121212125</v>
      </c>
      <c r="M56" s="85">
        <v>143.84615384615381</v>
      </c>
      <c r="N56" s="85">
        <v>36</v>
      </c>
      <c r="O56" s="85">
        <v>265567.15060750814</v>
      </c>
    </row>
    <row r="57" spans="1:15" x14ac:dyDescent="0.3">
      <c r="A57" t="s">
        <v>4517</v>
      </c>
      <c r="B57" t="s">
        <v>4568</v>
      </c>
      <c r="C57" t="s">
        <v>4568</v>
      </c>
      <c r="D57" t="s">
        <v>1797</v>
      </c>
      <c r="E57">
        <v>0.7</v>
      </c>
      <c r="F57">
        <v>66000</v>
      </c>
      <c r="G57">
        <v>3</v>
      </c>
      <c r="H57">
        <v>5500</v>
      </c>
      <c r="I57">
        <v>293</v>
      </c>
      <c r="J57">
        <v>293</v>
      </c>
      <c r="K57">
        <v>204282.42354423704</v>
      </c>
      <c r="L57" s="85">
        <v>99.621212121212125</v>
      </c>
      <c r="M57" s="85">
        <v>143.84615384615381</v>
      </c>
      <c r="N57" s="85">
        <v>36</v>
      </c>
      <c r="O57" s="85">
        <v>265567.15060750814</v>
      </c>
    </row>
    <row r="58" spans="1:15" x14ac:dyDescent="0.3">
      <c r="A58" t="s">
        <v>4517</v>
      </c>
      <c r="B58" t="s">
        <v>4569</v>
      </c>
      <c r="C58" t="s">
        <v>4569</v>
      </c>
      <c r="D58" t="s">
        <v>1802</v>
      </c>
      <c r="E58">
        <v>0.7</v>
      </c>
      <c r="F58">
        <v>66000</v>
      </c>
      <c r="G58">
        <v>3</v>
      </c>
      <c r="H58">
        <v>5500</v>
      </c>
      <c r="I58">
        <v>293</v>
      </c>
      <c r="J58">
        <v>293</v>
      </c>
      <c r="K58">
        <v>204282.42354423704</v>
      </c>
      <c r="L58" s="85">
        <v>99.621212121212125</v>
      </c>
      <c r="M58" s="85">
        <v>143.84615384615381</v>
      </c>
      <c r="N58" s="85">
        <v>36</v>
      </c>
      <c r="O58" s="85">
        <v>265567.15060750814</v>
      </c>
    </row>
    <row r="59" spans="1:15" x14ac:dyDescent="0.3">
      <c r="A59" t="s">
        <v>4517</v>
      </c>
      <c r="B59" t="s">
        <v>4570</v>
      </c>
      <c r="C59" t="s">
        <v>4570</v>
      </c>
      <c r="D59" t="s">
        <v>1807</v>
      </c>
      <c r="E59">
        <v>0.7</v>
      </c>
      <c r="F59">
        <v>66000</v>
      </c>
      <c r="G59">
        <v>3</v>
      </c>
      <c r="H59">
        <v>5500</v>
      </c>
      <c r="I59">
        <v>293</v>
      </c>
      <c r="J59">
        <v>293</v>
      </c>
      <c r="K59">
        <v>204282.42354423704</v>
      </c>
      <c r="L59" s="85">
        <v>99.621212121212125</v>
      </c>
      <c r="M59" s="85">
        <v>143.84615384615381</v>
      </c>
      <c r="N59" s="85">
        <v>36</v>
      </c>
      <c r="O59" s="85">
        <v>265567.15060750814</v>
      </c>
    </row>
    <row r="60" spans="1:15" x14ac:dyDescent="0.3">
      <c r="A60" t="s">
        <v>4517</v>
      </c>
      <c r="B60" t="s">
        <v>4571</v>
      </c>
      <c r="C60" t="s">
        <v>4571</v>
      </c>
      <c r="D60" t="s">
        <v>1812</v>
      </c>
      <c r="E60">
        <v>0.7</v>
      </c>
      <c r="F60">
        <v>66000</v>
      </c>
      <c r="G60">
        <v>3</v>
      </c>
      <c r="H60">
        <v>5500</v>
      </c>
      <c r="I60">
        <v>293</v>
      </c>
      <c r="J60">
        <v>293</v>
      </c>
      <c r="K60">
        <v>204282.42354423704</v>
      </c>
      <c r="L60" s="85">
        <v>99.621212121212125</v>
      </c>
      <c r="M60" s="85">
        <v>143.84615384615381</v>
      </c>
      <c r="N60" s="85">
        <v>36</v>
      </c>
      <c r="O60" s="85">
        <v>265567.15060750814</v>
      </c>
    </row>
    <row r="61" spans="1:15" x14ac:dyDescent="0.3">
      <c r="A61" t="s">
        <v>4517</v>
      </c>
      <c r="B61" t="s">
        <v>4572</v>
      </c>
      <c r="C61" t="s">
        <v>4572</v>
      </c>
      <c r="D61" t="s">
        <v>1817</v>
      </c>
      <c r="E61">
        <v>0.7</v>
      </c>
      <c r="F61">
        <v>66000</v>
      </c>
      <c r="G61">
        <v>3</v>
      </c>
      <c r="H61">
        <v>5500</v>
      </c>
      <c r="I61">
        <v>293</v>
      </c>
      <c r="J61">
        <v>293</v>
      </c>
      <c r="K61">
        <v>204282.42354423704</v>
      </c>
      <c r="L61" s="85">
        <v>99.621212121212125</v>
      </c>
      <c r="M61" s="85">
        <v>143.84615384615381</v>
      </c>
      <c r="N61" s="85">
        <v>36</v>
      </c>
      <c r="O61" s="85">
        <v>265567.15060750814</v>
      </c>
    </row>
    <row r="62" spans="1:15" x14ac:dyDescent="0.3">
      <c r="A62" t="s">
        <v>4517</v>
      </c>
      <c r="B62" t="s">
        <v>4573</v>
      </c>
      <c r="C62" t="s">
        <v>4573</v>
      </c>
      <c r="D62" t="s">
        <v>1820</v>
      </c>
      <c r="E62">
        <v>0.7</v>
      </c>
      <c r="F62">
        <v>66000</v>
      </c>
      <c r="G62">
        <v>3</v>
      </c>
      <c r="H62">
        <v>5500</v>
      </c>
      <c r="I62">
        <v>293</v>
      </c>
      <c r="J62">
        <v>293</v>
      </c>
      <c r="K62">
        <v>204282.42354423704</v>
      </c>
      <c r="L62" s="85">
        <v>99.621212121212125</v>
      </c>
      <c r="M62" s="85">
        <v>143.84615384615381</v>
      </c>
      <c r="N62" s="85">
        <v>36</v>
      </c>
      <c r="O62" s="85">
        <v>265567.15060750814</v>
      </c>
    </row>
    <row r="63" spans="1:15" x14ac:dyDescent="0.3">
      <c r="A63" t="s">
        <v>4516</v>
      </c>
      <c r="B63" t="s">
        <v>4574</v>
      </c>
      <c r="C63" t="s">
        <v>4575</v>
      </c>
      <c r="D63" t="s">
        <v>1615</v>
      </c>
      <c r="E63">
        <v>0.42</v>
      </c>
      <c r="F63">
        <v>11700</v>
      </c>
      <c r="G63">
        <v>6.5</v>
      </c>
      <c r="H63">
        <v>975</v>
      </c>
      <c r="I63">
        <v>260</v>
      </c>
      <c r="J63">
        <v>260</v>
      </c>
      <c r="K63">
        <v>113224.04875026827</v>
      </c>
      <c r="L63" s="85">
        <v>382.47863247863251</v>
      </c>
      <c r="M63" s="85">
        <v>53.846153846153847</v>
      </c>
      <c r="N63" s="85">
        <v>25</v>
      </c>
      <c r="O63" s="85">
        <v>271737.71700064384</v>
      </c>
    </row>
    <row r="64" spans="1:15" x14ac:dyDescent="0.3">
      <c r="A64" t="s">
        <v>4516</v>
      </c>
      <c r="B64" t="s">
        <v>4576</v>
      </c>
      <c r="C64" t="s">
        <v>4577</v>
      </c>
      <c r="D64" t="s">
        <v>1635</v>
      </c>
      <c r="E64">
        <v>0.42</v>
      </c>
      <c r="F64">
        <v>11700</v>
      </c>
      <c r="G64">
        <v>6.5</v>
      </c>
      <c r="H64">
        <v>975</v>
      </c>
      <c r="I64">
        <v>260</v>
      </c>
      <c r="J64">
        <v>260</v>
      </c>
      <c r="K64">
        <v>114569.73528181261</v>
      </c>
      <c r="L64" s="85">
        <v>382.47863247863251</v>
      </c>
      <c r="M64" s="85">
        <v>53.846153846153847</v>
      </c>
      <c r="N64" s="85">
        <v>25</v>
      </c>
      <c r="O64" s="85">
        <v>274967.36467635026</v>
      </c>
    </row>
    <row r="65" spans="1:15" x14ac:dyDescent="0.3">
      <c r="A65" t="s">
        <v>4516</v>
      </c>
      <c r="B65" t="s">
        <v>4578</v>
      </c>
      <c r="C65" t="s">
        <v>4579</v>
      </c>
      <c r="D65" t="s">
        <v>1645</v>
      </c>
      <c r="E65">
        <v>0.42</v>
      </c>
      <c r="F65">
        <v>11700</v>
      </c>
      <c r="G65">
        <v>6.5</v>
      </c>
      <c r="H65">
        <v>975</v>
      </c>
      <c r="I65">
        <v>260</v>
      </c>
      <c r="J65">
        <v>260</v>
      </c>
      <c r="K65">
        <v>120952.87146961958</v>
      </c>
      <c r="L65" s="85">
        <v>382.47863247863251</v>
      </c>
      <c r="M65" s="85">
        <v>53.846153846153847</v>
      </c>
      <c r="N65" s="85">
        <v>25</v>
      </c>
      <c r="O65" s="85">
        <v>290286.89152708696</v>
      </c>
    </row>
    <row r="66" spans="1:15" x14ac:dyDescent="0.3">
      <c r="A66" t="s">
        <v>4516</v>
      </c>
      <c r="B66" t="s">
        <v>4580</v>
      </c>
      <c r="C66" t="s">
        <v>4581</v>
      </c>
      <c r="D66" t="s">
        <v>1649</v>
      </c>
      <c r="E66">
        <v>0.42</v>
      </c>
      <c r="F66">
        <v>11700</v>
      </c>
      <c r="G66">
        <v>6.5</v>
      </c>
      <c r="H66">
        <v>975</v>
      </c>
      <c r="I66">
        <v>260</v>
      </c>
      <c r="J66">
        <v>260</v>
      </c>
      <c r="K66">
        <v>117806.74105796058</v>
      </c>
      <c r="L66" s="85">
        <v>382.47863247863251</v>
      </c>
      <c r="M66" s="85">
        <v>53.846153846153847</v>
      </c>
      <c r="N66" s="85">
        <v>25</v>
      </c>
      <c r="O66" s="85">
        <v>282736.1785391054</v>
      </c>
    </row>
    <row r="67" spans="1:15" x14ac:dyDescent="0.3">
      <c r="A67" t="s">
        <v>4516</v>
      </c>
      <c r="B67" t="s">
        <v>4582</v>
      </c>
      <c r="C67" t="s">
        <v>4583</v>
      </c>
      <c r="D67" t="s">
        <v>1640</v>
      </c>
      <c r="E67">
        <v>0.42</v>
      </c>
      <c r="F67">
        <v>11700</v>
      </c>
      <c r="G67">
        <v>6.5</v>
      </c>
      <c r="H67">
        <v>975</v>
      </c>
      <c r="I67">
        <v>260</v>
      </c>
      <c r="J67">
        <v>260</v>
      </c>
      <c r="K67">
        <v>117965.97182719134</v>
      </c>
      <c r="L67" s="85">
        <v>382.47863247863251</v>
      </c>
      <c r="M67" s="85">
        <v>53.846153846153847</v>
      </c>
      <c r="N67" s="85">
        <v>25</v>
      </c>
      <c r="O67" s="85">
        <v>283118.33238525921</v>
      </c>
    </row>
    <row r="68" spans="1:15" x14ac:dyDescent="0.3">
      <c r="A68" t="s">
        <v>4516</v>
      </c>
      <c r="B68" t="s">
        <v>4584</v>
      </c>
      <c r="C68" t="s">
        <v>4585</v>
      </c>
      <c r="D68" t="s">
        <v>1624</v>
      </c>
      <c r="E68">
        <v>0.42</v>
      </c>
      <c r="F68">
        <v>11700</v>
      </c>
      <c r="G68">
        <v>6.5</v>
      </c>
      <c r="H68">
        <v>975</v>
      </c>
      <c r="I68">
        <v>260</v>
      </c>
      <c r="J68">
        <v>260</v>
      </c>
      <c r="K68">
        <v>116601.33300808113</v>
      </c>
      <c r="L68" s="85">
        <v>382.47863247863251</v>
      </c>
      <c r="M68" s="85">
        <v>53.846153846153847</v>
      </c>
      <c r="N68" s="85">
        <v>25</v>
      </c>
      <c r="O68" s="85">
        <v>279843.19921939471</v>
      </c>
    </row>
    <row r="69" spans="1:15" x14ac:dyDescent="0.3">
      <c r="A69" t="s">
        <v>4516</v>
      </c>
      <c r="B69" t="s">
        <v>4586</v>
      </c>
      <c r="C69" t="s">
        <v>4587</v>
      </c>
      <c r="D69" t="s">
        <v>1629</v>
      </c>
      <c r="E69">
        <v>0.42</v>
      </c>
      <c r="F69">
        <v>11700</v>
      </c>
      <c r="G69">
        <v>6.5</v>
      </c>
      <c r="H69">
        <v>975</v>
      </c>
      <c r="I69">
        <v>260</v>
      </c>
      <c r="J69">
        <v>260</v>
      </c>
      <c r="K69">
        <v>113614.43336565288</v>
      </c>
      <c r="L69" s="85">
        <v>382.47863247863251</v>
      </c>
      <c r="M69" s="85">
        <v>53.846153846153847</v>
      </c>
      <c r="N69" s="85">
        <v>25</v>
      </c>
      <c r="O69" s="85">
        <v>272674.6400775669</v>
      </c>
    </row>
  </sheetData>
  <autoFilter ref="A2:N69" xr:uid="{71C78EAE-50E1-4DB5-801B-40E38695081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820C8-F69F-4096-BBA4-71BEDA254175}">
  <dimension ref="A2:E21"/>
  <sheetViews>
    <sheetView workbookViewId="0">
      <selection activeCell="B15" sqref="B15"/>
    </sheetView>
  </sheetViews>
  <sheetFormatPr defaultRowHeight="14.4" x14ac:dyDescent="0.3"/>
  <cols>
    <col min="1" max="1" width="49.5546875" bestFit="1" customWidth="1"/>
    <col min="2" max="2" width="11.44140625" bestFit="1" customWidth="1"/>
    <col min="3" max="3" width="10.44140625" bestFit="1" customWidth="1"/>
    <col min="4" max="4" width="11.44140625" bestFit="1" customWidth="1"/>
    <col min="5" max="5" width="10.5546875" bestFit="1" customWidth="1"/>
  </cols>
  <sheetData>
    <row r="2" spans="1:5" ht="15" thickBot="1" x14ac:dyDescent="0.35">
      <c r="A2" s="39" t="s">
        <v>1595</v>
      </c>
    </row>
    <row r="3" spans="1:5" x14ac:dyDescent="0.3">
      <c r="A3" s="40" t="s">
        <v>1596</v>
      </c>
      <c r="B3" s="42" t="s">
        <v>1597</v>
      </c>
    </row>
    <row r="4" spans="1:5" x14ac:dyDescent="0.3">
      <c r="A4" s="41" t="s">
        <v>1598</v>
      </c>
      <c r="B4" s="43" t="s">
        <v>1599</v>
      </c>
    </row>
    <row r="5" spans="1:5" x14ac:dyDescent="0.3">
      <c r="A5" s="37" t="s">
        <v>1600</v>
      </c>
      <c r="B5" s="44">
        <v>0.42</v>
      </c>
    </row>
    <row r="6" spans="1:5" x14ac:dyDescent="0.3">
      <c r="A6" s="37" t="s">
        <v>1601</v>
      </c>
      <c r="B6" s="44">
        <v>0.42</v>
      </c>
    </row>
    <row r="7" spans="1:5" x14ac:dyDescent="0.3">
      <c r="A7" s="37" t="s">
        <v>1604</v>
      </c>
      <c r="B7" s="44">
        <v>0.42</v>
      </c>
    </row>
    <row r="8" spans="1:5" x14ac:dyDescent="0.3">
      <c r="A8" s="37" t="s">
        <v>1602</v>
      </c>
      <c r="B8" s="44">
        <v>0.5</v>
      </c>
    </row>
    <row r="9" spans="1:5" x14ac:dyDescent="0.3">
      <c r="A9" s="37" t="s">
        <v>1603</v>
      </c>
      <c r="B9" s="44">
        <v>0.75</v>
      </c>
    </row>
    <row r="10" spans="1:5" x14ac:dyDescent="0.3">
      <c r="A10" s="37" t="s">
        <v>1605</v>
      </c>
      <c r="B10" s="44">
        <v>0.15</v>
      </c>
    </row>
    <row r="11" spans="1:5" ht="15" thickBot="1" x14ac:dyDescent="0.35">
      <c r="A11" s="38" t="s">
        <v>1606</v>
      </c>
      <c r="B11" s="45">
        <v>0.35</v>
      </c>
    </row>
    <row r="15" spans="1:5" x14ac:dyDescent="0.3">
      <c r="A15" s="33" t="s">
        <v>1564</v>
      </c>
      <c r="B15" t="s">
        <v>2222</v>
      </c>
      <c r="C15" t="s">
        <v>2227</v>
      </c>
      <c r="D15" t="s">
        <v>2228</v>
      </c>
      <c r="E15" t="s">
        <v>2229</v>
      </c>
    </row>
    <row r="16" spans="1:5" x14ac:dyDescent="0.3">
      <c r="A16" t="s">
        <v>2223</v>
      </c>
      <c r="B16" s="85">
        <v>114000</v>
      </c>
      <c r="C16" s="85">
        <v>40000</v>
      </c>
      <c r="D16" s="85">
        <v>300000</v>
      </c>
      <c r="E16" s="85">
        <v>80000</v>
      </c>
    </row>
    <row r="17" spans="1:5" x14ac:dyDescent="0.3">
      <c r="A17" t="s">
        <v>2224</v>
      </c>
      <c r="B17" s="85">
        <v>114000</v>
      </c>
      <c r="C17" s="85">
        <v>40000</v>
      </c>
      <c r="D17" s="85">
        <v>300000</v>
      </c>
      <c r="E17" s="85">
        <v>39000</v>
      </c>
    </row>
    <row r="18" spans="1:5" x14ac:dyDescent="0.3">
      <c r="A18" t="s">
        <v>2225</v>
      </c>
      <c r="B18" s="85">
        <v>114000</v>
      </c>
      <c r="C18" s="85">
        <v>40000</v>
      </c>
      <c r="D18" s="85">
        <v>40000</v>
      </c>
      <c r="E18" s="85">
        <v>39000</v>
      </c>
    </row>
    <row r="19" spans="1:5" x14ac:dyDescent="0.3">
      <c r="A19" t="s">
        <v>2226</v>
      </c>
      <c r="B19" s="85">
        <v>114000</v>
      </c>
      <c r="C19" s="85">
        <v>40000</v>
      </c>
      <c r="D19" s="85">
        <v>40000</v>
      </c>
      <c r="E19" s="85">
        <v>80000</v>
      </c>
    </row>
    <row r="20" spans="1:5" x14ac:dyDescent="0.3">
      <c r="A20" t="s">
        <v>2230</v>
      </c>
      <c r="B20" s="85">
        <v>114000</v>
      </c>
      <c r="C20" s="85">
        <v>40000</v>
      </c>
      <c r="D20" s="85">
        <v>40000</v>
      </c>
      <c r="E20" s="85">
        <v>39000</v>
      </c>
    </row>
    <row r="21" spans="1:5" x14ac:dyDescent="0.3">
      <c r="A21" t="s">
        <v>2231</v>
      </c>
      <c r="B21" s="85">
        <v>114000</v>
      </c>
      <c r="C21" s="85">
        <v>40000</v>
      </c>
      <c r="D21" s="85">
        <v>40000</v>
      </c>
      <c r="E21" s="85">
        <v>80000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7D255-8B10-4C1D-B6D2-E383943B01D7}">
  <dimension ref="A1:E24"/>
  <sheetViews>
    <sheetView workbookViewId="0">
      <selection activeCell="E9" sqref="E9"/>
    </sheetView>
  </sheetViews>
  <sheetFormatPr defaultRowHeight="14.4" x14ac:dyDescent="0.3"/>
  <cols>
    <col min="1" max="1" width="23.33203125" style="12" bestFit="1" customWidth="1"/>
    <col min="2" max="2" width="14.33203125" style="12" bestFit="1" customWidth="1"/>
    <col min="3" max="3" width="34.33203125" style="12" bestFit="1" customWidth="1"/>
    <col min="4" max="4" width="26.33203125" style="12" bestFit="1" customWidth="1"/>
    <col min="5" max="5" width="14.6640625" style="12" bestFit="1" customWidth="1"/>
    <col min="6" max="16384" width="8.88671875" style="12"/>
  </cols>
  <sheetData>
    <row r="1" spans="1:5" x14ac:dyDescent="0.3">
      <c r="A1" s="31" t="s">
        <v>1547</v>
      </c>
      <c r="B1" s="32" t="s">
        <v>1548</v>
      </c>
      <c r="C1" s="32" t="s">
        <v>1549</v>
      </c>
      <c r="D1" s="33" t="s">
        <v>1550</v>
      </c>
      <c r="E1" s="12" t="s">
        <v>1595</v>
      </c>
    </row>
    <row r="2" spans="1:5" x14ac:dyDescent="0.3">
      <c r="A2" s="34" t="s">
        <v>1551</v>
      </c>
      <c r="B2" s="33">
        <v>6101027</v>
      </c>
      <c r="C2" s="33" t="s">
        <v>1552</v>
      </c>
      <c r="D2" s="33" t="s">
        <v>1553</v>
      </c>
      <c r="E2" s="12" t="s">
        <v>2220</v>
      </c>
    </row>
    <row r="3" spans="1:5" x14ac:dyDescent="0.3">
      <c r="A3" s="34"/>
      <c r="B3" s="33">
        <v>6103008</v>
      </c>
      <c r="C3" s="33" t="s">
        <v>1554</v>
      </c>
      <c r="D3" s="33" t="s">
        <v>1555</v>
      </c>
      <c r="E3" s="12" t="s">
        <v>2221</v>
      </c>
    </row>
    <row r="4" spans="1:5" x14ac:dyDescent="0.3">
      <c r="A4" s="34"/>
      <c r="B4" s="33">
        <v>6103009</v>
      </c>
      <c r="C4" s="33" t="s">
        <v>1556</v>
      </c>
      <c r="D4" s="33" t="s">
        <v>1555</v>
      </c>
      <c r="E4" s="12" t="s">
        <v>2221</v>
      </c>
    </row>
    <row r="5" spans="1:5" x14ac:dyDescent="0.3">
      <c r="A5" s="34"/>
      <c r="B5" s="33">
        <v>6103013</v>
      </c>
      <c r="C5" s="33" t="s">
        <v>1557</v>
      </c>
      <c r="D5" s="33" t="s">
        <v>1558</v>
      </c>
      <c r="E5" s="12" t="s">
        <v>2233</v>
      </c>
    </row>
    <row r="6" spans="1:5" x14ac:dyDescent="0.3">
      <c r="A6" s="34"/>
      <c r="B6" s="33" t="s">
        <v>1559</v>
      </c>
      <c r="C6" s="33" t="s">
        <v>1560</v>
      </c>
      <c r="D6" s="33" t="s">
        <v>1561</v>
      </c>
      <c r="E6" s="12" t="s">
        <v>2221</v>
      </c>
    </row>
    <row r="7" spans="1:5" x14ac:dyDescent="0.3">
      <c r="A7" s="34"/>
      <c r="B7" s="33">
        <v>6105047</v>
      </c>
      <c r="C7" s="33" t="s">
        <v>1562</v>
      </c>
      <c r="D7" s="33" t="s">
        <v>1563</v>
      </c>
      <c r="E7" s="12" t="s">
        <v>2233</v>
      </c>
    </row>
    <row r="8" spans="1:5" x14ac:dyDescent="0.3">
      <c r="A8" s="34"/>
      <c r="B8" s="33">
        <v>6105051</v>
      </c>
      <c r="C8" s="33" t="s">
        <v>1564</v>
      </c>
      <c r="D8" s="33" t="s">
        <v>1565</v>
      </c>
      <c r="E8" s="12" t="s">
        <v>2221</v>
      </c>
    </row>
    <row r="9" spans="1:5" x14ac:dyDescent="0.3">
      <c r="A9" s="34"/>
      <c r="B9" s="33">
        <v>6102028</v>
      </c>
      <c r="C9" s="33" t="s">
        <v>1566</v>
      </c>
      <c r="D9" s="33" t="s">
        <v>1567</v>
      </c>
      <c r="E9" s="12" t="s">
        <v>2232</v>
      </c>
    </row>
    <row r="10" spans="1:5" x14ac:dyDescent="0.3">
      <c r="A10" s="34"/>
      <c r="B10" s="33">
        <v>6102010</v>
      </c>
      <c r="C10" s="33" t="s">
        <v>1568</v>
      </c>
      <c r="D10" s="33" t="s">
        <v>1569</v>
      </c>
      <c r="E10" s="12" t="s">
        <v>2232</v>
      </c>
    </row>
    <row r="11" spans="1:5" x14ac:dyDescent="0.3">
      <c r="A11" s="34"/>
      <c r="B11" s="33">
        <v>6102009</v>
      </c>
      <c r="C11" s="33" t="s">
        <v>1570</v>
      </c>
      <c r="D11" s="33" t="s">
        <v>1571</v>
      </c>
      <c r="E11" s="12" t="s">
        <v>2232</v>
      </c>
    </row>
    <row r="12" spans="1:5" x14ac:dyDescent="0.3">
      <c r="A12" s="34"/>
      <c r="B12" s="33">
        <v>6101030</v>
      </c>
      <c r="C12" s="33" t="s">
        <v>1572</v>
      </c>
      <c r="D12" s="33" t="s">
        <v>1573</v>
      </c>
      <c r="E12" s="12" t="s">
        <v>2233</v>
      </c>
    </row>
    <row r="13" spans="1:5" x14ac:dyDescent="0.3">
      <c r="A13" s="34"/>
      <c r="B13" s="33">
        <v>6105061</v>
      </c>
      <c r="C13" s="33" t="s">
        <v>1574</v>
      </c>
      <c r="D13" s="33" t="s">
        <v>1575</v>
      </c>
      <c r="E13" s="12" t="s">
        <v>2233</v>
      </c>
    </row>
    <row r="14" spans="1:5" ht="28.8" x14ac:dyDescent="0.3">
      <c r="A14" s="34"/>
      <c r="B14" s="35">
        <v>6105040</v>
      </c>
      <c r="C14" s="35" t="s">
        <v>1576</v>
      </c>
      <c r="D14" s="33" t="s">
        <v>1577</v>
      </c>
      <c r="E14" s="12" t="s">
        <v>2234</v>
      </c>
    </row>
    <row r="15" spans="1:5" ht="28.8" x14ac:dyDescent="0.3">
      <c r="A15" s="34"/>
      <c r="B15" s="35">
        <v>6105001</v>
      </c>
      <c r="C15" s="35" t="s">
        <v>1578</v>
      </c>
      <c r="D15" s="33" t="s">
        <v>1579</v>
      </c>
      <c r="E15" s="12" t="s">
        <v>2235</v>
      </c>
    </row>
    <row r="16" spans="1:5" x14ac:dyDescent="0.3">
      <c r="A16" s="34"/>
      <c r="B16" s="35">
        <v>6105002</v>
      </c>
      <c r="C16" s="33" t="s">
        <v>1545</v>
      </c>
      <c r="D16" s="33" t="s">
        <v>1545</v>
      </c>
      <c r="E16" s="12" t="s">
        <v>2235</v>
      </c>
    </row>
    <row r="17" spans="1:5" x14ac:dyDescent="0.3">
      <c r="A17" s="34"/>
      <c r="B17" s="35">
        <v>6105003</v>
      </c>
      <c r="C17" s="33" t="s">
        <v>1580</v>
      </c>
      <c r="D17" s="33" t="s">
        <v>1581</v>
      </c>
      <c r="E17" s="12" t="s">
        <v>2235</v>
      </c>
    </row>
    <row r="18" spans="1:5" x14ac:dyDescent="0.3">
      <c r="A18" s="34"/>
      <c r="B18" s="33" t="s">
        <v>1559</v>
      </c>
      <c r="C18" s="33" t="s">
        <v>1582</v>
      </c>
      <c r="D18" s="33" t="s">
        <v>1583</v>
      </c>
      <c r="E18" s="12" t="s">
        <v>2236</v>
      </c>
    </row>
    <row r="19" spans="1:5" x14ac:dyDescent="0.3">
      <c r="A19" s="36" t="s">
        <v>1584</v>
      </c>
      <c r="B19" s="31"/>
      <c r="C19" s="31" t="s">
        <v>1585</v>
      </c>
      <c r="D19" s="31" t="s">
        <v>1586</v>
      </c>
      <c r="E19" s="12" t="s">
        <v>2237</v>
      </c>
    </row>
    <row r="20" spans="1:5" x14ac:dyDescent="0.3">
      <c r="A20" s="36"/>
      <c r="B20" s="31"/>
      <c r="C20" s="31" t="s">
        <v>1587</v>
      </c>
      <c r="D20" s="31" t="s">
        <v>1588</v>
      </c>
    </row>
    <row r="21" spans="1:5" x14ac:dyDescent="0.3">
      <c r="A21" s="36"/>
      <c r="B21" s="31"/>
      <c r="C21" s="31" t="s">
        <v>1589</v>
      </c>
      <c r="D21" s="31" t="s">
        <v>1589</v>
      </c>
      <c r="E21" s="12" t="s">
        <v>2237</v>
      </c>
    </row>
    <row r="22" spans="1:5" x14ac:dyDescent="0.3">
      <c r="A22" s="36"/>
      <c r="B22" s="31"/>
      <c r="C22" s="31" t="s">
        <v>1590</v>
      </c>
      <c r="D22" s="31"/>
    </row>
    <row r="23" spans="1:5" x14ac:dyDescent="0.3">
      <c r="A23" s="36"/>
      <c r="B23" s="31"/>
      <c r="C23" s="31" t="s">
        <v>1591</v>
      </c>
      <c r="D23" s="31" t="s">
        <v>1592</v>
      </c>
    </row>
    <row r="24" spans="1:5" x14ac:dyDescent="0.3">
      <c r="A24" s="36"/>
      <c r="B24" s="31"/>
      <c r="C24" s="31" t="s">
        <v>1593</v>
      </c>
      <c r="D24" s="31" t="s">
        <v>1594</v>
      </c>
    </row>
  </sheetData>
  <mergeCells count="2">
    <mergeCell ref="A2:A18"/>
    <mergeCell ref="A19:A2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24"/>
  <sheetViews>
    <sheetView topLeftCell="K1" zoomScaleNormal="100" workbookViewId="0">
      <pane ySplit="1" topLeftCell="A2" activePane="bottomLeft" state="frozen"/>
      <selection pane="bottomLeft" activeCell="O9" sqref="O9"/>
    </sheetView>
  </sheetViews>
  <sheetFormatPr defaultColWidth="8.6640625" defaultRowHeight="14.4" x14ac:dyDescent="0.3"/>
  <cols>
    <col min="1" max="1" width="30" customWidth="1"/>
    <col min="2" max="2" width="13" customWidth="1"/>
    <col min="3" max="3" width="18" customWidth="1"/>
    <col min="4" max="4" width="9" customWidth="1"/>
    <col min="5" max="5" width="16" customWidth="1"/>
    <col min="6" max="6" width="14" customWidth="1"/>
    <col min="7" max="7" width="16" customWidth="1"/>
    <col min="8" max="8" width="11" customWidth="1"/>
    <col min="9" max="9" width="34" customWidth="1"/>
    <col min="10" max="10" width="13" customWidth="1"/>
    <col min="11" max="11" width="15" customWidth="1"/>
    <col min="12" max="12" width="17" customWidth="1"/>
    <col min="13" max="13" width="18" customWidth="1"/>
    <col min="14" max="14" width="40" customWidth="1"/>
    <col min="15" max="15" width="60" customWidth="1"/>
    <col min="16" max="17" width="11" customWidth="1"/>
    <col min="18" max="18" width="12" customWidth="1"/>
    <col min="19" max="19" width="20" customWidth="1"/>
    <col min="20" max="20" width="60" customWidth="1"/>
  </cols>
  <sheetData>
    <row r="1" spans="1:20" ht="33.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s="2" t="s">
        <v>20</v>
      </c>
      <c r="B2" s="2" t="s">
        <v>21</v>
      </c>
      <c r="C2" s="2" t="s">
        <v>22</v>
      </c>
      <c r="D2" s="2" t="s">
        <v>23</v>
      </c>
      <c r="E2" s="2" t="s">
        <v>24</v>
      </c>
      <c r="F2" s="2" t="s">
        <v>25</v>
      </c>
      <c r="G2" s="2" t="s">
        <v>25</v>
      </c>
      <c r="H2" s="2" t="s">
        <v>26</v>
      </c>
      <c r="I2" s="2" t="s">
        <v>27</v>
      </c>
      <c r="J2" s="2" t="s">
        <v>27</v>
      </c>
      <c r="K2" s="2" t="s">
        <v>28</v>
      </c>
      <c r="L2" s="2" t="s">
        <v>29</v>
      </c>
      <c r="M2" s="2"/>
      <c r="N2" s="2" t="s">
        <v>27</v>
      </c>
      <c r="O2" s="2" t="s">
        <v>30</v>
      </c>
      <c r="P2" s="3">
        <v>876</v>
      </c>
      <c r="Q2" s="3">
        <v>876</v>
      </c>
      <c r="R2" s="4">
        <f t="shared" ref="R2:R65" si="0">IF(P2="","",P2+Q2)</f>
        <v>1752</v>
      </c>
      <c r="S2" s="2" t="s">
        <v>31</v>
      </c>
      <c r="T2" s="2"/>
    </row>
    <row r="3" spans="1:20" x14ac:dyDescent="0.3">
      <c r="A3" s="2" t="s">
        <v>32</v>
      </c>
      <c r="B3" s="2" t="s">
        <v>21</v>
      </c>
      <c r="C3" s="2" t="s">
        <v>22</v>
      </c>
      <c r="D3" s="2" t="s">
        <v>23</v>
      </c>
      <c r="E3" s="2" t="s">
        <v>33</v>
      </c>
      <c r="F3" s="2" t="s">
        <v>34</v>
      </c>
      <c r="G3" s="2" t="s">
        <v>34</v>
      </c>
      <c r="H3" s="2" t="s">
        <v>35</v>
      </c>
      <c r="I3" s="2" t="s">
        <v>36</v>
      </c>
      <c r="J3" s="2" t="s">
        <v>37</v>
      </c>
      <c r="K3" s="2" t="s">
        <v>38</v>
      </c>
      <c r="L3" s="2" t="s">
        <v>29</v>
      </c>
      <c r="M3" s="2"/>
      <c r="N3" s="2" t="s">
        <v>36</v>
      </c>
      <c r="O3" s="2" t="s">
        <v>39</v>
      </c>
      <c r="P3" s="3">
        <v>728</v>
      </c>
      <c r="Q3" s="3">
        <v>728</v>
      </c>
      <c r="R3" s="4">
        <f t="shared" si="0"/>
        <v>1456</v>
      </c>
      <c r="S3" s="2" t="s">
        <v>40</v>
      </c>
      <c r="T3" s="2"/>
    </row>
    <row r="4" spans="1:20" x14ac:dyDescent="0.3">
      <c r="A4" s="2" t="s">
        <v>41</v>
      </c>
      <c r="B4" s="2" t="s">
        <v>21</v>
      </c>
      <c r="C4" s="2" t="s">
        <v>22</v>
      </c>
      <c r="D4" s="2" t="s">
        <v>42</v>
      </c>
      <c r="E4" s="2" t="s">
        <v>33</v>
      </c>
      <c r="F4" s="2" t="s">
        <v>34</v>
      </c>
      <c r="G4" s="2" t="s">
        <v>34</v>
      </c>
      <c r="H4" s="2" t="s">
        <v>35</v>
      </c>
      <c r="I4" s="2" t="s">
        <v>36</v>
      </c>
      <c r="J4" s="2" t="s">
        <v>37</v>
      </c>
      <c r="K4" s="2" t="s">
        <v>38</v>
      </c>
      <c r="L4" s="2" t="s">
        <v>29</v>
      </c>
      <c r="M4" s="2"/>
      <c r="N4" s="2" t="s">
        <v>36</v>
      </c>
      <c r="O4" s="2" t="s">
        <v>39</v>
      </c>
      <c r="P4" s="3">
        <v>728</v>
      </c>
      <c r="Q4" s="3">
        <v>728</v>
      </c>
      <c r="R4" s="4">
        <f t="shared" si="0"/>
        <v>1456</v>
      </c>
      <c r="S4" s="2" t="s">
        <v>40</v>
      </c>
      <c r="T4" s="2"/>
    </row>
    <row r="5" spans="1:20" x14ac:dyDescent="0.3">
      <c r="A5" s="2" t="s">
        <v>20</v>
      </c>
      <c r="B5" s="2" t="s">
        <v>21</v>
      </c>
      <c r="C5" s="2" t="s">
        <v>22</v>
      </c>
      <c r="D5" s="2" t="s">
        <v>23</v>
      </c>
      <c r="E5" s="2" t="s">
        <v>24</v>
      </c>
      <c r="F5" s="2" t="s">
        <v>25</v>
      </c>
      <c r="G5" s="2" t="s">
        <v>25</v>
      </c>
      <c r="H5" s="2" t="s">
        <v>26</v>
      </c>
      <c r="I5" s="2" t="s">
        <v>43</v>
      </c>
      <c r="J5" s="2" t="s">
        <v>44</v>
      </c>
      <c r="K5" s="2" t="s">
        <v>45</v>
      </c>
      <c r="L5" s="2" t="s">
        <v>29</v>
      </c>
      <c r="M5" s="2"/>
      <c r="N5" s="2" t="s">
        <v>43</v>
      </c>
      <c r="O5" s="2" t="s">
        <v>46</v>
      </c>
      <c r="P5" s="3">
        <v>612</v>
      </c>
      <c r="Q5" s="3">
        <v>612</v>
      </c>
      <c r="R5" s="4">
        <f t="shared" si="0"/>
        <v>1224</v>
      </c>
      <c r="S5" s="2" t="s">
        <v>31</v>
      </c>
      <c r="T5" s="2"/>
    </row>
    <row r="6" spans="1:20" x14ac:dyDescent="0.3">
      <c r="A6" s="2" t="s">
        <v>20</v>
      </c>
      <c r="B6" s="2" t="s">
        <v>21</v>
      </c>
      <c r="C6" s="2" t="s">
        <v>22</v>
      </c>
      <c r="D6" s="2" t="s">
        <v>23</v>
      </c>
      <c r="E6" s="2" t="s">
        <v>24</v>
      </c>
      <c r="F6" s="2" t="s">
        <v>25</v>
      </c>
      <c r="G6" s="2" t="s">
        <v>25</v>
      </c>
      <c r="H6" s="2" t="s">
        <v>26</v>
      </c>
      <c r="I6" s="2" t="s">
        <v>47</v>
      </c>
      <c r="J6" s="2" t="s">
        <v>48</v>
      </c>
      <c r="K6" s="2" t="s">
        <v>45</v>
      </c>
      <c r="L6" s="2" t="s">
        <v>29</v>
      </c>
      <c r="M6" s="2"/>
      <c r="N6" s="2" t="s">
        <v>47</v>
      </c>
      <c r="O6" s="2" t="s">
        <v>49</v>
      </c>
      <c r="P6" s="3">
        <v>578</v>
      </c>
      <c r="Q6" s="3">
        <v>578</v>
      </c>
      <c r="R6" s="4">
        <f t="shared" si="0"/>
        <v>1156</v>
      </c>
      <c r="S6" s="2" t="s">
        <v>31</v>
      </c>
      <c r="T6" s="2"/>
    </row>
    <row r="7" spans="1:20" x14ac:dyDescent="0.3">
      <c r="A7" s="2" t="s">
        <v>20</v>
      </c>
      <c r="B7" s="2" t="s">
        <v>21</v>
      </c>
      <c r="C7" s="2" t="s">
        <v>22</v>
      </c>
      <c r="D7" s="2" t="s">
        <v>23</v>
      </c>
      <c r="E7" s="2" t="s">
        <v>24</v>
      </c>
      <c r="F7" s="2" t="s">
        <v>25</v>
      </c>
      <c r="G7" s="2" t="s">
        <v>25</v>
      </c>
      <c r="H7" s="2" t="s">
        <v>26</v>
      </c>
      <c r="I7" s="2" t="s">
        <v>50</v>
      </c>
      <c r="J7" s="2" t="s">
        <v>50</v>
      </c>
      <c r="K7" s="2" t="s">
        <v>28</v>
      </c>
      <c r="L7" s="2" t="s">
        <v>29</v>
      </c>
      <c r="M7" s="2"/>
      <c r="N7" s="2" t="s">
        <v>50</v>
      </c>
      <c r="O7" s="2" t="s">
        <v>51</v>
      </c>
      <c r="P7" s="3">
        <v>787</v>
      </c>
      <c r="Q7" s="3">
        <v>787</v>
      </c>
      <c r="R7" s="4">
        <f t="shared" si="0"/>
        <v>1574</v>
      </c>
      <c r="S7" s="2" t="s">
        <v>31</v>
      </c>
      <c r="T7" s="2"/>
    </row>
    <row r="8" spans="1:20" x14ac:dyDescent="0.3">
      <c r="A8" s="2" t="s">
        <v>20</v>
      </c>
      <c r="B8" s="2" t="s">
        <v>21</v>
      </c>
      <c r="C8" s="2" t="s">
        <v>22</v>
      </c>
      <c r="D8" s="2" t="s">
        <v>23</v>
      </c>
      <c r="E8" s="2" t="s">
        <v>24</v>
      </c>
      <c r="F8" s="2" t="s">
        <v>25</v>
      </c>
      <c r="G8" s="2" t="s">
        <v>25</v>
      </c>
      <c r="H8" s="2" t="s">
        <v>26</v>
      </c>
      <c r="I8" s="2" t="s">
        <v>52</v>
      </c>
      <c r="J8" s="2" t="s">
        <v>53</v>
      </c>
      <c r="K8" s="2" t="s">
        <v>54</v>
      </c>
      <c r="L8" s="2" t="s">
        <v>29</v>
      </c>
      <c r="M8" s="2"/>
      <c r="N8" s="2" t="s">
        <v>52</v>
      </c>
      <c r="O8" s="2" t="s">
        <v>55</v>
      </c>
      <c r="P8" s="3">
        <v>846</v>
      </c>
      <c r="Q8" s="3">
        <v>846</v>
      </c>
      <c r="R8" s="4">
        <f t="shared" si="0"/>
        <v>1692</v>
      </c>
      <c r="S8" s="2" t="s">
        <v>31</v>
      </c>
      <c r="T8" s="2"/>
    </row>
    <row r="9" spans="1:20" x14ac:dyDescent="0.3">
      <c r="A9" s="2" t="s">
        <v>20</v>
      </c>
      <c r="B9" s="2" t="s">
        <v>21</v>
      </c>
      <c r="C9" s="2" t="s">
        <v>22</v>
      </c>
      <c r="D9" s="2" t="s">
        <v>23</v>
      </c>
      <c r="E9" s="2" t="s">
        <v>24</v>
      </c>
      <c r="F9" s="2" t="s">
        <v>25</v>
      </c>
      <c r="G9" s="2" t="s">
        <v>25</v>
      </c>
      <c r="H9" s="2" t="s">
        <v>26</v>
      </c>
      <c r="I9" s="2" t="s">
        <v>56</v>
      </c>
      <c r="J9" s="2" t="s">
        <v>53</v>
      </c>
      <c r="K9" s="2" t="s">
        <v>54</v>
      </c>
      <c r="L9" s="2" t="s">
        <v>29</v>
      </c>
      <c r="M9" s="2"/>
      <c r="N9" s="2" t="s">
        <v>56</v>
      </c>
      <c r="O9" s="2" t="s">
        <v>57</v>
      </c>
      <c r="P9" s="3">
        <v>1090</v>
      </c>
      <c r="Q9" s="3">
        <v>1090</v>
      </c>
      <c r="R9" s="4">
        <f t="shared" si="0"/>
        <v>2180</v>
      </c>
      <c r="S9" s="2" t="s">
        <v>31</v>
      </c>
      <c r="T9" s="2"/>
    </row>
    <row r="10" spans="1:20" x14ac:dyDescent="0.3">
      <c r="A10" s="2" t="s">
        <v>20</v>
      </c>
      <c r="B10" s="2" t="s">
        <v>21</v>
      </c>
      <c r="C10" s="2" t="s">
        <v>22</v>
      </c>
      <c r="D10" s="2" t="s">
        <v>23</v>
      </c>
      <c r="E10" s="2" t="s">
        <v>24</v>
      </c>
      <c r="F10" s="2" t="s">
        <v>25</v>
      </c>
      <c r="G10" s="2" t="s">
        <v>25</v>
      </c>
      <c r="H10" s="2" t="s">
        <v>26</v>
      </c>
      <c r="I10" s="2" t="s">
        <v>58</v>
      </c>
      <c r="J10" s="2" t="s">
        <v>48</v>
      </c>
      <c r="K10" s="2" t="s">
        <v>45</v>
      </c>
      <c r="L10" s="2" t="s">
        <v>29</v>
      </c>
      <c r="M10" s="2"/>
      <c r="N10" s="2" t="s">
        <v>58</v>
      </c>
      <c r="O10" s="2" t="s">
        <v>59</v>
      </c>
      <c r="P10" s="3">
        <v>527</v>
      </c>
      <c r="Q10" s="3">
        <v>527</v>
      </c>
      <c r="R10" s="4">
        <f t="shared" si="0"/>
        <v>1054</v>
      </c>
      <c r="S10" s="2" t="s">
        <v>31</v>
      </c>
      <c r="T10" s="2"/>
    </row>
    <row r="11" spans="1:20" x14ac:dyDescent="0.3">
      <c r="A11" s="2" t="s">
        <v>20</v>
      </c>
      <c r="B11" s="2" t="s">
        <v>21</v>
      </c>
      <c r="C11" s="2" t="s">
        <v>22</v>
      </c>
      <c r="D11" s="2" t="s">
        <v>23</v>
      </c>
      <c r="E11" s="2" t="s">
        <v>24</v>
      </c>
      <c r="F11" s="2" t="s">
        <v>25</v>
      </c>
      <c r="G11" s="2" t="s">
        <v>25</v>
      </c>
      <c r="H11" s="2" t="s">
        <v>26</v>
      </c>
      <c r="I11" s="2" t="s">
        <v>60</v>
      </c>
      <c r="J11" s="2" t="s">
        <v>60</v>
      </c>
      <c r="K11" s="2" t="s">
        <v>54</v>
      </c>
      <c r="L11" s="2" t="s">
        <v>29</v>
      </c>
      <c r="M11" s="2"/>
      <c r="N11" s="2" t="s">
        <v>60</v>
      </c>
      <c r="O11" s="2" t="s">
        <v>61</v>
      </c>
      <c r="P11" s="3">
        <v>1120</v>
      </c>
      <c r="Q11" s="3">
        <v>1120</v>
      </c>
      <c r="R11" s="4">
        <f t="shared" si="0"/>
        <v>2240</v>
      </c>
      <c r="S11" s="2" t="s">
        <v>31</v>
      </c>
      <c r="T11" s="2"/>
    </row>
    <row r="12" spans="1:20" x14ac:dyDescent="0.3">
      <c r="A12" s="2" t="s">
        <v>20</v>
      </c>
      <c r="B12" s="2" t="s">
        <v>21</v>
      </c>
      <c r="C12" s="2" t="s">
        <v>22</v>
      </c>
      <c r="D12" s="2" t="s">
        <v>23</v>
      </c>
      <c r="E12" s="2" t="s">
        <v>24</v>
      </c>
      <c r="F12" s="2" t="s">
        <v>25</v>
      </c>
      <c r="G12" s="2" t="s">
        <v>25</v>
      </c>
      <c r="H12" s="2" t="s">
        <v>26</v>
      </c>
      <c r="I12" s="2" t="s">
        <v>62</v>
      </c>
      <c r="J12" s="2" t="s">
        <v>48</v>
      </c>
      <c r="K12" s="2" t="s">
        <v>45</v>
      </c>
      <c r="L12" s="2" t="s">
        <v>29</v>
      </c>
      <c r="M12" s="2"/>
      <c r="N12" s="2" t="s">
        <v>62</v>
      </c>
      <c r="O12" s="2" t="s">
        <v>63</v>
      </c>
      <c r="P12" s="3">
        <v>535</v>
      </c>
      <c r="Q12" s="3">
        <v>535</v>
      </c>
      <c r="R12" s="4">
        <f t="shared" si="0"/>
        <v>1070</v>
      </c>
      <c r="S12" s="2" t="s">
        <v>31</v>
      </c>
      <c r="T12" s="2"/>
    </row>
    <row r="13" spans="1:20" x14ac:dyDescent="0.3">
      <c r="A13" s="2" t="s">
        <v>20</v>
      </c>
      <c r="B13" s="2" t="s">
        <v>21</v>
      </c>
      <c r="C13" s="2" t="s">
        <v>22</v>
      </c>
      <c r="D13" s="2" t="s">
        <v>23</v>
      </c>
      <c r="E13" s="2" t="s">
        <v>24</v>
      </c>
      <c r="F13" s="2" t="s">
        <v>25</v>
      </c>
      <c r="G13" s="2" t="s">
        <v>25</v>
      </c>
      <c r="H13" s="2" t="s">
        <v>26</v>
      </c>
      <c r="I13" s="2" t="s">
        <v>64</v>
      </c>
      <c r="J13" s="2" t="s">
        <v>65</v>
      </c>
      <c r="K13" s="2" t="s">
        <v>28</v>
      </c>
      <c r="L13" s="2" t="s">
        <v>29</v>
      </c>
      <c r="M13" s="2"/>
      <c r="N13" s="2" t="s">
        <v>64</v>
      </c>
      <c r="O13" s="2" t="s">
        <v>66</v>
      </c>
      <c r="P13" s="3">
        <v>713</v>
      </c>
      <c r="Q13" s="3">
        <v>713</v>
      </c>
      <c r="R13" s="4">
        <f t="shared" si="0"/>
        <v>1426</v>
      </c>
      <c r="S13" s="2" t="s">
        <v>31</v>
      </c>
      <c r="T13" s="2"/>
    </row>
    <row r="14" spans="1:20" x14ac:dyDescent="0.3">
      <c r="A14" s="2" t="s">
        <v>20</v>
      </c>
      <c r="B14" s="2" t="s">
        <v>21</v>
      </c>
      <c r="C14" s="2" t="s">
        <v>22</v>
      </c>
      <c r="D14" s="2" t="s">
        <v>23</v>
      </c>
      <c r="E14" s="2" t="s">
        <v>24</v>
      </c>
      <c r="F14" s="2" t="s">
        <v>25</v>
      </c>
      <c r="G14" s="2" t="s">
        <v>25</v>
      </c>
      <c r="H14" s="2" t="s">
        <v>26</v>
      </c>
      <c r="I14" s="2" t="s">
        <v>67</v>
      </c>
      <c r="J14" s="2" t="s">
        <v>68</v>
      </c>
      <c r="K14" s="2" t="s">
        <v>28</v>
      </c>
      <c r="L14" s="2" t="s">
        <v>29</v>
      </c>
      <c r="M14" s="2"/>
      <c r="N14" s="2" t="s">
        <v>67</v>
      </c>
      <c r="O14" s="2" t="s">
        <v>69</v>
      </c>
      <c r="P14" s="3">
        <v>721</v>
      </c>
      <c r="Q14" s="3">
        <v>721</v>
      </c>
      <c r="R14" s="4">
        <f t="shared" si="0"/>
        <v>1442</v>
      </c>
      <c r="S14" s="2" t="s">
        <v>31</v>
      </c>
      <c r="T14" s="2"/>
    </row>
    <row r="15" spans="1:20" x14ac:dyDescent="0.3">
      <c r="A15" s="2" t="s">
        <v>20</v>
      </c>
      <c r="B15" s="2" t="s">
        <v>21</v>
      </c>
      <c r="C15" s="2" t="s">
        <v>22</v>
      </c>
      <c r="D15" s="2" t="s">
        <v>23</v>
      </c>
      <c r="E15" s="2" t="s">
        <v>24</v>
      </c>
      <c r="F15" s="2" t="s">
        <v>25</v>
      </c>
      <c r="G15" s="2" t="s">
        <v>25</v>
      </c>
      <c r="H15" s="2" t="s">
        <v>26</v>
      </c>
      <c r="I15" s="2" t="s">
        <v>70</v>
      </c>
      <c r="J15" s="2" t="s">
        <v>70</v>
      </c>
      <c r="K15" s="2" t="s">
        <v>54</v>
      </c>
      <c r="L15" s="2" t="s">
        <v>29</v>
      </c>
      <c r="M15" s="2"/>
      <c r="N15" s="2" t="s">
        <v>70</v>
      </c>
      <c r="O15" s="2" t="s">
        <v>71</v>
      </c>
      <c r="P15" s="3">
        <v>949</v>
      </c>
      <c r="Q15" s="3">
        <v>949</v>
      </c>
      <c r="R15" s="4">
        <f t="shared" si="0"/>
        <v>1898</v>
      </c>
      <c r="S15" s="2" t="s">
        <v>31</v>
      </c>
      <c r="T15" s="2"/>
    </row>
    <row r="16" spans="1:20" x14ac:dyDescent="0.3">
      <c r="A16" s="2" t="s">
        <v>20</v>
      </c>
      <c r="B16" s="2" t="s">
        <v>21</v>
      </c>
      <c r="C16" s="2" t="s">
        <v>22</v>
      </c>
      <c r="D16" s="2" t="s">
        <v>23</v>
      </c>
      <c r="E16" s="2" t="s">
        <v>24</v>
      </c>
      <c r="F16" s="2" t="s">
        <v>25</v>
      </c>
      <c r="G16" s="2" t="s">
        <v>25</v>
      </c>
      <c r="H16" s="2" t="s">
        <v>26</v>
      </c>
      <c r="I16" s="2" t="s">
        <v>72</v>
      </c>
      <c r="J16" s="2" t="s">
        <v>73</v>
      </c>
      <c r="K16" s="2" t="s">
        <v>54</v>
      </c>
      <c r="L16" s="2" t="s">
        <v>29</v>
      </c>
      <c r="M16" s="2"/>
      <c r="N16" s="2" t="s">
        <v>72</v>
      </c>
      <c r="O16" s="2" t="s">
        <v>74</v>
      </c>
      <c r="P16" s="3">
        <v>1258</v>
      </c>
      <c r="Q16" s="3">
        <v>1258</v>
      </c>
      <c r="R16" s="4">
        <f t="shared" si="0"/>
        <v>2516</v>
      </c>
      <c r="S16" s="2" t="s">
        <v>31</v>
      </c>
      <c r="T16" s="2"/>
    </row>
    <row r="17" spans="1:20" x14ac:dyDescent="0.3">
      <c r="A17" s="2" t="s">
        <v>20</v>
      </c>
      <c r="B17" s="2" t="s">
        <v>21</v>
      </c>
      <c r="C17" s="2" t="s">
        <v>22</v>
      </c>
      <c r="D17" s="2" t="s">
        <v>23</v>
      </c>
      <c r="E17" s="2" t="s">
        <v>24</v>
      </c>
      <c r="F17" s="2" t="s">
        <v>25</v>
      </c>
      <c r="G17" s="2" t="s">
        <v>25</v>
      </c>
      <c r="H17" s="2" t="s">
        <v>26</v>
      </c>
      <c r="I17" s="2" t="s">
        <v>65</v>
      </c>
      <c r="J17" s="2" t="s">
        <v>65</v>
      </c>
      <c r="K17" s="2" t="s">
        <v>28</v>
      </c>
      <c r="L17" s="2" t="s">
        <v>29</v>
      </c>
      <c r="M17" s="2"/>
      <c r="N17" s="2" t="s">
        <v>65</v>
      </c>
      <c r="O17" s="2" t="s">
        <v>75</v>
      </c>
      <c r="P17" s="3">
        <v>635</v>
      </c>
      <c r="Q17" s="3">
        <v>635</v>
      </c>
      <c r="R17" s="4">
        <f t="shared" si="0"/>
        <v>1270</v>
      </c>
      <c r="S17" s="2" t="s">
        <v>31</v>
      </c>
      <c r="T17" s="2"/>
    </row>
    <row r="18" spans="1:20" x14ac:dyDescent="0.3">
      <c r="A18" s="2" t="s">
        <v>20</v>
      </c>
      <c r="B18" s="2" t="s">
        <v>21</v>
      </c>
      <c r="C18" s="2" t="s">
        <v>22</v>
      </c>
      <c r="D18" s="2" t="s">
        <v>23</v>
      </c>
      <c r="E18" s="2" t="s">
        <v>24</v>
      </c>
      <c r="F18" s="2" t="s">
        <v>25</v>
      </c>
      <c r="G18" s="2" t="s">
        <v>25</v>
      </c>
      <c r="H18" s="2" t="s">
        <v>26</v>
      </c>
      <c r="I18" s="2" t="s">
        <v>76</v>
      </c>
      <c r="J18" s="2" t="s">
        <v>77</v>
      </c>
      <c r="K18" s="2" t="s">
        <v>45</v>
      </c>
      <c r="L18" s="2" t="s">
        <v>29</v>
      </c>
      <c r="M18" s="2"/>
      <c r="N18" s="2" t="s">
        <v>76</v>
      </c>
      <c r="O18" s="2" t="s">
        <v>78</v>
      </c>
      <c r="P18" s="3">
        <v>858</v>
      </c>
      <c r="Q18" s="3">
        <v>858</v>
      </c>
      <c r="R18" s="4">
        <f t="shared" si="0"/>
        <v>1716</v>
      </c>
      <c r="S18" s="2" t="s">
        <v>31</v>
      </c>
      <c r="T18" s="2"/>
    </row>
    <row r="19" spans="1:20" x14ac:dyDescent="0.3">
      <c r="A19" s="2" t="s">
        <v>20</v>
      </c>
      <c r="B19" s="2" t="s">
        <v>21</v>
      </c>
      <c r="C19" s="2" t="s">
        <v>22</v>
      </c>
      <c r="D19" s="2" t="s">
        <v>23</v>
      </c>
      <c r="E19" s="2" t="s">
        <v>24</v>
      </c>
      <c r="F19" s="2" t="s">
        <v>25</v>
      </c>
      <c r="G19" s="2" t="s">
        <v>25</v>
      </c>
      <c r="H19" s="2" t="s">
        <v>26</v>
      </c>
      <c r="I19" s="2" t="s">
        <v>79</v>
      </c>
      <c r="J19" s="2" t="s">
        <v>65</v>
      </c>
      <c r="K19" s="2" t="s">
        <v>28</v>
      </c>
      <c r="L19" s="2" t="s">
        <v>29</v>
      </c>
      <c r="M19" s="2"/>
      <c r="N19" s="2" t="s">
        <v>79</v>
      </c>
      <c r="O19" s="2" t="s">
        <v>80</v>
      </c>
      <c r="P19" s="3">
        <v>759</v>
      </c>
      <c r="Q19" s="3">
        <v>759</v>
      </c>
      <c r="R19" s="4">
        <f t="shared" si="0"/>
        <v>1518</v>
      </c>
      <c r="S19" s="2" t="s">
        <v>31</v>
      </c>
      <c r="T19" s="2"/>
    </row>
    <row r="20" spans="1:20" x14ac:dyDescent="0.3">
      <c r="A20" s="2" t="s">
        <v>20</v>
      </c>
      <c r="B20" s="2" t="s">
        <v>21</v>
      </c>
      <c r="C20" s="2" t="s">
        <v>22</v>
      </c>
      <c r="D20" s="2" t="s">
        <v>23</v>
      </c>
      <c r="E20" s="2" t="s">
        <v>24</v>
      </c>
      <c r="F20" s="2" t="s">
        <v>25</v>
      </c>
      <c r="G20" s="2" t="s">
        <v>25</v>
      </c>
      <c r="H20" s="2" t="s">
        <v>26</v>
      </c>
      <c r="I20" s="2" t="s">
        <v>81</v>
      </c>
      <c r="J20" s="2" t="s">
        <v>82</v>
      </c>
      <c r="K20" s="2" t="s">
        <v>45</v>
      </c>
      <c r="L20" s="2" t="s">
        <v>29</v>
      </c>
      <c r="M20" s="2"/>
      <c r="N20" s="2" t="s">
        <v>81</v>
      </c>
      <c r="O20" s="2" t="s">
        <v>83</v>
      </c>
      <c r="P20" s="3">
        <v>716</v>
      </c>
      <c r="Q20" s="3">
        <v>716</v>
      </c>
      <c r="R20" s="4">
        <f t="shared" si="0"/>
        <v>1432</v>
      </c>
      <c r="S20" s="2" t="s">
        <v>31</v>
      </c>
      <c r="T20" s="2"/>
    </row>
    <row r="21" spans="1:20" x14ac:dyDescent="0.3">
      <c r="A21" s="2" t="s">
        <v>20</v>
      </c>
      <c r="B21" s="2" t="s">
        <v>21</v>
      </c>
      <c r="C21" s="2" t="s">
        <v>22</v>
      </c>
      <c r="D21" s="2" t="s">
        <v>23</v>
      </c>
      <c r="E21" s="2" t="s">
        <v>24</v>
      </c>
      <c r="F21" s="2" t="s">
        <v>25</v>
      </c>
      <c r="G21" s="2" t="s">
        <v>25</v>
      </c>
      <c r="H21" s="2" t="s">
        <v>26</v>
      </c>
      <c r="I21" s="2" t="s">
        <v>84</v>
      </c>
      <c r="J21" s="2" t="s">
        <v>35</v>
      </c>
      <c r="K21" s="2" t="s">
        <v>45</v>
      </c>
      <c r="L21" s="2" t="s">
        <v>29</v>
      </c>
      <c r="M21" s="2"/>
      <c r="N21" s="2" t="s">
        <v>84</v>
      </c>
      <c r="O21" s="2" t="s">
        <v>85</v>
      </c>
      <c r="P21" s="3">
        <v>733</v>
      </c>
      <c r="Q21" s="3">
        <v>733</v>
      </c>
      <c r="R21" s="4">
        <f t="shared" si="0"/>
        <v>1466</v>
      </c>
      <c r="S21" s="2" t="s">
        <v>31</v>
      </c>
      <c r="T21" s="2"/>
    </row>
    <row r="22" spans="1:20" x14ac:dyDescent="0.3">
      <c r="A22" s="2" t="s">
        <v>20</v>
      </c>
      <c r="B22" s="2" t="s">
        <v>21</v>
      </c>
      <c r="C22" s="2" t="s">
        <v>22</v>
      </c>
      <c r="D22" s="2" t="s">
        <v>23</v>
      </c>
      <c r="E22" s="2" t="s">
        <v>24</v>
      </c>
      <c r="F22" s="2" t="s">
        <v>25</v>
      </c>
      <c r="G22" s="2" t="s">
        <v>25</v>
      </c>
      <c r="H22" s="2" t="s">
        <v>26</v>
      </c>
      <c r="I22" s="2" t="s">
        <v>34</v>
      </c>
      <c r="J22" s="2" t="s">
        <v>35</v>
      </c>
      <c r="K22" s="2" t="s">
        <v>45</v>
      </c>
      <c r="L22" s="2" t="s">
        <v>29</v>
      </c>
      <c r="M22" s="2"/>
      <c r="N22" s="2" t="s">
        <v>34</v>
      </c>
      <c r="O22" s="2" t="s">
        <v>86</v>
      </c>
      <c r="P22" s="3">
        <v>654</v>
      </c>
      <c r="Q22" s="3">
        <v>654</v>
      </c>
      <c r="R22" s="4">
        <f t="shared" si="0"/>
        <v>1308</v>
      </c>
      <c r="S22" s="2" t="s">
        <v>31</v>
      </c>
      <c r="T22" s="2"/>
    </row>
    <row r="23" spans="1:20" x14ac:dyDescent="0.3">
      <c r="A23" s="2" t="s">
        <v>20</v>
      </c>
      <c r="B23" s="2" t="s">
        <v>21</v>
      </c>
      <c r="C23" s="2" t="s">
        <v>22</v>
      </c>
      <c r="D23" s="2" t="s">
        <v>23</v>
      </c>
      <c r="E23" s="2" t="s">
        <v>24</v>
      </c>
      <c r="F23" s="2" t="s">
        <v>25</v>
      </c>
      <c r="G23" s="2" t="s">
        <v>25</v>
      </c>
      <c r="H23" s="2" t="s">
        <v>26</v>
      </c>
      <c r="I23" s="2" t="s">
        <v>87</v>
      </c>
      <c r="J23" s="2" t="s">
        <v>48</v>
      </c>
      <c r="K23" s="2" t="s">
        <v>45</v>
      </c>
      <c r="L23" s="2" t="s">
        <v>29</v>
      </c>
      <c r="M23" s="2"/>
      <c r="N23" s="2" t="s">
        <v>87</v>
      </c>
      <c r="O23" s="2" t="s">
        <v>88</v>
      </c>
      <c r="P23" s="3">
        <v>420</v>
      </c>
      <c r="Q23" s="3">
        <v>420</v>
      </c>
      <c r="R23" s="4">
        <f t="shared" si="0"/>
        <v>840</v>
      </c>
      <c r="S23" s="2" t="s">
        <v>31</v>
      </c>
      <c r="T23" s="2"/>
    </row>
    <row r="24" spans="1:20" x14ac:dyDescent="0.3">
      <c r="A24" s="2" t="s">
        <v>20</v>
      </c>
      <c r="B24" s="2" t="s">
        <v>21</v>
      </c>
      <c r="C24" s="2" t="s">
        <v>22</v>
      </c>
      <c r="D24" s="2" t="s">
        <v>23</v>
      </c>
      <c r="E24" s="2" t="s">
        <v>24</v>
      </c>
      <c r="F24" s="2" t="s">
        <v>25</v>
      </c>
      <c r="G24" s="2" t="s">
        <v>25</v>
      </c>
      <c r="H24" s="2" t="s">
        <v>26</v>
      </c>
      <c r="I24" s="2" t="s">
        <v>89</v>
      </c>
      <c r="J24" s="2" t="s">
        <v>90</v>
      </c>
      <c r="K24" s="2" t="s">
        <v>45</v>
      </c>
      <c r="L24" s="2" t="s">
        <v>29</v>
      </c>
      <c r="M24" s="2"/>
      <c r="N24" s="2" t="s">
        <v>89</v>
      </c>
      <c r="O24" s="2" t="s">
        <v>91</v>
      </c>
      <c r="P24" s="3">
        <v>441</v>
      </c>
      <c r="Q24" s="3">
        <v>441</v>
      </c>
      <c r="R24" s="4">
        <f t="shared" si="0"/>
        <v>882</v>
      </c>
      <c r="S24" s="2" t="s">
        <v>31</v>
      </c>
      <c r="T24" s="2"/>
    </row>
    <row r="25" spans="1:20" x14ac:dyDescent="0.3">
      <c r="A25" s="2" t="s">
        <v>20</v>
      </c>
      <c r="B25" s="2" t="s">
        <v>21</v>
      </c>
      <c r="C25" s="2" t="s">
        <v>22</v>
      </c>
      <c r="D25" s="2" t="s">
        <v>23</v>
      </c>
      <c r="E25" s="2" t="s">
        <v>24</v>
      </c>
      <c r="F25" s="2" t="s">
        <v>25</v>
      </c>
      <c r="G25" s="2" t="s">
        <v>25</v>
      </c>
      <c r="H25" s="2" t="s">
        <v>26</v>
      </c>
      <c r="I25" s="2" t="s">
        <v>92</v>
      </c>
      <c r="J25" s="2" t="s">
        <v>93</v>
      </c>
      <c r="K25" s="2" t="s">
        <v>28</v>
      </c>
      <c r="L25" s="2" t="s">
        <v>29</v>
      </c>
      <c r="M25" s="2"/>
      <c r="N25" s="2" t="s">
        <v>92</v>
      </c>
      <c r="O25" s="2" t="s">
        <v>94</v>
      </c>
      <c r="P25" s="3">
        <v>744</v>
      </c>
      <c r="Q25" s="3">
        <v>744</v>
      </c>
      <c r="R25" s="4">
        <f t="shared" si="0"/>
        <v>1488</v>
      </c>
      <c r="S25" s="2" t="s">
        <v>31</v>
      </c>
      <c r="T25" s="2"/>
    </row>
    <row r="26" spans="1:20" x14ac:dyDescent="0.3">
      <c r="A26" s="2" t="s">
        <v>20</v>
      </c>
      <c r="B26" s="2" t="s">
        <v>21</v>
      </c>
      <c r="C26" s="2" t="s">
        <v>22</v>
      </c>
      <c r="D26" s="2" t="s">
        <v>23</v>
      </c>
      <c r="E26" s="2" t="s">
        <v>24</v>
      </c>
      <c r="F26" s="2" t="s">
        <v>25</v>
      </c>
      <c r="G26" s="2" t="s">
        <v>25</v>
      </c>
      <c r="H26" s="2" t="s">
        <v>26</v>
      </c>
      <c r="I26" s="2" t="s">
        <v>95</v>
      </c>
      <c r="J26" s="2" t="s">
        <v>90</v>
      </c>
      <c r="K26" s="2" t="s">
        <v>45</v>
      </c>
      <c r="L26" s="2" t="s">
        <v>29</v>
      </c>
      <c r="M26" s="2"/>
      <c r="N26" s="2" t="s">
        <v>95</v>
      </c>
      <c r="O26" s="2" t="s">
        <v>96</v>
      </c>
      <c r="P26" s="3">
        <v>318</v>
      </c>
      <c r="Q26" s="3">
        <v>318</v>
      </c>
      <c r="R26" s="4">
        <f t="shared" si="0"/>
        <v>636</v>
      </c>
      <c r="S26" s="2" t="s">
        <v>31</v>
      </c>
      <c r="T26" s="2"/>
    </row>
    <row r="27" spans="1:20" x14ac:dyDescent="0.3">
      <c r="A27" s="2" t="s">
        <v>20</v>
      </c>
      <c r="B27" s="2" t="s">
        <v>21</v>
      </c>
      <c r="C27" s="2" t="s">
        <v>22</v>
      </c>
      <c r="D27" s="2" t="s">
        <v>23</v>
      </c>
      <c r="E27" s="2" t="s">
        <v>24</v>
      </c>
      <c r="F27" s="2" t="s">
        <v>25</v>
      </c>
      <c r="G27" s="2" t="s">
        <v>25</v>
      </c>
      <c r="H27" s="2" t="s">
        <v>26</v>
      </c>
      <c r="I27" s="2" t="s">
        <v>97</v>
      </c>
      <c r="J27" s="2" t="s">
        <v>53</v>
      </c>
      <c r="K27" s="2" t="s">
        <v>54</v>
      </c>
      <c r="L27" s="2" t="s">
        <v>29</v>
      </c>
      <c r="M27" s="2"/>
      <c r="N27" s="2" t="s">
        <v>97</v>
      </c>
      <c r="O27" s="2" t="s">
        <v>98</v>
      </c>
      <c r="P27" s="3">
        <v>873</v>
      </c>
      <c r="Q27" s="3">
        <v>873</v>
      </c>
      <c r="R27" s="4">
        <f t="shared" si="0"/>
        <v>1746</v>
      </c>
      <c r="S27" s="2" t="s">
        <v>31</v>
      </c>
      <c r="T27" s="2"/>
    </row>
    <row r="28" spans="1:20" x14ac:dyDescent="0.3">
      <c r="A28" s="2" t="s">
        <v>20</v>
      </c>
      <c r="B28" s="2" t="s">
        <v>21</v>
      </c>
      <c r="C28" s="2" t="s">
        <v>22</v>
      </c>
      <c r="D28" s="2" t="s">
        <v>23</v>
      </c>
      <c r="E28" s="2" t="s">
        <v>24</v>
      </c>
      <c r="F28" s="2" t="s">
        <v>25</v>
      </c>
      <c r="G28" s="2" t="s">
        <v>25</v>
      </c>
      <c r="H28" s="2" t="s">
        <v>26</v>
      </c>
      <c r="I28" s="2" t="s">
        <v>99</v>
      </c>
      <c r="J28" s="2" t="s">
        <v>90</v>
      </c>
      <c r="K28" s="2" t="s">
        <v>45</v>
      </c>
      <c r="L28" s="2" t="s">
        <v>29</v>
      </c>
      <c r="M28" s="2"/>
      <c r="N28" s="2" t="s">
        <v>99</v>
      </c>
      <c r="O28" s="2" t="s">
        <v>100</v>
      </c>
      <c r="P28" s="3">
        <v>444</v>
      </c>
      <c r="Q28" s="3">
        <v>444</v>
      </c>
      <c r="R28" s="4">
        <f t="shared" si="0"/>
        <v>888</v>
      </c>
      <c r="S28" s="2" t="s">
        <v>31</v>
      </c>
      <c r="T28" s="2"/>
    </row>
    <row r="29" spans="1:20" x14ac:dyDescent="0.3">
      <c r="A29" s="2" t="s">
        <v>20</v>
      </c>
      <c r="B29" s="2" t="s">
        <v>21</v>
      </c>
      <c r="C29" s="2" t="s">
        <v>22</v>
      </c>
      <c r="D29" s="2" t="s">
        <v>23</v>
      </c>
      <c r="E29" s="2" t="s">
        <v>24</v>
      </c>
      <c r="F29" s="2" t="s">
        <v>25</v>
      </c>
      <c r="G29" s="2" t="s">
        <v>25</v>
      </c>
      <c r="H29" s="2" t="s">
        <v>26</v>
      </c>
      <c r="I29" s="2" t="s">
        <v>101</v>
      </c>
      <c r="J29" s="2" t="s">
        <v>90</v>
      </c>
      <c r="K29" s="2" t="s">
        <v>45</v>
      </c>
      <c r="L29" s="2" t="s">
        <v>29</v>
      </c>
      <c r="M29" s="2"/>
      <c r="N29" s="2" t="s">
        <v>101</v>
      </c>
      <c r="O29" s="2" t="s">
        <v>102</v>
      </c>
      <c r="P29" s="3">
        <v>500</v>
      </c>
      <c r="Q29" s="3">
        <v>500</v>
      </c>
      <c r="R29" s="4">
        <f t="shared" si="0"/>
        <v>1000</v>
      </c>
      <c r="S29" s="2" t="s">
        <v>31</v>
      </c>
      <c r="T29" s="2"/>
    </row>
    <row r="30" spans="1:20" x14ac:dyDescent="0.3">
      <c r="A30" s="2" t="s">
        <v>20</v>
      </c>
      <c r="B30" s="2" t="s">
        <v>21</v>
      </c>
      <c r="C30" s="2" t="s">
        <v>22</v>
      </c>
      <c r="D30" s="2" t="s">
        <v>23</v>
      </c>
      <c r="E30" s="2" t="s">
        <v>24</v>
      </c>
      <c r="F30" s="2" t="s">
        <v>25</v>
      </c>
      <c r="G30" s="2" t="s">
        <v>25</v>
      </c>
      <c r="H30" s="2" t="s">
        <v>26</v>
      </c>
      <c r="I30" s="2" t="s">
        <v>103</v>
      </c>
      <c r="J30" s="2" t="s">
        <v>104</v>
      </c>
      <c r="K30" s="2" t="s">
        <v>28</v>
      </c>
      <c r="L30" s="2" t="s">
        <v>29</v>
      </c>
      <c r="M30" s="2"/>
      <c r="N30" s="2" t="s">
        <v>103</v>
      </c>
      <c r="O30" s="2" t="s">
        <v>105</v>
      </c>
      <c r="P30" s="3">
        <v>480</v>
      </c>
      <c r="Q30" s="3">
        <v>480</v>
      </c>
      <c r="R30" s="4">
        <f t="shared" si="0"/>
        <v>960</v>
      </c>
      <c r="S30" s="2" t="s">
        <v>31</v>
      </c>
      <c r="T30" s="2"/>
    </row>
    <row r="31" spans="1:20" x14ac:dyDescent="0.3">
      <c r="A31" s="2" t="s">
        <v>20</v>
      </c>
      <c r="B31" s="2" t="s">
        <v>21</v>
      </c>
      <c r="C31" s="2" t="s">
        <v>22</v>
      </c>
      <c r="D31" s="2" t="s">
        <v>23</v>
      </c>
      <c r="E31" s="2" t="s">
        <v>24</v>
      </c>
      <c r="F31" s="2" t="s">
        <v>25</v>
      </c>
      <c r="G31" s="2" t="s">
        <v>25</v>
      </c>
      <c r="H31" s="2" t="s">
        <v>26</v>
      </c>
      <c r="I31" s="2" t="s">
        <v>106</v>
      </c>
      <c r="J31" s="2" t="s">
        <v>73</v>
      </c>
      <c r="K31" s="2" t="s">
        <v>54</v>
      </c>
      <c r="L31" s="2" t="s">
        <v>29</v>
      </c>
      <c r="M31" s="2"/>
      <c r="N31" s="2" t="s">
        <v>106</v>
      </c>
      <c r="O31" s="2" t="s">
        <v>107</v>
      </c>
      <c r="P31" s="3">
        <v>1177</v>
      </c>
      <c r="Q31" s="3">
        <v>1177</v>
      </c>
      <c r="R31" s="4">
        <f t="shared" si="0"/>
        <v>2354</v>
      </c>
      <c r="S31" s="2" t="s">
        <v>31</v>
      </c>
      <c r="T31" s="2"/>
    </row>
    <row r="32" spans="1:20" x14ac:dyDescent="0.3">
      <c r="A32" s="2" t="s">
        <v>20</v>
      </c>
      <c r="B32" s="2" t="s">
        <v>21</v>
      </c>
      <c r="C32" s="2" t="s">
        <v>22</v>
      </c>
      <c r="D32" s="2" t="s">
        <v>23</v>
      </c>
      <c r="E32" s="2" t="s">
        <v>24</v>
      </c>
      <c r="F32" s="2" t="s">
        <v>25</v>
      </c>
      <c r="G32" s="2" t="s">
        <v>25</v>
      </c>
      <c r="H32" s="2" t="s">
        <v>26</v>
      </c>
      <c r="I32" s="2" t="s">
        <v>108</v>
      </c>
      <c r="J32" s="2" t="s">
        <v>82</v>
      </c>
      <c r="K32" s="2" t="s">
        <v>45</v>
      </c>
      <c r="L32" s="2" t="s">
        <v>29</v>
      </c>
      <c r="M32" s="2"/>
      <c r="N32" s="2" t="s">
        <v>108</v>
      </c>
      <c r="O32" s="2" t="s">
        <v>109</v>
      </c>
      <c r="P32" s="3">
        <v>788</v>
      </c>
      <c r="Q32" s="3">
        <v>788</v>
      </c>
      <c r="R32" s="4">
        <f t="shared" si="0"/>
        <v>1576</v>
      </c>
      <c r="S32" s="2" t="s">
        <v>31</v>
      </c>
      <c r="T32" s="2"/>
    </row>
    <row r="33" spans="1:20" x14ac:dyDescent="0.3">
      <c r="A33" s="2" t="s">
        <v>20</v>
      </c>
      <c r="B33" s="2" t="s">
        <v>21</v>
      </c>
      <c r="C33" s="2" t="s">
        <v>22</v>
      </c>
      <c r="D33" s="2" t="s">
        <v>23</v>
      </c>
      <c r="E33" s="2" t="s">
        <v>24</v>
      </c>
      <c r="F33" s="2" t="s">
        <v>25</v>
      </c>
      <c r="G33" s="2" t="s">
        <v>25</v>
      </c>
      <c r="H33" s="2" t="s">
        <v>26</v>
      </c>
      <c r="I33" s="2" t="s">
        <v>110</v>
      </c>
      <c r="J33" s="2" t="s">
        <v>111</v>
      </c>
      <c r="K33" s="2" t="s">
        <v>54</v>
      </c>
      <c r="L33" s="2" t="s">
        <v>29</v>
      </c>
      <c r="M33" s="2"/>
      <c r="N33" s="2" t="s">
        <v>110</v>
      </c>
      <c r="O33" s="2" t="s">
        <v>112</v>
      </c>
      <c r="P33" s="3">
        <v>1199</v>
      </c>
      <c r="Q33" s="3">
        <v>1199</v>
      </c>
      <c r="R33" s="4">
        <f t="shared" si="0"/>
        <v>2398</v>
      </c>
      <c r="S33" s="2" t="s">
        <v>31</v>
      </c>
      <c r="T33" s="2"/>
    </row>
    <row r="34" spans="1:20" x14ac:dyDescent="0.3">
      <c r="A34" s="2" t="s">
        <v>20</v>
      </c>
      <c r="B34" s="2" t="s">
        <v>21</v>
      </c>
      <c r="C34" s="2" t="s">
        <v>22</v>
      </c>
      <c r="D34" s="2" t="s">
        <v>23</v>
      </c>
      <c r="E34" s="2" t="s">
        <v>24</v>
      </c>
      <c r="F34" s="2" t="s">
        <v>25</v>
      </c>
      <c r="G34" s="2" t="s">
        <v>25</v>
      </c>
      <c r="H34" s="2" t="s">
        <v>26</v>
      </c>
      <c r="I34" s="2" t="s">
        <v>113</v>
      </c>
      <c r="J34" s="2" t="s">
        <v>73</v>
      </c>
      <c r="K34" s="2" t="s">
        <v>54</v>
      </c>
      <c r="L34" s="2" t="s">
        <v>29</v>
      </c>
      <c r="M34" s="2"/>
      <c r="N34" s="2" t="s">
        <v>113</v>
      </c>
      <c r="O34" s="2" t="s">
        <v>114</v>
      </c>
      <c r="P34" s="3">
        <v>1401</v>
      </c>
      <c r="Q34" s="3">
        <v>1401</v>
      </c>
      <c r="R34" s="4">
        <f t="shared" si="0"/>
        <v>2802</v>
      </c>
      <c r="S34" s="2" t="s">
        <v>31</v>
      </c>
      <c r="T34" s="2"/>
    </row>
    <row r="35" spans="1:20" x14ac:dyDescent="0.3">
      <c r="A35" s="2" t="s">
        <v>20</v>
      </c>
      <c r="B35" s="2" t="s">
        <v>21</v>
      </c>
      <c r="C35" s="2" t="s">
        <v>22</v>
      </c>
      <c r="D35" s="2" t="s">
        <v>23</v>
      </c>
      <c r="E35" s="2" t="s">
        <v>24</v>
      </c>
      <c r="F35" s="2" t="s">
        <v>25</v>
      </c>
      <c r="G35" s="2" t="s">
        <v>25</v>
      </c>
      <c r="H35" s="2" t="s">
        <v>26</v>
      </c>
      <c r="I35" s="2" t="s">
        <v>115</v>
      </c>
      <c r="J35" s="2" t="s">
        <v>44</v>
      </c>
      <c r="K35" s="2" t="s">
        <v>45</v>
      </c>
      <c r="L35" s="2" t="s">
        <v>29</v>
      </c>
      <c r="M35" s="2"/>
      <c r="N35" s="2" t="s">
        <v>115</v>
      </c>
      <c r="O35" s="2" t="s">
        <v>116</v>
      </c>
      <c r="P35" s="3">
        <v>500</v>
      </c>
      <c r="Q35" s="3">
        <v>500</v>
      </c>
      <c r="R35" s="4">
        <f t="shared" si="0"/>
        <v>1000</v>
      </c>
      <c r="S35" s="2" t="s">
        <v>31</v>
      </c>
      <c r="T35" s="2"/>
    </row>
    <row r="36" spans="1:20" x14ac:dyDescent="0.3">
      <c r="A36" s="2" t="s">
        <v>20</v>
      </c>
      <c r="B36" s="2" t="s">
        <v>21</v>
      </c>
      <c r="C36" s="2" t="s">
        <v>22</v>
      </c>
      <c r="D36" s="2" t="s">
        <v>23</v>
      </c>
      <c r="E36" s="2" t="s">
        <v>24</v>
      </c>
      <c r="F36" s="2" t="s">
        <v>25</v>
      </c>
      <c r="G36" s="2" t="s">
        <v>25</v>
      </c>
      <c r="H36" s="2" t="s">
        <v>26</v>
      </c>
      <c r="I36" s="2" t="s">
        <v>117</v>
      </c>
      <c r="J36" s="2" t="s">
        <v>48</v>
      </c>
      <c r="K36" s="2" t="s">
        <v>45</v>
      </c>
      <c r="L36" s="2" t="s">
        <v>29</v>
      </c>
      <c r="M36" s="2"/>
      <c r="N36" s="2" t="s">
        <v>117</v>
      </c>
      <c r="O36" s="2" t="s">
        <v>118</v>
      </c>
      <c r="P36" s="3">
        <v>546</v>
      </c>
      <c r="Q36" s="3">
        <v>546</v>
      </c>
      <c r="R36" s="4">
        <f t="shared" si="0"/>
        <v>1092</v>
      </c>
      <c r="S36" s="2" t="s">
        <v>31</v>
      </c>
      <c r="T36" s="2"/>
    </row>
    <row r="37" spans="1:20" x14ac:dyDescent="0.3">
      <c r="A37" s="2" t="s">
        <v>20</v>
      </c>
      <c r="B37" s="2" t="s">
        <v>21</v>
      </c>
      <c r="C37" s="2" t="s">
        <v>22</v>
      </c>
      <c r="D37" s="2" t="s">
        <v>23</v>
      </c>
      <c r="E37" s="2" t="s">
        <v>24</v>
      </c>
      <c r="F37" s="2" t="s">
        <v>25</v>
      </c>
      <c r="G37" s="2" t="s">
        <v>25</v>
      </c>
      <c r="H37" s="2" t="s">
        <v>26</v>
      </c>
      <c r="I37" s="2" t="s">
        <v>119</v>
      </c>
      <c r="J37" s="2" t="s">
        <v>120</v>
      </c>
      <c r="K37" s="2" t="s">
        <v>54</v>
      </c>
      <c r="L37" s="2" t="s">
        <v>29</v>
      </c>
      <c r="M37" s="2"/>
      <c r="N37" s="2" t="s">
        <v>119</v>
      </c>
      <c r="O37" s="2" t="s">
        <v>121</v>
      </c>
      <c r="P37" s="3">
        <v>1469</v>
      </c>
      <c r="Q37" s="3">
        <v>1469</v>
      </c>
      <c r="R37" s="4">
        <f t="shared" si="0"/>
        <v>2938</v>
      </c>
      <c r="S37" s="2" t="s">
        <v>31</v>
      </c>
      <c r="T37" s="2"/>
    </row>
    <row r="38" spans="1:20" x14ac:dyDescent="0.3">
      <c r="A38" s="2" t="s">
        <v>20</v>
      </c>
      <c r="B38" s="2" t="s">
        <v>21</v>
      </c>
      <c r="C38" s="2" t="s">
        <v>22</v>
      </c>
      <c r="D38" s="2" t="s">
        <v>23</v>
      </c>
      <c r="E38" s="2" t="s">
        <v>24</v>
      </c>
      <c r="F38" s="2" t="s">
        <v>25</v>
      </c>
      <c r="G38" s="2" t="s">
        <v>25</v>
      </c>
      <c r="H38" s="2" t="s">
        <v>26</v>
      </c>
      <c r="I38" s="2" t="s">
        <v>122</v>
      </c>
      <c r="J38" s="2" t="s">
        <v>77</v>
      </c>
      <c r="K38" s="2" t="s">
        <v>45</v>
      </c>
      <c r="L38" s="2" t="s">
        <v>29</v>
      </c>
      <c r="M38" s="2"/>
      <c r="N38" s="2" t="s">
        <v>122</v>
      </c>
      <c r="O38" s="2" t="s">
        <v>123</v>
      </c>
      <c r="P38" s="3">
        <v>899</v>
      </c>
      <c r="Q38" s="3">
        <v>899</v>
      </c>
      <c r="R38" s="4">
        <f t="shared" si="0"/>
        <v>1798</v>
      </c>
      <c r="S38" s="2" t="s">
        <v>31</v>
      </c>
      <c r="T38" s="2"/>
    </row>
    <row r="39" spans="1:20" x14ac:dyDescent="0.3">
      <c r="A39" s="2" t="s">
        <v>20</v>
      </c>
      <c r="B39" s="2" t="s">
        <v>21</v>
      </c>
      <c r="C39" s="2" t="s">
        <v>22</v>
      </c>
      <c r="D39" s="2" t="s">
        <v>23</v>
      </c>
      <c r="E39" s="2" t="s">
        <v>24</v>
      </c>
      <c r="F39" s="2" t="s">
        <v>25</v>
      </c>
      <c r="G39" s="2" t="s">
        <v>25</v>
      </c>
      <c r="H39" s="2" t="s">
        <v>26</v>
      </c>
      <c r="I39" s="2" t="s">
        <v>124</v>
      </c>
      <c r="J39" s="2" t="s">
        <v>104</v>
      </c>
      <c r="K39" s="2" t="s">
        <v>28</v>
      </c>
      <c r="L39" s="2" t="s">
        <v>29</v>
      </c>
      <c r="M39" s="2"/>
      <c r="N39" s="2" t="s">
        <v>125</v>
      </c>
      <c r="O39" s="2" t="s">
        <v>126</v>
      </c>
      <c r="P39" s="3">
        <v>553</v>
      </c>
      <c r="Q39" s="3">
        <v>553</v>
      </c>
      <c r="R39" s="4">
        <f t="shared" si="0"/>
        <v>1106</v>
      </c>
      <c r="S39" s="2" t="s">
        <v>31</v>
      </c>
      <c r="T39" s="2"/>
    </row>
    <row r="40" spans="1:20" x14ac:dyDescent="0.3">
      <c r="A40" s="2" t="s">
        <v>20</v>
      </c>
      <c r="B40" s="2" t="s">
        <v>21</v>
      </c>
      <c r="C40" s="2" t="s">
        <v>22</v>
      </c>
      <c r="D40" s="2" t="s">
        <v>23</v>
      </c>
      <c r="E40" s="2" t="s">
        <v>24</v>
      </c>
      <c r="F40" s="2" t="s">
        <v>25</v>
      </c>
      <c r="G40" s="2" t="s">
        <v>25</v>
      </c>
      <c r="H40" s="2" t="s">
        <v>26</v>
      </c>
      <c r="I40" s="2" t="s">
        <v>25</v>
      </c>
      <c r="J40" s="2" t="s">
        <v>26</v>
      </c>
      <c r="K40" s="2" t="s">
        <v>38</v>
      </c>
      <c r="L40" s="2" t="s">
        <v>127</v>
      </c>
      <c r="M40" s="2" t="s">
        <v>128</v>
      </c>
      <c r="N40" s="2" t="s">
        <v>25</v>
      </c>
      <c r="O40" s="2" t="s">
        <v>129</v>
      </c>
      <c r="P40" s="3">
        <v>10</v>
      </c>
      <c r="Q40" s="3">
        <v>10</v>
      </c>
      <c r="R40" s="4">
        <f t="shared" si="0"/>
        <v>20</v>
      </c>
      <c r="S40" s="2" t="s">
        <v>31</v>
      </c>
      <c r="T40" s="2" t="s">
        <v>130</v>
      </c>
    </row>
    <row r="41" spans="1:20" x14ac:dyDescent="0.3">
      <c r="A41" s="2" t="s">
        <v>20</v>
      </c>
      <c r="B41" s="2" t="s">
        <v>21</v>
      </c>
      <c r="C41" s="2" t="s">
        <v>22</v>
      </c>
      <c r="D41" s="2" t="s">
        <v>23</v>
      </c>
      <c r="E41" s="2" t="s">
        <v>24</v>
      </c>
      <c r="F41" s="2" t="s">
        <v>25</v>
      </c>
      <c r="G41" s="2" t="s">
        <v>25</v>
      </c>
      <c r="H41" s="2" t="s">
        <v>26</v>
      </c>
      <c r="I41" s="2" t="s">
        <v>131</v>
      </c>
      <c r="J41" s="2" t="s">
        <v>132</v>
      </c>
      <c r="K41" s="2" t="s">
        <v>133</v>
      </c>
      <c r="L41" s="2" t="s">
        <v>29</v>
      </c>
      <c r="M41" s="2"/>
      <c r="N41" s="2" t="s">
        <v>131</v>
      </c>
      <c r="O41" s="2" t="s">
        <v>134</v>
      </c>
      <c r="P41" s="3">
        <v>315</v>
      </c>
      <c r="Q41" s="3">
        <v>315</v>
      </c>
      <c r="R41" s="4">
        <f t="shared" si="0"/>
        <v>630</v>
      </c>
      <c r="S41" s="2" t="s">
        <v>31</v>
      </c>
      <c r="T41" s="2"/>
    </row>
    <row r="42" spans="1:20" x14ac:dyDescent="0.3">
      <c r="A42" s="2" t="s">
        <v>20</v>
      </c>
      <c r="B42" s="2" t="s">
        <v>21</v>
      </c>
      <c r="C42" s="2" t="s">
        <v>22</v>
      </c>
      <c r="D42" s="2" t="s">
        <v>23</v>
      </c>
      <c r="E42" s="2" t="s">
        <v>24</v>
      </c>
      <c r="F42" s="2" t="s">
        <v>25</v>
      </c>
      <c r="G42" s="2" t="s">
        <v>25</v>
      </c>
      <c r="H42" s="2" t="s">
        <v>26</v>
      </c>
      <c r="I42" s="2" t="s">
        <v>135</v>
      </c>
      <c r="J42" s="2" t="s">
        <v>136</v>
      </c>
      <c r="K42" s="2" t="s">
        <v>137</v>
      </c>
      <c r="L42" s="2" t="s">
        <v>29</v>
      </c>
      <c r="M42" s="2"/>
      <c r="N42" s="2" t="s">
        <v>135</v>
      </c>
      <c r="O42" s="2" t="s">
        <v>138</v>
      </c>
      <c r="P42" s="3">
        <v>580</v>
      </c>
      <c r="Q42" s="3">
        <v>580</v>
      </c>
      <c r="R42" s="4">
        <f t="shared" si="0"/>
        <v>1160</v>
      </c>
      <c r="S42" s="2" t="s">
        <v>31</v>
      </c>
      <c r="T42" s="2"/>
    </row>
    <row r="43" spans="1:20" x14ac:dyDescent="0.3">
      <c r="A43" s="2" t="s">
        <v>20</v>
      </c>
      <c r="B43" s="2" t="s">
        <v>21</v>
      </c>
      <c r="C43" s="2" t="s">
        <v>22</v>
      </c>
      <c r="D43" s="2" t="s">
        <v>23</v>
      </c>
      <c r="E43" s="2" t="s">
        <v>24</v>
      </c>
      <c r="F43" s="2" t="s">
        <v>25</v>
      </c>
      <c r="G43" s="2" t="s">
        <v>25</v>
      </c>
      <c r="H43" s="2" t="s">
        <v>26</v>
      </c>
      <c r="I43" s="2" t="s">
        <v>139</v>
      </c>
      <c r="J43" s="2" t="s">
        <v>140</v>
      </c>
      <c r="K43" s="2" t="s">
        <v>133</v>
      </c>
      <c r="L43" s="2" t="s">
        <v>29</v>
      </c>
      <c r="M43" s="2"/>
      <c r="N43" s="2" t="s">
        <v>139</v>
      </c>
      <c r="O43" s="2" t="s">
        <v>141</v>
      </c>
      <c r="P43" s="3">
        <v>357</v>
      </c>
      <c r="Q43" s="3">
        <v>357</v>
      </c>
      <c r="R43" s="4">
        <f t="shared" si="0"/>
        <v>714</v>
      </c>
      <c r="S43" s="2" t="s">
        <v>31</v>
      </c>
      <c r="T43" s="2"/>
    </row>
    <row r="44" spans="1:20" x14ac:dyDescent="0.3">
      <c r="A44" s="2" t="s">
        <v>20</v>
      </c>
      <c r="B44" s="2" t="s">
        <v>21</v>
      </c>
      <c r="C44" s="2" t="s">
        <v>22</v>
      </c>
      <c r="D44" s="2" t="s">
        <v>23</v>
      </c>
      <c r="E44" s="2" t="s">
        <v>24</v>
      </c>
      <c r="F44" s="2" t="s">
        <v>25</v>
      </c>
      <c r="G44" s="2" t="s">
        <v>25</v>
      </c>
      <c r="H44" s="2" t="s">
        <v>26</v>
      </c>
      <c r="I44" s="2" t="s">
        <v>142</v>
      </c>
      <c r="J44" s="2" t="s">
        <v>143</v>
      </c>
      <c r="K44" s="2" t="s">
        <v>137</v>
      </c>
      <c r="L44" s="2" t="s">
        <v>29</v>
      </c>
      <c r="M44" s="2"/>
      <c r="N44" s="2" t="s">
        <v>142</v>
      </c>
      <c r="O44" s="2" t="s">
        <v>144</v>
      </c>
      <c r="P44" s="3">
        <v>442</v>
      </c>
      <c r="Q44" s="3">
        <v>442</v>
      </c>
      <c r="R44" s="4">
        <f t="shared" si="0"/>
        <v>884</v>
      </c>
      <c r="S44" s="2" t="s">
        <v>31</v>
      </c>
      <c r="T44" s="2"/>
    </row>
    <row r="45" spans="1:20" x14ac:dyDescent="0.3">
      <c r="A45" s="2" t="s">
        <v>20</v>
      </c>
      <c r="B45" s="2" t="s">
        <v>21</v>
      </c>
      <c r="C45" s="2" t="s">
        <v>22</v>
      </c>
      <c r="D45" s="2" t="s">
        <v>23</v>
      </c>
      <c r="E45" s="2" t="s">
        <v>24</v>
      </c>
      <c r="F45" s="2" t="s">
        <v>25</v>
      </c>
      <c r="G45" s="2" t="s">
        <v>25</v>
      </c>
      <c r="H45" s="2" t="s">
        <v>26</v>
      </c>
      <c r="I45" s="2" t="s">
        <v>145</v>
      </c>
      <c r="J45" s="2" t="s">
        <v>146</v>
      </c>
      <c r="K45" s="2" t="s">
        <v>137</v>
      </c>
      <c r="L45" s="2" t="s">
        <v>29</v>
      </c>
      <c r="M45" s="2"/>
      <c r="N45" s="2" t="s">
        <v>145</v>
      </c>
      <c r="O45" s="2" t="s">
        <v>147</v>
      </c>
      <c r="P45" s="3">
        <v>631</v>
      </c>
      <c r="Q45" s="3">
        <v>631</v>
      </c>
      <c r="R45" s="4">
        <f t="shared" si="0"/>
        <v>1262</v>
      </c>
      <c r="S45" s="2" t="s">
        <v>31</v>
      </c>
      <c r="T45" s="2"/>
    </row>
    <row r="46" spans="1:20" x14ac:dyDescent="0.3">
      <c r="A46" s="2" t="s">
        <v>20</v>
      </c>
      <c r="B46" s="2" t="s">
        <v>21</v>
      </c>
      <c r="C46" s="2" t="s">
        <v>22</v>
      </c>
      <c r="D46" s="2" t="s">
        <v>23</v>
      </c>
      <c r="E46" s="2" t="s">
        <v>24</v>
      </c>
      <c r="F46" s="2" t="s">
        <v>25</v>
      </c>
      <c r="G46" s="2" t="s">
        <v>25</v>
      </c>
      <c r="H46" s="2" t="s">
        <v>26</v>
      </c>
      <c r="I46" s="2" t="s">
        <v>148</v>
      </c>
      <c r="J46" s="2" t="s">
        <v>82</v>
      </c>
      <c r="K46" s="2" t="s">
        <v>45</v>
      </c>
      <c r="L46" s="2" t="s">
        <v>29</v>
      </c>
      <c r="M46" s="2"/>
      <c r="N46" s="2" t="s">
        <v>148</v>
      </c>
      <c r="O46" s="2" t="s">
        <v>149</v>
      </c>
      <c r="P46" s="3">
        <v>655</v>
      </c>
      <c r="Q46" s="3">
        <v>655</v>
      </c>
      <c r="R46" s="4">
        <f t="shared" si="0"/>
        <v>1310</v>
      </c>
      <c r="S46" s="2" t="s">
        <v>31</v>
      </c>
      <c r="T46" s="2"/>
    </row>
    <row r="47" spans="1:20" x14ac:dyDescent="0.3">
      <c r="A47" s="2" t="s">
        <v>150</v>
      </c>
      <c r="B47" s="2" t="s">
        <v>21</v>
      </c>
      <c r="C47" s="2" t="s">
        <v>22</v>
      </c>
      <c r="D47" s="2" t="s">
        <v>23</v>
      </c>
      <c r="E47" s="2" t="s">
        <v>151</v>
      </c>
      <c r="F47" s="2" t="s">
        <v>152</v>
      </c>
      <c r="G47" s="2" t="s">
        <v>153</v>
      </c>
      <c r="H47" s="2" t="s">
        <v>152</v>
      </c>
      <c r="I47" s="2" t="s">
        <v>142</v>
      </c>
      <c r="J47" s="2" t="s">
        <v>143</v>
      </c>
      <c r="K47" s="2" t="s">
        <v>137</v>
      </c>
      <c r="L47" s="2" t="s">
        <v>29</v>
      </c>
      <c r="M47" s="2"/>
      <c r="N47" s="2" t="s">
        <v>142</v>
      </c>
      <c r="O47" s="2" t="s">
        <v>154</v>
      </c>
      <c r="P47" s="3">
        <v>483</v>
      </c>
      <c r="Q47" s="3">
        <v>483</v>
      </c>
      <c r="R47" s="4">
        <f t="shared" si="0"/>
        <v>966</v>
      </c>
      <c r="S47" s="2" t="s">
        <v>31</v>
      </c>
      <c r="T47" s="2"/>
    </row>
    <row r="48" spans="1:20" x14ac:dyDescent="0.3">
      <c r="A48" s="2" t="s">
        <v>150</v>
      </c>
      <c r="B48" s="2" t="s">
        <v>21</v>
      </c>
      <c r="C48" s="2" t="s">
        <v>22</v>
      </c>
      <c r="D48" s="2" t="s">
        <v>23</v>
      </c>
      <c r="E48" s="2" t="s">
        <v>151</v>
      </c>
      <c r="F48" s="2" t="s">
        <v>152</v>
      </c>
      <c r="G48" s="2" t="s">
        <v>153</v>
      </c>
      <c r="H48" s="2" t="s">
        <v>152</v>
      </c>
      <c r="I48" s="2" t="s">
        <v>27</v>
      </c>
      <c r="J48" s="2" t="s">
        <v>27</v>
      </c>
      <c r="K48" s="2" t="s">
        <v>28</v>
      </c>
      <c r="L48" s="2" t="s">
        <v>29</v>
      </c>
      <c r="M48" s="2"/>
      <c r="N48" s="2" t="s">
        <v>27</v>
      </c>
      <c r="O48" s="2" t="s">
        <v>155</v>
      </c>
      <c r="P48" s="3">
        <v>1021</v>
      </c>
      <c r="Q48" s="3">
        <v>1021</v>
      </c>
      <c r="R48" s="4">
        <f t="shared" si="0"/>
        <v>2042</v>
      </c>
      <c r="S48" s="2" t="s">
        <v>31</v>
      </c>
      <c r="T48" s="2"/>
    </row>
    <row r="49" spans="1:20" x14ac:dyDescent="0.3">
      <c r="A49" s="2" t="s">
        <v>150</v>
      </c>
      <c r="B49" s="2" t="s">
        <v>21</v>
      </c>
      <c r="C49" s="2" t="s">
        <v>22</v>
      </c>
      <c r="D49" s="2" t="s">
        <v>23</v>
      </c>
      <c r="E49" s="2" t="s">
        <v>151</v>
      </c>
      <c r="F49" s="2" t="s">
        <v>152</v>
      </c>
      <c r="G49" s="2" t="s">
        <v>153</v>
      </c>
      <c r="H49" s="2" t="s">
        <v>152</v>
      </c>
      <c r="I49" s="2" t="s">
        <v>50</v>
      </c>
      <c r="J49" s="2" t="s">
        <v>50</v>
      </c>
      <c r="K49" s="2" t="s">
        <v>28</v>
      </c>
      <c r="L49" s="2" t="s">
        <v>29</v>
      </c>
      <c r="M49" s="2"/>
      <c r="N49" s="2" t="s">
        <v>50</v>
      </c>
      <c r="O49" s="2" t="s">
        <v>156</v>
      </c>
      <c r="P49" s="3">
        <v>928</v>
      </c>
      <c r="Q49" s="3">
        <v>928</v>
      </c>
      <c r="R49" s="4">
        <f t="shared" si="0"/>
        <v>1856</v>
      </c>
      <c r="S49" s="2" t="s">
        <v>31</v>
      </c>
      <c r="T49" s="2"/>
    </row>
    <row r="50" spans="1:20" x14ac:dyDescent="0.3">
      <c r="A50" s="2" t="s">
        <v>157</v>
      </c>
      <c r="B50" s="2" t="s">
        <v>21</v>
      </c>
      <c r="C50" s="2" t="s">
        <v>22</v>
      </c>
      <c r="D50" s="2" t="s">
        <v>42</v>
      </c>
      <c r="E50" s="2" t="s">
        <v>158</v>
      </c>
      <c r="F50" s="2" t="s">
        <v>152</v>
      </c>
      <c r="G50" s="2" t="s">
        <v>159</v>
      </c>
      <c r="H50" s="2" t="s">
        <v>152</v>
      </c>
      <c r="I50" s="2" t="s">
        <v>160</v>
      </c>
      <c r="J50" s="2" t="s">
        <v>161</v>
      </c>
      <c r="K50" s="2" t="s">
        <v>133</v>
      </c>
      <c r="L50" s="2" t="s">
        <v>29</v>
      </c>
      <c r="M50" s="2"/>
      <c r="N50" s="2" t="s">
        <v>160</v>
      </c>
      <c r="O50" s="2" t="s">
        <v>162</v>
      </c>
      <c r="P50" s="3">
        <v>603</v>
      </c>
      <c r="Q50" s="3">
        <v>603</v>
      </c>
      <c r="R50" s="4">
        <f t="shared" si="0"/>
        <v>1206</v>
      </c>
      <c r="S50" s="2" t="s">
        <v>31</v>
      </c>
      <c r="T50" s="2"/>
    </row>
    <row r="51" spans="1:20" x14ac:dyDescent="0.3">
      <c r="A51" s="2" t="s">
        <v>157</v>
      </c>
      <c r="B51" s="2" t="s">
        <v>21</v>
      </c>
      <c r="C51" s="2" t="s">
        <v>22</v>
      </c>
      <c r="D51" s="2" t="s">
        <v>42</v>
      </c>
      <c r="E51" s="2" t="s">
        <v>158</v>
      </c>
      <c r="F51" s="2" t="s">
        <v>152</v>
      </c>
      <c r="G51" s="2" t="s">
        <v>159</v>
      </c>
      <c r="H51" s="2" t="s">
        <v>152</v>
      </c>
      <c r="I51" s="2" t="s">
        <v>43</v>
      </c>
      <c r="J51" s="2" t="s">
        <v>44</v>
      </c>
      <c r="K51" s="2" t="s">
        <v>45</v>
      </c>
      <c r="L51" s="2" t="s">
        <v>29</v>
      </c>
      <c r="M51" s="2"/>
      <c r="N51" s="2" t="s">
        <v>43</v>
      </c>
      <c r="O51" s="2" t="s">
        <v>163</v>
      </c>
      <c r="P51" s="3">
        <v>740</v>
      </c>
      <c r="Q51" s="3">
        <v>740</v>
      </c>
      <c r="R51" s="4">
        <f t="shared" si="0"/>
        <v>1480</v>
      </c>
      <c r="S51" s="2" t="s">
        <v>40</v>
      </c>
      <c r="T51" s="2"/>
    </row>
    <row r="52" spans="1:20" x14ac:dyDescent="0.3">
      <c r="A52" s="2" t="s">
        <v>157</v>
      </c>
      <c r="B52" s="2" t="s">
        <v>21</v>
      </c>
      <c r="C52" s="2" t="s">
        <v>22</v>
      </c>
      <c r="D52" s="2" t="s">
        <v>42</v>
      </c>
      <c r="E52" s="2" t="s">
        <v>158</v>
      </c>
      <c r="F52" s="2" t="s">
        <v>152</v>
      </c>
      <c r="G52" s="2" t="s">
        <v>159</v>
      </c>
      <c r="H52" s="2" t="s">
        <v>152</v>
      </c>
      <c r="I52" s="2" t="s">
        <v>27</v>
      </c>
      <c r="J52" s="2" t="s">
        <v>27</v>
      </c>
      <c r="K52" s="2" t="s">
        <v>28</v>
      </c>
      <c r="L52" s="2" t="s">
        <v>29</v>
      </c>
      <c r="M52" s="2"/>
      <c r="N52" s="2" t="s">
        <v>27</v>
      </c>
      <c r="O52" s="2" t="s">
        <v>164</v>
      </c>
      <c r="P52" s="3">
        <v>984</v>
      </c>
      <c r="Q52" s="3">
        <v>984</v>
      </c>
      <c r="R52" s="4">
        <f t="shared" si="0"/>
        <v>1968</v>
      </c>
      <c r="S52" s="2" t="s">
        <v>40</v>
      </c>
      <c r="T52" s="2"/>
    </row>
    <row r="53" spans="1:20" x14ac:dyDescent="0.3">
      <c r="A53" s="2" t="s">
        <v>157</v>
      </c>
      <c r="B53" s="2" t="s">
        <v>21</v>
      </c>
      <c r="C53" s="2" t="s">
        <v>22</v>
      </c>
      <c r="D53" s="2" t="s">
        <v>42</v>
      </c>
      <c r="E53" s="2" t="s">
        <v>158</v>
      </c>
      <c r="F53" s="2" t="s">
        <v>152</v>
      </c>
      <c r="G53" s="2" t="s">
        <v>159</v>
      </c>
      <c r="H53" s="2" t="s">
        <v>152</v>
      </c>
      <c r="I53" s="2" t="s">
        <v>25</v>
      </c>
      <c r="J53" s="2" t="s">
        <v>26</v>
      </c>
      <c r="K53" s="2" t="s">
        <v>38</v>
      </c>
      <c r="L53" s="2" t="s">
        <v>29</v>
      </c>
      <c r="M53" s="2"/>
      <c r="N53" s="2" t="s">
        <v>25</v>
      </c>
      <c r="O53" s="2" t="s">
        <v>165</v>
      </c>
      <c r="P53" s="3">
        <v>124</v>
      </c>
      <c r="Q53" s="3">
        <v>124</v>
      </c>
      <c r="R53" s="4">
        <f t="shared" si="0"/>
        <v>248</v>
      </c>
      <c r="S53" s="2" t="s">
        <v>40</v>
      </c>
      <c r="T53" s="2"/>
    </row>
    <row r="54" spans="1:20" x14ac:dyDescent="0.3">
      <c r="A54" s="2" t="s">
        <v>166</v>
      </c>
      <c r="B54" s="2" t="s">
        <v>167</v>
      </c>
      <c r="C54" s="2" t="s">
        <v>22</v>
      </c>
      <c r="D54" s="2" t="s">
        <v>42</v>
      </c>
      <c r="E54" s="2" t="s">
        <v>168</v>
      </c>
      <c r="F54" s="2" t="s">
        <v>152</v>
      </c>
      <c r="G54" s="2" t="s">
        <v>159</v>
      </c>
      <c r="H54" s="2" t="s">
        <v>152</v>
      </c>
      <c r="I54" s="2" t="s">
        <v>160</v>
      </c>
      <c r="J54" s="2" t="s">
        <v>161</v>
      </c>
      <c r="K54" s="2" t="s">
        <v>133</v>
      </c>
      <c r="L54" s="2" t="s">
        <v>29</v>
      </c>
      <c r="M54" s="2"/>
      <c r="N54" s="2" t="s">
        <v>160</v>
      </c>
      <c r="O54" s="2" t="s">
        <v>162</v>
      </c>
      <c r="P54" s="3">
        <v>603</v>
      </c>
      <c r="Q54" s="3">
        <v>603</v>
      </c>
      <c r="R54" s="4">
        <f t="shared" si="0"/>
        <v>1206</v>
      </c>
      <c r="S54" s="2" t="s">
        <v>31</v>
      </c>
      <c r="T54" s="2"/>
    </row>
    <row r="55" spans="1:20" x14ac:dyDescent="0.3">
      <c r="A55" s="2" t="s">
        <v>166</v>
      </c>
      <c r="B55" s="2" t="s">
        <v>167</v>
      </c>
      <c r="C55" s="2" t="s">
        <v>22</v>
      </c>
      <c r="D55" s="2" t="s">
        <v>42</v>
      </c>
      <c r="E55" s="2" t="s">
        <v>168</v>
      </c>
      <c r="F55" s="2" t="s">
        <v>152</v>
      </c>
      <c r="G55" s="2" t="s">
        <v>159</v>
      </c>
      <c r="H55" s="2" t="s">
        <v>152</v>
      </c>
      <c r="I55" s="2" t="s">
        <v>43</v>
      </c>
      <c r="J55" s="2" t="s">
        <v>44</v>
      </c>
      <c r="K55" s="2" t="s">
        <v>45</v>
      </c>
      <c r="L55" s="2" t="s">
        <v>29</v>
      </c>
      <c r="M55" s="2"/>
      <c r="N55" s="2" t="s">
        <v>43</v>
      </c>
      <c r="O55" s="2" t="s">
        <v>163</v>
      </c>
      <c r="P55" s="3">
        <v>740</v>
      </c>
      <c r="Q55" s="3">
        <v>740</v>
      </c>
      <c r="R55" s="4">
        <f t="shared" si="0"/>
        <v>1480</v>
      </c>
      <c r="S55" s="2" t="s">
        <v>40</v>
      </c>
      <c r="T55" s="2"/>
    </row>
    <row r="56" spans="1:20" x14ac:dyDescent="0.3">
      <c r="A56" s="2" t="s">
        <v>166</v>
      </c>
      <c r="B56" s="2" t="s">
        <v>167</v>
      </c>
      <c r="C56" s="2" t="s">
        <v>22</v>
      </c>
      <c r="D56" s="2" t="s">
        <v>42</v>
      </c>
      <c r="E56" s="2" t="s">
        <v>168</v>
      </c>
      <c r="F56" s="2" t="s">
        <v>152</v>
      </c>
      <c r="G56" s="2" t="s">
        <v>159</v>
      </c>
      <c r="H56" s="2" t="s">
        <v>152</v>
      </c>
      <c r="I56" s="2" t="s">
        <v>27</v>
      </c>
      <c r="J56" s="2" t="s">
        <v>27</v>
      </c>
      <c r="K56" s="2" t="s">
        <v>28</v>
      </c>
      <c r="L56" s="2" t="s">
        <v>29</v>
      </c>
      <c r="M56" s="2"/>
      <c r="N56" s="2" t="s">
        <v>27</v>
      </c>
      <c r="O56" s="2" t="s">
        <v>164</v>
      </c>
      <c r="P56" s="3">
        <v>984</v>
      </c>
      <c r="Q56" s="3">
        <v>984</v>
      </c>
      <c r="R56" s="4">
        <f t="shared" si="0"/>
        <v>1968</v>
      </c>
      <c r="S56" s="2" t="s">
        <v>40</v>
      </c>
      <c r="T56" s="2"/>
    </row>
    <row r="57" spans="1:20" x14ac:dyDescent="0.3">
      <c r="A57" s="2" t="s">
        <v>166</v>
      </c>
      <c r="B57" s="2" t="s">
        <v>167</v>
      </c>
      <c r="C57" s="2" t="s">
        <v>22</v>
      </c>
      <c r="D57" s="2" t="s">
        <v>42</v>
      </c>
      <c r="E57" s="2" t="s">
        <v>168</v>
      </c>
      <c r="F57" s="2" t="s">
        <v>152</v>
      </c>
      <c r="G57" s="2" t="s">
        <v>159</v>
      </c>
      <c r="H57" s="2" t="s">
        <v>152</v>
      </c>
      <c r="I57" s="2" t="s">
        <v>25</v>
      </c>
      <c r="J57" s="2" t="s">
        <v>26</v>
      </c>
      <c r="K57" s="2" t="s">
        <v>38</v>
      </c>
      <c r="L57" s="2" t="s">
        <v>29</v>
      </c>
      <c r="M57" s="2"/>
      <c r="N57" s="2" t="s">
        <v>25</v>
      </c>
      <c r="O57" s="2" t="s">
        <v>165</v>
      </c>
      <c r="P57" s="3">
        <v>124</v>
      </c>
      <c r="Q57" s="3">
        <v>124</v>
      </c>
      <c r="R57" s="4">
        <f t="shared" si="0"/>
        <v>248</v>
      </c>
      <c r="S57" s="2" t="s">
        <v>40</v>
      </c>
      <c r="T57" s="2"/>
    </row>
    <row r="58" spans="1:20" x14ac:dyDescent="0.3">
      <c r="A58" s="2" t="s">
        <v>166</v>
      </c>
      <c r="B58" s="2" t="s">
        <v>167</v>
      </c>
      <c r="C58" s="2" t="s">
        <v>22</v>
      </c>
      <c r="D58" s="2" t="s">
        <v>42</v>
      </c>
      <c r="E58" s="2" t="s">
        <v>168</v>
      </c>
      <c r="F58" s="2" t="s">
        <v>152</v>
      </c>
      <c r="G58" s="2" t="s">
        <v>159</v>
      </c>
      <c r="H58" s="2" t="s">
        <v>152</v>
      </c>
      <c r="I58" s="2" t="s">
        <v>65</v>
      </c>
      <c r="J58" s="2" t="s">
        <v>65</v>
      </c>
      <c r="K58" s="2" t="s">
        <v>28</v>
      </c>
      <c r="L58" s="2" t="s">
        <v>29</v>
      </c>
      <c r="M58" s="2"/>
      <c r="N58" s="2" t="s">
        <v>65</v>
      </c>
      <c r="O58" s="2" t="s">
        <v>169</v>
      </c>
      <c r="P58" s="3">
        <v>762</v>
      </c>
      <c r="Q58" s="3">
        <v>762</v>
      </c>
      <c r="R58" s="4">
        <f t="shared" si="0"/>
        <v>1524</v>
      </c>
      <c r="S58" s="2" t="s">
        <v>31</v>
      </c>
      <c r="T58" s="2"/>
    </row>
    <row r="59" spans="1:20" x14ac:dyDescent="0.3">
      <c r="A59" s="2" t="s">
        <v>170</v>
      </c>
      <c r="B59" s="2" t="s">
        <v>21</v>
      </c>
      <c r="C59" s="2" t="s">
        <v>22</v>
      </c>
      <c r="D59" s="2" t="s">
        <v>42</v>
      </c>
      <c r="E59" s="2" t="s">
        <v>171</v>
      </c>
      <c r="F59" s="2" t="s">
        <v>43</v>
      </c>
      <c r="G59" s="2" t="s">
        <v>172</v>
      </c>
      <c r="H59" s="2" t="s">
        <v>152</v>
      </c>
      <c r="I59" s="2" t="s">
        <v>43</v>
      </c>
      <c r="J59" s="2" t="s">
        <v>44</v>
      </c>
      <c r="K59" s="2" t="s">
        <v>45</v>
      </c>
      <c r="L59" s="2" t="s">
        <v>29</v>
      </c>
      <c r="M59" s="2"/>
      <c r="N59" s="2" t="s">
        <v>43</v>
      </c>
      <c r="O59" s="2" t="s">
        <v>173</v>
      </c>
      <c r="P59" s="3">
        <v>756</v>
      </c>
      <c r="Q59" s="3">
        <v>756</v>
      </c>
      <c r="R59" s="4">
        <f t="shared" si="0"/>
        <v>1512</v>
      </c>
      <c r="S59" s="2" t="s">
        <v>31</v>
      </c>
      <c r="T59" s="2"/>
    </row>
    <row r="60" spans="1:20" x14ac:dyDescent="0.3">
      <c r="A60" s="2" t="s">
        <v>170</v>
      </c>
      <c r="B60" s="2" t="s">
        <v>21</v>
      </c>
      <c r="C60" s="2" t="s">
        <v>22</v>
      </c>
      <c r="D60" s="2" t="s">
        <v>42</v>
      </c>
      <c r="E60" s="2" t="s">
        <v>171</v>
      </c>
      <c r="F60" s="2" t="s">
        <v>172</v>
      </c>
      <c r="G60" s="2" t="s">
        <v>172</v>
      </c>
      <c r="H60" s="2" t="s">
        <v>152</v>
      </c>
      <c r="I60" s="2" t="s">
        <v>43</v>
      </c>
      <c r="J60" s="2" t="s">
        <v>44</v>
      </c>
      <c r="K60" s="2" t="s">
        <v>45</v>
      </c>
      <c r="L60" s="2" t="s">
        <v>29</v>
      </c>
      <c r="M60" s="2"/>
      <c r="N60" s="2" t="s">
        <v>43</v>
      </c>
      <c r="O60" s="2" t="s">
        <v>173</v>
      </c>
      <c r="P60" s="3">
        <v>756</v>
      </c>
      <c r="Q60" s="3">
        <v>756</v>
      </c>
      <c r="R60" s="4">
        <f t="shared" si="0"/>
        <v>1512</v>
      </c>
      <c r="S60" s="2" t="s">
        <v>31</v>
      </c>
      <c r="T60" s="2"/>
    </row>
    <row r="61" spans="1:20" x14ac:dyDescent="0.3">
      <c r="A61" s="2" t="s">
        <v>170</v>
      </c>
      <c r="B61" s="2" t="s">
        <v>21</v>
      </c>
      <c r="C61" s="2" t="s">
        <v>22</v>
      </c>
      <c r="D61" s="2" t="s">
        <v>42</v>
      </c>
      <c r="E61" s="2" t="s">
        <v>171</v>
      </c>
      <c r="F61" s="2" t="s">
        <v>172</v>
      </c>
      <c r="G61" s="2" t="s">
        <v>172</v>
      </c>
      <c r="H61" s="2" t="s">
        <v>152</v>
      </c>
      <c r="I61" s="2" t="s">
        <v>174</v>
      </c>
      <c r="J61" s="2" t="s">
        <v>140</v>
      </c>
      <c r="K61" s="2" t="s">
        <v>133</v>
      </c>
      <c r="L61" s="2" t="s">
        <v>29</v>
      </c>
      <c r="M61" s="2"/>
      <c r="N61" s="2" t="s">
        <v>174</v>
      </c>
      <c r="O61" s="2" t="s">
        <v>175</v>
      </c>
      <c r="P61" s="3">
        <v>425</v>
      </c>
      <c r="Q61" s="3">
        <v>425</v>
      </c>
      <c r="R61" s="4">
        <f t="shared" si="0"/>
        <v>850</v>
      </c>
      <c r="S61" s="2" t="s">
        <v>31</v>
      </c>
      <c r="T61" s="2"/>
    </row>
    <row r="62" spans="1:20" x14ac:dyDescent="0.3">
      <c r="A62" s="2" t="s">
        <v>176</v>
      </c>
      <c r="B62" s="2" t="s">
        <v>21</v>
      </c>
      <c r="C62" s="2" t="s">
        <v>22</v>
      </c>
      <c r="D62" s="2" t="s">
        <v>23</v>
      </c>
      <c r="E62" s="2" t="s">
        <v>177</v>
      </c>
      <c r="F62" s="2" t="s">
        <v>152</v>
      </c>
      <c r="G62" s="2" t="s">
        <v>172</v>
      </c>
      <c r="H62" s="2" t="s">
        <v>152</v>
      </c>
      <c r="I62" s="2" t="s">
        <v>142</v>
      </c>
      <c r="J62" s="2" t="s">
        <v>143</v>
      </c>
      <c r="K62" s="2" t="s">
        <v>137</v>
      </c>
      <c r="L62" s="2" t="s">
        <v>29</v>
      </c>
      <c r="M62" s="2"/>
      <c r="N62" s="2" t="s">
        <v>142</v>
      </c>
      <c r="O62" s="2" t="s">
        <v>178</v>
      </c>
      <c r="P62" s="3">
        <v>475</v>
      </c>
      <c r="Q62" s="3">
        <v>475</v>
      </c>
      <c r="R62" s="4">
        <f t="shared" si="0"/>
        <v>950</v>
      </c>
      <c r="S62" s="2" t="s">
        <v>31</v>
      </c>
      <c r="T62" s="2"/>
    </row>
    <row r="63" spans="1:20" x14ac:dyDescent="0.3">
      <c r="A63" s="2" t="s">
        <v>176</v>
      </c>
      <c r="B63" s="2" t="s">
        <v>21</v>
      </c>
      <c r="C63" s="2" t="s">
        <v>22</v>
      </c>
      <c r="D63" s="2" t="s">
        <v>23</v>
      </c>
      <c r="E63" s="2" t="s">
        <v>177</v>
      </c>
      <c r="F63" s="2" t="s">
        <v>152</v>
      </c>
      <c r="G63" s="2" t="s">
        <v>172</v>
      </c>
      <c r="H63" s="2" t="s">
        <v>152</v>
      </c>
      <c r="I63" s="2" t="s">
        <v>135</v>
      </c>
      <c r="J63" s="2" t="s">
        <v>136</v>
      </c>
      <c r="K63" s="2" t="s">
        <v>137</v>
      </c>
      <c r="L63" s="2" t="s">
        <v>29</v>
      </c>
      <c r="M63" s="2"/>
      <c r="N63" s="2" t="s">
        <v>135</v>
      </c>
      <c r="O63" s="2" t="s">
        <v>179</v>
      </c>
      <c r="P63" s="3">
        <v>612</v>
      </c>
      <c r="Q63" s="3">
        <v>612</v>
      </c>
      <c r="R63" s="4">
        <f t="shared" si="0"/>
        <v>1224</v>
      </c>
      <c r="S63" s="2" t="s">
        <v>31</v>
      </c>
      <c r="T63" s="2"/>
    </row>
    <row r="64" spans="1:20" x14ac:dyDescent="0.3">
      <c r="A64" s="2" t="s">
        <v>176</v>
      </c>
      <c r="B64" s="2" t="s">
        <v>21</v>
      </c>
      <c r="C64" s="2" t="s">
        <v>22</v>
      </c>
      <c r="D64" s="2" t="s">
        <v>23</v>
      </c>
      <c r="E64" s="2" t="s">
        <v>177</v>
      </c>
      <c r="F64" s="2" t="s">
        <v>152</v>
      </c>
      <c r="G64" s="2" t="s">
        <v>172</v>
      </c>
      <c r="H64" s="2" t="s">
        <v>152</v>
      </c>
      <c r="I64" s="2" t="s">
        <v>27</v>
      </c>
      <c r="J64" s="2" t="s">
        <v>27</v>
      </c>
      <c r="K64" s="2" t="s">
        <v>28</v>
      </c>
      <c r="L64" s="2" t="s">
        <v>29</v>
      </c>
      <c r="M64" s="2"/>
      <c r="N64" s="2" t="s">
        <v>27</v>
      </c>
      <c r="O64" s="2" t="s">
        <v>180</v>
      </c>
      <c r="P64" s="3">
        <v>1017</v>
      </c>
      <c r="Q64" s="3">
        <v>1017</v>
      </c>
      <c r="R64" s="4">
        <f t="shared" si="0"/>
        <v>2034</v>
      </c>
      <c r="S64" s="2" t="s">
        <v>31</v>
      </c>
      <c r="T64" s="2"/>
    </row>
    <row r="65" spans="1:20" x14ac:dyDescent="0.3">
      <c r="A65" s="2" t="s">
        <v>176</v>
      </c>
      <c r="B65" s="2" t="s">
        <v>21</v>
      </c>
      <c r="C65" s="2" t="s">
        <v>22</v>
      </c>
      <c r="D65" s="2" t="s">
        <v>23</v>
      </c>
      <c r="E65" s="2" t="s">
        <v>177</v>
      </c>
      <c r="F65" s="2" t="s">
        <v>152</v>
      </c>
      <c r="G65" s="2" t="s">
        <v>172</v>
      </c>
      <c r="H65" s="2" t="s">
        <v>152</v>
      </c>
      <c r="I65" s="2" t="s">
        <v>43</v>
      </c>
      <c r="J65" s="2" t="s">
        <v>44</v>
      </c>
      <c r="K65" s="2" t="s">
        <v>45</v>
      </c>
      <c r="L65" s="2" t="s">
        <v>29</v>
      </c>
      <c r="M65" s="2"/>
      <c r="N65" s="2" t="s">
        <v>43</v>
      </c>
      <c r="O65" s="2" t="s">
        <v>173</v>
      </c>
      <c r="P65" s="3">
        <v>756</v>
      </c>
      <c r="Q65" s="3">
        <v>756</v>
      </c>
      <c r="R65" s="4">
        <f t="shared" si="0"/>
        <v>1512</v>
      </c>
      <c r="S65" s="2" t="s">
        <v>31</v>
      </c>
      <c r="T65" s="2"/>
    </row>
    <row r="66" spans="1:20" x14ac:dyDescent="0.3">
      <c r="A66" s="2" t="s">
        <v>176</v>
      </c>
      <c r="B66" s="2" t="s">
        <v>21</v>
      </c>
      <c r="C66" s="2" t="s">
        <v>22</v>
      </c>
      <c r="D66" s="2" t="s">
        <v>23</v>
      </c>
      <c r="E66" s="2" t="s">
        <v>177</v>
      </c>
      <c r="F66" s="2" t="s">
        <v>152</v>
      </c>
      <c r="G66" s="2" t="s">
        <v>172</v>
      </c>
      <c r="H66" s="2" t="s">
        <v>152</v>
      </c>
      <c r="I66" s="2" t="s">
        <v>25</v>
      </c>
      <c r="J66" s="2" t="s">
        <v>26</v>
      </c>
      <c r="K66" s="2" t="s">
        <v>38</v>
      </c>
      <c r="L66" s="2" t="s">
        <v>29</v>
      </c>
      <c r="M66" s="2"/>
      <c r="N66" s="2" t="s">
        <v>25</v>
      </c>
      <c r="O66" s="2" t="s">
        <v>181</v>
      </c>
      <c r="P66" s="3">
        <v>156</v>
      </c>
      <c r="Q66" s="3">
        <v>156</v>
      </c>
      <c r="R66" s="4">
        <f t="shared" ref="R66:R129" si="1">IF(P66="","",P66+Q66)</f>
        <v>312</v>
      </c>
      <c r="S66" s="2" t="s">
        <v>31</v>
      </c>
      <c r="T66" s="2"/>
    </row>
    <row r="67" spans="1:20" x14ac:dyDescent="0.3">
      <c r="A67" s="2" t="s">
        <v>176</v>
      </c>
      <c r="B67" s="2" t="s">
        <v>21</v>
      </c>
      <c r="C67" s="2" t="s">
        <v>22</v>
      </c>
      <c r="D67" s="2" t="s">
        <v>23</v>
      </c>
      <c r="E67" s="2" t="s">
        <v>177</v>
      </c>
      <c r="F67" s="2" t="s">
        <v>152</v>
      </c>
      <c r="G67" s="2" t="s">
        <v>172</v>
      </c>
      <c r="H67" s="2" t="s">
        <v>152</v>
      </c>
      <c r="I67" s="2" t="s">
        <v>65</v>
      </c>
      <c r="J67" s="2" t="s">
        <v>65</v>
      </c>
      <c r="K67" s="2" t="s">
        <v>28</v>
      </c>
      <c r="L67" s="2" t="s">
        <v>29</v>
      </c>
      <c r="M67" s="2"/>
      <c r="N67" s="2" t="s">
        <v>65</v>
      </c>
      <c r="O67" s="2" t="s">
        <v>182</v>
      </c>
      <c r="P67" s="3">
        <v>774</v>
      </c>
      <c r="Q67" s="3">
        <v>774</v>
      </c>
      <c r="R67" s="4">
        <f t="shared" si="1"/>
        <v>1548</v>
      </c>
      <c r="S67" s="2" t="s">
        <v>31</v>
      </c>
      <c r="T67" s="2"/>
    </row>
    <row r="68" spans="1:20" x14ac:dyDescent="0.3">
      <c r="A68" s="2" t="s">
        <v>183</v>
      </c>
      <c r="B68" s="2" t="s">
        <v>21</v>
      </c>
      <c r="C68" s="2" t="s">
        <v>22</v>
      </c>
      <c r="D68" s="2" t="s">
        <v>42</v>
      </c>
      <c r="E68" s="2" t="s">
        <v>184</v>
      </c>
      <c r="F68" s="2" t="s">
        <v>152</v>
      </c>
      <c r="G68" s="2" t="s">
        <v>172</v>
      </c>
      <c r="H68" s="2" t="s">
        <v>152</v>
      </c>
      <c r="I68" s="2" t="s">
        <v>185</v>
      </c>
      <c r="J68" s="2" t="s">
        <v>37</v>
      </c>
      <c r="K68" s="2" t="s">
        <v>38</v>
      </c>
      <c r="L68" s="2" t="s">
        <v>29</v>
      </c>
      <c r="M68" s="2" t="s">
        <v>186</v>
      </c>
      <c r="N68" s="2" t="s">
        <v>185</v>
      </c>
      <c r="O68" s="2" t="s">
        <v>187</v>
      </c>
      <c r="P68" s="3">
        <v>43</v>
      </c>
      <c r="Q68" s="3">
        <v>43</v>
      </c>
      <c r="R68" s="4">
        <f t="shared" si="1"/>
        <v>86</v>
      </c>
      <c r="S68" s="2" t="s">
        <v>31</v>
      </c>
      <c r="T68" s="2"/>
    </row>
    <row r="69" spans="1:20" x14ac:dyDescent="0.3">
      <c r="A69" s="2" t="s">
        <v>183</v>
      </c>
      <c r="B69" s="2" t="s">
        <v>21</v>
      </c>
      <c r="C69" s="2" t="s">
        <v>22</v>
      </c>
      <c r="D69" s="2" t="s">
        <v>42</v>
      </c>
      <c r="E69" s="2" t="s">
        <v>184</v>
      </c>
      <c r="F69" s="2" t="s">
        <v>152</v>
      </c>
      <c r="G69" s="2" t="s">
        <v>172</v>
      </c>
      <c r="H69" s="2" t="s">
        <v>152</v>
      </c>
      <c r="I69" s="2" t="s">
        <v>153</v>
      </c>
      <c r="J69" s="2" t="s">
        <v>152</v>
      </c>
      <c r="K69" s="2" t="s">
        <v>38</v>
      </c>
      <c r="L69" s="2" t="s">
        <v>127</v>
      </c>
      <c r="M69" s="2" t="s">
        <v>188</v>
      </c>
      <c r="N69" s="2" t="s">
        <v>153</v>
      </c>
      <c r="O69" s="2" t="s">
        <v>189</v>
      </c>
      <c r="P69" s="3">
        <v>10</v>
      </c>
      <c r="Q69" s="3">
        <v>10</v>
      </c>
      <c r="R69" s="4">
        <f t="shared" si="1"/>
        <v>20</v>
      </c>
      <c r="S69" s="2" t="s">
        <v>31</v>
      </c>
      <c r="T69" s="2"/>
    </row>
    <row r="70" spans="1:20" x14ac:dyDescent="0.3">
      <c r="A70" s="2" t="s">
        <v>183</v>
      </c>
      <c r="B70" s="2" t="s">
        <v>21</v>
      </c>
      <c r="C70" s="2" t="s">
        <v>22</v>
      </c>
      <c r="D70" s="2" t="s">
        <v>42</v>
      </c>
      <c r="E70" s="2" t="s">
        <v>184</v>
      </c>
      <c r="F70" s="2" t="s">
        <v>152</v>
      </c>
      <c r="G70" s="2" t="s">
        <v>172</v>
      </c>
      <c r="H70" s="2" t="s">
        <v>152</v>
      </c>
      <c r="I70" s="2" t="s">
        <v>190</v>
      </c>
      <c r="J70" s="2" t="s">
        <v>152</v>
      </c>
      <c r="K70" s="2" t="s">
        <v>38</v>
      </c>
      <c r="L70" s="2" t="s">
        <v>127</v>
      </c>
      <c r="M70" s="2" t="s">
        <v>188</v>
      </c>
      <c r="N70" s="2" t="s">
        <v>190</v>
      </c>
      <c r="O70" s="2" t="s">
        <v>191</v>
      </c>
      <c r="P70" s="3">
        <v>15</v>
      </c>
      <c r="Q70" s="3">
        <v>15</v>
      </c>
      <c r="R70" s="4">
        <f t="shared" si="1"/>
        <v>30</v>
      </c>
      <c r="S70" s="2" t="s">
        <v>31</v>
      </c>
      <c r="T70" s="2"/>
    </row>
    <row r="71" spans="1:20" x14ac:dyDescent="0.3">
      <c r="A71" s="2" t="s">
        <v>183</v>
      </c>
      <c r="B71" s="2" t="s">
        <v>21</v>
      </c>
      <c r="C71" s="2" t="s">
        <v>22</v>
      </c>
      <c r="D71" s="2" t="s">
        <v>42</v>
      </c>
      <c r="E71" s="2" t="s">
        <v>184</v>
      </c>
      <c r="F71" s="2" t="s">
        <v>152</v>
      </c>
      <c r="G71" s="2" t="s">
        <v>172</v>
      </c>
      <c r="H71" s="2" t="s">
        <v>152</v>
      </c>
      <c r="I71" s="2" t="s">
        <v>25</v>
      </c>
      <c r="J71" s="2" t="s">
        <v>26</v>
      </c>
      <c r="K71" s="2" t="s">
        <v>38</v>
      </c>
      <c r="L71" s="2" t="s">
        <v>29</v>
      </c>
      <c r="M71" s="2"/>
      <c r="N71" s="2" t="s">
        <v>25</v>
      </c>
      <c r="O71" s="2" t="s">
        <v>181</v>
      </c>
      <c r="P71" s="3">
        <v>156</v>
      </c>
      <c r="Q71" s="3">
        <v>156</v>
      </c>
      <c r="R71" s="4">
        <f t="shared" si="1"/>
        <v>312</v>
      </c>
      <c r="S71" s="2" t="s">
        <v>31</v>
      </c>
      <c r="T71" s="2"/>
    </row>
    <row r="72" spans="1:20" x14ac:dyDescent="0.3">
      <c r="A72" s="2" t="s">
        <v>183</v>
      </c>
      <c r="B72" s="2" t="s">
        <v>21</v>
      </c>
      <c r="C72" s="2" t="s">
        <v>22</v>
      </c>
      <c r="D72" s="2" t="s">
        <v>42</v>
      </c>
      <c r="E72" s="2" t="s">
        <v>184</v>
      </c>
      <c r="F72" s="2" t="s">
        <v>152</v>
      </c>
      <c r="G72" s="2" t="s">
        <v>172</v>
      </c>
      <c r="H72" s="2" t="s">
        <v>152</v>
      </c>
      <c r="I72" s="2" t="s">
        <v>192</v>
      </c>
      <c r="J72" s="2" t="s">
        <v>37</v>
      </c>
      <c r="K72" s="2" t="s">
        <v>38</v>
      </c>
      <c r="L72" s="2" t="s">
        <v>29</v>
      </c>
      <c r="M72" s="2"/>
      <c r="N72" s="2" t="s">
        <v>192</v>
      </c>
      <c r="O72" s="2" t="s">
        <v>193</v>
      </c>
      <c r="P72" s="3">
        <v>42</v>
      </c>
      <c r="Q72" s="3">
        <v>42</v>
      </c>
      <c r="R72" s="4">
        <f t="shared" si="1"/>
        <v>84</v>
      </c>
      <c r="S72" s="2" t="s">
        <v>31</v>
      </c>
      <c r="T72" s="2"/>
    </row>
    <row r="73" spans="1:20" x14ac:dyDescent="0.3">
      <c r="A73" s="2" t="s">
        <v>183</v>
      </c>
      <c r="B73" s="2" t="s">
        <v>21</v>
      </c>
      <c r="C73" s="2" t="s">
        <v>22</v>
      </c>
      <c r="D73" s="2" t="s">
        <v>42</v>
      </c>
      <c r="E73" s="2" t="s">
        <v>184</v>
      </c>
      <c r="F73" s="2" t="s">
        <v>152</v>
      </c>
      <c r="G73" s="2" t="s">
        <v>172</v>
      </c>
      <c r="H73" s="2" t="s">
        <v>152</v>
      </c>
      <c r="I73" s="2" t="s">
        <v>194</v>
      </c>
      <c r="J73" s="2" t="s">
        <v>152</v>
      </c>
      <c r="K73" s="2" t="s">
        <v>38</v>
      </c>
      <c r="L73" s="2" t="s">
        <v>127</v>
      </c>
      <c r="M73" s="2" t="s">
        <v>188</v>
      </c>
      <c r="N73" s="2" t="s">
        <v>194</v>
      </c>
      <c r="O73" s="2" t="s">
        <v>195</v>
      </c>
      <c r="P73" s="3">
        <v>15</v>
      </c>
      <c r="Q73" s="3">
        <v>15</v>
      </c>
      <c r="R73" s="4">
        <f t="shared" si="1"/>
        <v>30</v>
      </c>
      <c r="S73" s="2" t="s">
        <v>31</v>
      </c>
      <c r="T73" s="2"/>
    </row>
    <row r="74" spans="1:20" x14ac:dyDescent="0.3">
      <c r="A74" s="2" t="s">
        <v>183</v>
      </c>
      <c r="B74" s="2" t="s">
        <v>21</v>
      </c>
      <c r="C74" s="2" t="s">
        <v>22</v>
      </c>
      <c r="D74" s="2" t="s">
        <v>42</v>
      </c>
      <c r="E74" s="2" t="s">
        <v>184</v>
      </c>
      <c r="F74" s="2" t="s">
        <v>152</v>
      </c>
      <c r="G74" s="2" t="s">
        <v>172</v>
      </c>
      <c r="H74" s="2" t="s">
        <v>152</v>
      </c>
      <c r="I74" s="2" t="s">
        <v>196</v>
      </c>
      <c r="J74" s="2" t="s">
        <v>152</v>
      </c>
      <c r="K74" s="2" t="s">
        <v>38</v>
      </c>
      <c r="L74" s="2" t="s">
        <v>127</v>
      </c>
      <c r="M74" s="2" t="s">
        <v>188</v>
      </c>
      <c r="N74" s="2" t="s">
        <v>196</v>
      </c>
      <c r="O74" s="2" t="s">
        <v>197</v>
      </c>
      <c r="P74" s="3">
        <v>12</v>
      </c>
      <c r="Q74" s="3">
        <v>12</v>
      </c>
      <c r="R74" s="4">
        <f t="shared" si="1"/>
        <v>24</v>
      </c>
      <c r="S74" s="2" t="s">
        <v>31</v>
      </c>
      <c r="T74" s="2"/>
    </row>
    <row r="75" spans="1:20" x14ac:dyDescent="0.3">
      <c r="A75" s="2" t="s">
        <v>183</v>
      </c>
      <c r="B75" s="2" t="s">
        <v>21</v>
      </c>
      <c r="C75" s="2" t="s">
        <v>22</v>
      </c>
      <c r="D75" s="2" t="s">
        <v>42</v>
      </c>
      <c r="E75" s="2" t="s">
        <v>184</v>
      </c>
      <c r="F75" s="2" t="s">
        <v>152</v>
      </c>
      <c r="G75" s="2" t="s">
        <v>172</v>
      </c>
      <c r="H75" s="2" t="s">
        <v>152</v>
      </c>
      <c r="I75" s="2" t="s">
        <v>198</v>
      </c>
      <c r="J75" s="2" t="s">
        <v>37</v>
      </c>
      <c r="K75" s="2" t="s">
        <v>38</v>
      </c>
      <c r="L75" s="2" t="s">
        <v>29</v>
      </c>
      <c r="M75" s="2"/>
      <c r="N75" s="2" t="s">
        <v>198</v>
      </c>
      <c r="O75" s="2" t="s">
        <v>199</v>
      </c>
      <c r="P75" s="3">
        <v>39</v>
      </c>
      <c r="Q75" s="3">
        <v>39</v>
      </c>
      <c r="R75" s="4">
        <f t="shared" si="1"/>
        <v>78</v>
      </c>
      <c r="S75" s="2" t="s">
        <v>31</v>
      </c>
      <c r="T75" s="2"/>
    </row>
    <row r="76" spans="1:20" x14ac:dyDescent="0.3">
      <c r="A76" s="2" t="s">
        <v>183</v>
      </c>
      <c r="B76" s="2" t="s">
        <v>21</v>
      </c>
      <c r="C76" s="2" t="s">
        <v>22</v>
      </c>
      <c r="D76" s="2" t="s">
        <v>42</v>
      </c>
      <c r="E76" s="2" t="s">
        <v>184</v>
      </c>
      <c r="F76" s="2" t="s">
        <v>152</v>
      </c>
      <c r="G76" s="2" t="s">
        <v>172</v>
      </c>
      <c r="H76" s="2" t="s">
        <v>152</v>
      </c>
      <c r="I76" s="2" t="s">
        <v>200</v>
      </c>
      <c r="J76" s="2" t="s">
        <v>152</v>
      </c>
      <c r="K76" s="2" t="s">
        <v>38</v>
      </c>
      <c r="L76" s="2" t="s">
        <v>127</v>
      </c>
      <c r="M76" s="2" t="s">
        <v>188</v>
      </c>
      <c r="N76" s="2" t="s">
        <v>200</v>
      </c>
      <c r="O76" s="2" t="s">
        <v>201</v>
      </c>
      <c r="P76" s="3">
        <v>23</v>
      </c>
      <c r="Q76" s="3">
        <v>23</v>
      </c>
      <c r="R76" s="4">
        <f t="shared" si="1"/>
        <v>46</v>
      </c>
      <c r="S76" s="2" t="s">
        <v>31</v>
      </c>
      <c r="T76" s="2"/>
    </row>
    <row r="77" spans="1:20" x14ac:dyDescent="0.3">
      <c r="A77" s="2" t="s">
        <v>183</v>
      </c>
      <c r="B77" s="2" t="s">
        <v>21</v>
      </c>
      <c r="C77" s="2" t="s">
        <v>22</v>
      </c>
      <c r="D77" s="2" t="s">
        <v>42</v>
      </c>
      <c r="E77" s="2" t="s">
        <v>184</v>
      </c>
      <c r="F77" s="2" t="s">
        <v>152</v>
      </c>
      <c r="G77" s="2" t="s">
        <v>172</v>
      </c>
      <c r="H77" s="2" t="s">
        <v>152</v>
      </c>
      <c r="I77" s="2" t="s">
        <v>202</v>
      </c>
      <c r="J77" s="2" t="s">
        <v>152</v>
      </c>
      <c r="K77" s="2" t="s">
        <v>38</v>
      </c>
      <c r="L77" s="2" t="s">
        <v>127</v>
      </c>
      <c r="M77" s="2" t="s">
        <v>188</v>
      </c>
      <c r="N77" s="2" t="s">
        <v>202</v>
      </c>
      <c r="O77" s="2" t="s">
        <v>203</v>
      </c>
      <c r="P77" s="3">
        <v>27</v>
      </c>
      <c r="Q77" s="3">
        <v>27</v>
      </c>
      <c r="R77" s="4">
        <f t="shared" si="1"/>
        <v>54</v>
      </c>
      <c r="S77" s="2" t="s">
        <v>31</v>
      </c>
      <c r="T77" s="2"/>
    </row>
    <row r="78" spans="1:20" x14ac:dyDescent="0.3">
      <c r="A78" s="2" t="s">
        <v>183</v>
      </c>
      <c r="B78" s="2" t="s">
        <v>21</v>
      </c>
      <c r="C78" s="2" t="s">
        <v>22</v>
      </c>
      <c r="D78" s="2" t="s">
        <v>42</v>
      </c>
      <c r="E78" s="2" t="s">
        <v>184</v>
      </c>
      <c r="F78" s="2" t="s">
        <v>152</v>
      </c>
      <c r="G78" s="2" t="s">
        <v>172</v>
      </c>
      <c r="H78" s="2" t="s">
        <v>152</v>
      </c>
      <c r="I78" s="2" t="s">
        <v>204</v>
      </c>
      <c r="J78" s="2" t="s">
        <v>37</v>
      </c>
      <c r="K78" s="2" t="s">
        <v>38</v>
      </c>
      <c r="L78" s="2" t="s">
        <v>29</v>
      </c>
      <c r="M78" s="2"/>
      <c r="N78" s="2" t="s">
        <v>204</v>
      </c>
      <c r="O78" s="2" t="s">
        <v>205</v>
      </c>
      <c r="P78" s="3">
        <v>70</v>
      </c>
      <c r="Q78" s="3">
        <v>70</v>
      </c>
      <c r="R78" s="4">
        <f t="shared" si="1"/>
        <v>140</v>
      </c>
      <c r="S78" s="2" t="s">
        <v>31</v>
      </c>
      <c r="T78" s="2"/>
    </row>
    <row r="79" spans="1:20" x14ac:dyDescent="0.3">
      <c r="A79" s="2" t="s">
        <v>183</v>
      </c>
      <c r="B79" s="2" t="s">
        <v>21</v>
      </c>
      <c r="C79" s="2" t="s">
        <v>22</v>
      </c>
      <c r="D79" s="2" t="s">
        <v>42</v>
      </c>
      <c r="E79" s="2" t="s">
        <v>184</v>
      </c>
      <c r="F79" s="2" t="s">
        <v>152</v>
      </c>
      <c r="G79" s="2" t="s">
        <v>172</v>
      </c>
      <c r="H79" s="2" t="s">
        <v>152</v>
      </c>
      <c r="I79" s="2" t="s">
        <v>206</v>
      </c>
      <c r="J79" s="2" t="s">
        <v>37</v>
      </c>
      <c r="K79" s="2" t="s">
        <v>38</v>
      </c>
      <c r="L79" s="2" t="s">
        <v>29</v>
      </c>
      <c r="M79" s="2"/>
      <c r="N79" s="2" t="s">
        <v>206</v>
      </c>
      <c r="O79" s="2" t="s">
        <v>207</v>
      </c>
      <c r="P79" s="3">
        <v>53</v>
      </c>
      <c r="Q79" s="3">
        <v>53</v>
      </c>
      <c r="R79" s="4">
        <f t="shared" si="1"/>
        <v>106</v>
      </c>
      <c r="S79" s="2" t="s">
        <v>31</v>
      </c>
      <c r="T79" s="2"/>
    </row>
    <row r="80" spans="1:20" x14ac:dyDescent="0.3">
      <c r="A80" s="2" t="s">
        <v>183</v>
      </c>
      <c r="B80" s="2" t="s">
        <v>21</v>
      </c>
      <c r="C80" s="2" t="s">
        <v>22</v>
      </c>
      <c r="D80" s="2" t="s">
        <v>42</v>
      </c>
      <c r="E80" s="2" t="s">
        <v>184</v>
      </c>
      <c r="F80" s="2" t="s">
        <v>152</v>
      </c>
      <c r="G80" s="2" t="s">
        <v>172</v>
      </c>
      <c r="H80" s="2" t="s">
        <v>152</v>
      </c>
      <c r="I80" s="2" t="s">
        <v>208</v>
      </c>
      <c r="J80" s="2" t="s">
        <v>37</v>
      </c>
      <c r="K80" s="2" t="s">
        <v>38</v>
      </c>
      <c r="L80" s="2" t="s">
        <v>29</v>
      </c>
      <c r="M80" s="2"/>
      <c r="N80" s="2" t="s">
        <v>208</v>
      </c>
      <c r="O80" s="2" t="s">
        <v>209</v>
      </c>
      <c r="P80" s="3">
        <v>81</v>
      </c>
      <c r="Q80" s="3">
        <v>81</v>
      </c>
      <c r="R80" s="4">
        <f t="shared" si="1"/>
        <v>162</v>
      </c>
      <c r="S80" s="2" t="s">
        <v>31</v>
      </c>
      <c r="T80" s="2"/>
    </row>
    <row r="81" spans="1:20" x14ac:dyDescent="0.3">
      <c r="A81" s="2" t="s">
        <v>183</v>
      </c>
      <c r="B81" s="2" t="s">
        <v>21</v>
      </c>
      <c r="C81" s="2" t="s">
        <v>22</v>
      </c>
      <c r="D81" s="2" t="s">
        <v>42</v>
      </c>
      <c r="E81" s="2" t="s">
        <v>184</v>
      </c>
      <c r="F81" s="2" t="s">
        <v>152</v>
      </c>
      <c r="G81" s="2" t="s">
        <v>172</v>
      </c>
      <c r="H81" s="2" t="s">
        <v>152</v>
      </c>
      <c r="I81" s="2" t="s">
        <v>210</v>
      </c>
      <c r="J81" s="2" t="s">
        <v>152</v>
      </c>
      <c r="K81" s="2" t="s">
        <v>38</v>
      </c>
      <c r="L81" s="2" t="s">
        <v>127</v>
      </c>
      <c r="M81" s="2" t="s">
        <v>188</v>
      </c>
      <c r="N81" s="2" t="s">
        <v>210</v>
      </c>
      <c r="O81" s="2" t="s">
        <v>211</v>
      </c>
      <c r="P81" s="3">
        <v>21</v>
      </c>
      <c r="Q81" s="3">
        <v>21</v>
      </c>
      <c r="R81" s="4">
        <f t="shared" si="1"/>
        <v>42</v>
      </c>
      <c r="S81" s="2" t="s">
        <v>31</v>
      </c>
      <c r="T81" s="2"/>
    </row>
    <row r="82" spans="1:20" x14ac:dyDescent="0.3">
      <c r="A82" s="2" t="s">
        <v>183</v>
      </c>
      <c r="B82" s="2" t="s">
        <v>21</v>
      </c>
      <c r="C82" s="2" t="s">
        <v>22</v>
      </c>
      <c r="D82" s="2" t="s">
        <v>42</v>
      </c>
      <c r="E82" s="2" t="s">
        <v>184</v>
      </c>
      <c r="F82" s="2" t="s">
        <v>152</v>
      </c>
      <c r="G82" s="2" t="s">
        <v>172</v>
      </c>
      <c r="H82" s="2" t="s">
        <v>152</v>
      </c>
      <c r="I82" s="2" t="s">
        <v>212</v>
      </c>
      <c r="J82" s="2" t="s">
        <v>37</v>
      </c>
      <c r="K82" s="2" t="s">
        <v>38</v>
      </c>
      <c r="L82" s="2" t="s">
        <v>29</v>
      </c>
      <c r="M82" s="2"/>
      <c r="N82" s="2" t="s">
        <v>212</v>
      </c>
      <c r="O82" s="2" t="s">
        <v>213</v>
      </c>
      <c r="P82" s="3">
        <v>96</v>
      </c>
      <c r="Q82" s="3">
        <v>96</v>
      </c>
      <c r="R82" s="4">
        <f t="shared" si="1"/>
        <v>192</v>
      </c>
      <c r="S82" s="2" t="s">
        <v>31</v>
      </c>
      <c r="T82" s="2"/>
    </row>
    <row r="83" spans="1:20" x14ac:dyDescent="0.3">
      <c r="A83" s="2" t="s">
        <v>183</v>
      </c>
      <c r="B83" s="2" t="s">
        <v>21</v>
      </c>
      <c r="C83" s="2" t="s">
        <v>22</v>
      </c>
      <c r="D83" s="2" t="s">
        <v>42</v>
      </c>
      <c r="E83" s="2" t="s">
        <v>184</v>
      </c>
      <c r="F83" s="2" t="s">
        <v>152</v>
      </c>
      <c r="G83" s="2" t="s">
        <v>172</v>
      </c>
      <c r="H83" s="2" t="s">
        <v>152</v>
      </c>
      <c r="I83" s="2" t="s">
        <v>172</v>
      </c>
      <c r="J83" s="2" t="s">
        <v>152</v>
      </c>
      <c r="K83" s="2" t="s">
        <v>38</v>
      </c>
      <c r="L83" s="2" t="s">
        <v>127</v>
      </c>
      <c r="M83" s="2" t="s">
        <v>188</v>
      </c>
      <c r="N83" s="2" t="s">
        <v>172</v>
      </c>
      <c r="O83" s="2" t="s">
        <v>214</v>
      </c>
      <c r="P83" s="3">
        <v>10</v>
      </c>
      <c r="Q83" s="3">
        <v>10</v>
      </c>
      <c r="R83" s="4">
        <f t="shared" si="1"/>
        <v>20</v>
      </c>
      <c r="S83" s="2" t="s">
        <v>31</v>
      </c>
      <c r="T83" s="2" t="s">
        <v>130</v>
      </c>
    </row>
    <row r="84" spans="1:20" x14ac:dyDescent="0.3">
      <c r="A84" s="2" t="s">
        <v>183</v>
      </c>
      <c r="B84" s="2" t="s">
        <v>21</v>
      </c>
      <c r="C84" s="2" t="s">
        <v>22</v>
      </c>
      <c r="D84" s="2" t="s">
        <v>42</v>
      </c>
      <c r="E84" s="2" t="s">
        <v>184</v>
      </c>
      <c r="F84" s="2" t="s">
        <v>152</v>
      </c>
      <c r="G84" s="2" t="s">
        <v>172</v>
      </c>
      <c r="H84" s="2" t="s">
        <v>152</v>
      </c>
      <c r="I84" s="2" t="s">
        <v>215</v>
      </c>
      <c r="J84" s="2" t="s">
        <v>152</v>
      </c>
      <c r="K84" s="2" t="s">
        <v>38</v>
      </c>
      <c r="L84" s="2" t="s">
        <v>127</v>
      </c>
      <c r="M84" s="2" t="s">
        <v>188</v>
      </c>
      <c r="N84" s="2" t="s">
        <v>215</v>
      </c>
      <c r="O84" s="2" t="s">
        <v>216</v>
      </c>
      <c r="P84" s="3">
        <v>16</v>
      </c>
      <c r="Q84" s="3">
        <v>16</v>
      </c>
      <c r="R84" s="4">
        <f t="shared" si="1"/>
        <v>32</v>
      </c>
      <c r="S84" s="2" t="s">
        <v>31</v>
      </c>
      <c r="T84" s="2"/>
    </row>
    <row r="85" spans="1:20" x14ac:dyDescent="0.3">
      <c r="A85" s="2" t="s">
        <v>183</v>
      </c>
      <c r="B85" s="2" t="s">
        <v>21</v>
      </c>
      <c r="C85" s="2" t="s">
        <v>22</v>
      </c>
      <c r="D85" s="2" t="s">
        <v>42</v>
      </c>
      <c r="E85" s="2" t="s">
        <v>184</v>
      </c>
      <c r="F85" s="2" t="s">
        <v>152</v>
      </c>
      <c r="G85" s="2" t="s">
        <v>172</v>
      </c>
      <c r="H85" s="2" t="s">
        <v>152</v>
      </c>
      <c r="I85" s="2" t="s">
        <v>217</v>
      </c>
      <c r="J85" s="2" t="s">
        <v>152</v>
      </c>
      <c r="K85" s="2" t="s">
        <v>38</v>
      </c>
      <c r="L85" s="2" t="s">
        <v>127</v>
      </c>
      <c r="M85" s="2" t="s">
        <v>188</v>
      </c>
      <c r="N85" s="2" t="s">
        <v>217</v>
      </c>
      <c r="O85" s="2" t="s">
        <v>218</v>
      </c>
      <c r="P85" s="3">
        <v>16</v>
      </c>
      <c r="Q85" s="3">
        <v>16</v>
      </c>
      <c r="R85" s="4">
        <f t="shared" si="1"/>
        <v>32</v>
      </c>
      <c r="S85" s="2" t="s">
        <v>31</v>
      </c>
      <c r="T85" s="2"/>
    </row>
    <row r="86" spans="1:20" x14ac:dyDescent="0.3">
      <c r="A86" s="2" t="s">
        <v>183</v>
      </c>
      <c r="B86" s="2" t="s">
        <v>21</v>
      </c>
      <c r="C86" s="2" t="s">
        <v>22</v>
      </c>
      <c r="D86" s="2" t="s">
        <v>42</v>
      </c>
      <c r="E86" s="2" t="s">
        <v>184</v>
      </c>
      <c r="F86" s="2" t="s">
        <v>152</v>
      </c>
      <c r="G86" s="2" t="s">
        <v>172</v>
      </c>
      <c r="H86" s="2" t="s">
        <v>152</v>
      </c>
      <c r="I86" s="2" t="s">
        <v>219</v>
      </c>
      <c r="J86" s="2" t="s">
        <v>152</v>
      </c>
      <c r="K86" s="2" t="s">
        <v>38</v>
      </c>
      <c r="L86" s="2" t="s">
        <v>127</v>
      </c>
      <c r="M86" s="2" t="s">
        <v>188</v>
      </c>
      <c r="N86" s="2" t="s">
        <v>219</v>
      </c>
      <c r="O86" s="2" t="s">
        <v>220</v>
      </c>
      <c r="P86" s="3">
        <v>12</v>
      </c>
      <c r="Q86" s="3">
        <v>12</v>
      </c>
      <c r="R86" s="4">
        <f t="shared" si="1"/>
        <v>24</v>
      </c>
      <c r="S86" s="2" t="s">
        <v>31</v>
      </c>
      <c r="T86" s="2"/>
    </row>
    <row r="87" spans="1:20" x14ac:dyDescent="0.3">
      <c r="A87" s="2" t="s">
        <v>183</v>
      </c>
      <c r="B87" s="2" t="s">
        <v>21</v>
      </c>
      <c r="C87" s="2" t="s">
        <v>22</v>
      </c>
      <c r="D87" s="2" t="s">
        <v>42</v>
      </c>
      <c r="E87" s="2" t="s">
        <v>184</v>
      </c>
      <c r="F87" s="2" t="s">
        <v>152</v>
      </c>
      <c r="G87" s="2" t="s">
        <v>172</v>
      </c>
      <c r="H87" s="2" t="s">
        <v>152</v>
      </c>
      <c r="I87" s="2" t="s">
        <v>221</v>
      </c>
      <c r="J87" s="2" t="s">
        <v>152</v>
      </c>
      <c r="K87" s="2" t="s">
        <v>38</v>
      </c>
      <c r="L87" s="2" t="s">
        <v>127</v>
      </c>
      <c r="M87" s="2" t="s">
        <v>188</v>
      </c>
      <c r="N87" s="2" t="s">
        <v>221</v>
      </c>
      <c r="O87" s="2" t="s">
        <v>222</v>
      </c>
      <c r="P87" s="3">
        <v>17</v>
      </c>
      <c r="Q87" s="3">
        <v>17</v>
      </c>
      <c r="R87" s="4">
        <f t="shared" si="1"/>
        <v>34</v>
      </c>
      <c r="S87" s="2" t="s">
        <v>31</v>
      </c>
      <c r="T87" s="2"/>
    </row>
    <row r="88" spans="1:20" x14ac:dyDescent="0.3">
      <c r="A88" s="2" t="s">
        <v>183</v>
      </c>
      <c r="B88" s="2" t="s">
        <v>21</v>
      </c>
      <c r="C88" s="2" t="s">
        <v>22</v>
      </c>
      <c r="D88" s="2" t="s">
        <v>42</v>
      </c>
      <c r="E88" s="2" t="s">
        <v>184</v>
      </c>
      <c r="F88" s="2" t="s">
        <v>152</v>
      </c>
      <c r="G88" s="2" t="s">
        <v>172</v>
      </c>
      <c r="H88" s="2" t="s">
        <v>152</v>
      </c>
      <c r="I88" s="2" t="s">
        <v>36</v>
      </c>
      <c r="J88" s="2" t="s">
        <v>37</v>
      </c>
      <c r="K88" s="2" t="s">
        <v>38</v>
      </c>
      <c r="L88" s="2" t="s">
        <v>29</v>
      </c>
      <c r="M88" s="2"/>
      <c r="N88" s="2" t="s">
        <v>36</v>
      </c>
      <c r="O88" s="2" t="s">
        <v>223</v>
      </c>
      <c r="P88" s="3">
        <v>83</v>
      </c>
      <c r="Q88" s="3">
        <v>83</v>
      </c>
      <c r="R88" s="4">
        <f t="shared" si="1"/>
        <v>166</v>
      </c>
      <c r="S88" s="2" t="s">
        <v>31</v>
      </c>
      <c r="T88" s="2"/>
    </row>
    <row r="89" spans="1:20" x14ac:dyDescent="0.3">
      <c r="A89" s="2" t="s">
        <v>183</v>
      </c>
      <c r="B89" s="2" t="s">
        <v>21</v>
      </c>
      <c r="C89" s="2" t="s">
        <v>22</v>
      </c>
      <c r="D89" s="2" t="s">
        <v>42</v>
      </c>
      <c r="E89" s="2" t="s">
        <v>184</v>
      </c>
      <c r="F89" s="2" t="s">
        <v>152</v>
      </c>
      <c r="G89" s="2" t="s">
        <v>172</v>
      </c>
      <c r="H89" s="2" t="s">
        <v>152</v>
      </c>
      <c r="I89" s="2" t="s">
        <v>224</v>
      </c>
      <c r="J89" s="2" t="s">
        <v>152</v>
      </c>
      <c r="K89" s="2" t="s">
        <v>38</v>
      </c>
      <c r="L89" s="2" t="s">
        <v>127</v>
      </c>
      <c r="M89" s="2" t="s">
        <v>225</v>
      </c>
      <c r="N89" s="2" t="s">
        <v>224</v>
      </c>
      <c r="O89" s="2" t="s">
        <v>226</v>
      </c>
      <c r="P89" s="3">
        <v>17</v>
      </c>
      <c r="Q89" s="3">
        <v>17</v>
      </c>
      <c r="R89" s="4">
        <f t="shared" si="1"/>
        <v>34</v>
      </c>
      <c r="S89" s="2" t="s">
        <v>31</v>
      </c>
      <c r="T89" s="2"/>
    </row>
    <row r="90" spans="1:20" x14ac:dyDescent="0.3">
      <c r="A90" s="2" t="s">
        <v>183</v>
      </c>
      <c r="B90" s="2" t="s">
        <v>21</v>
      </c>
      <c r="C90" s="2" t="s">
        <v>22</v>
      </c>
      <c r="D90" s="2" t="s">
        <v>42</v>
      </c>
      <c r="E90" s="2" t="s">
        <v>184</v>
      </c>
      <c r="F90" s="2" t="s">
        <v>152</v>
      </c>
      <c r="G90" s="2" t="s">
        <v>172</v>
      </c>
      <c r="H90" s="2" t="s">
        <v>152</v>
      </c>
      <c r="I90" s="2" t="s">
        <v>227</v>
      </c>
      <c r="J90" s="2" t="s">
        <v>152</v>
      </c>
      <c r="K90" s="2" t="s">
        <v>38</v>
      </c>
      <c r="L90" s="2" t="s">
        <v>127</v>
      </c>
      <c r="M90" s="2" t="s">
        <v>188</v>
      </c>
      <c r="N90" s="2" t="s">
        <v>227</v>
      </c>
      <c r="O90" s="2" t="s">
        <v>228</v>
      </c>
      <c r="P90" s="3">
        <v>28</v>
      </c>
      <c r="Q90" s="3">
        <v>28</v>
      </c>
      <c r="R90" s="4">
        <f t="shared" si="1"/>
        <v>56</v>
      </c>
      <c r="S90" s="2" t="s">
        <v>31</v>
      </c>
      <c r="T90" s="2"/>
    </row>
    <row r="91" spans="1:20" x14ac:dyDescent="0.3">
      <c r="A91" s="2" t="s">
        <v>183</v>
      </c>
      <c r="B91" s="2" t="s">
        <v>21</v>
      </c>
      <c r="C91" s="2" t="s">
        <v>22</v>
      </c>
      <c r="D91" s="2" t="s">
        <v>42</v>
      </c>
      <c r="E91" s="2" t="s">
        <v>184</v>
      </c>
      <c r="F91" s="2" t="s">
        <v>152</v>
      </c>
      <c r="G91" s="2" t="s">
        <v>172</v>
      </c>
      <c r="H91" s="2" t="s">
        <v>152</v>
      </c>
      <c r="I91" s="2" t="s">
        <v>229</v>
      </c>
      <c r="J91" s="2" t="s">
        <v>230</v>
      </c>
      <c r="K91" s="2" t="s">
        <v>45</v>
      </c>
      <c r="L91" s="2" t="s">
        <v>29</v>
      </c>
      <c r="M91" s="2"/>
      <c r="N91" s="2" t="s">
        <v>229</v>
      </c>
      <c r="O91" s="2" t="s">
        <v>231</v>
      </c>
      <c r="P91" s="3">
        <v>367</v>
      </c>
      <c r="Q91" s="3">
        <v>367</v>
      </c>
      <c r="R91" s="4">
        <f t="shared" si="1"/>
        <v>734</v>
      </c>
      <c r="S91" s="2" t="s">
        <v>31</v>
      </c>
      <c r="T91" s="2"/>
    </row>
    <row r="92" spans="1:20" x14ac:dyDescent="0.3">
      <c r="A92" s="2" t="s">
        <v>232</v>
      </c>
      <c r="B92" s="2" t="s">
        <v>21</v>
      </c>
      <c r="C92" s="2" t="s">
        <v>22</v>
      </c>
      <c r="D92" s="2" t="s">
        <v>23</v>
      </c>
      <c r="E92" s="2" t="s">
        <v>184</v>
      </c>
      <c r="F92" s="2" t="s">
        <v>152</v>
      </c>
      <c r="G92" s="2" t="s">
        <v>172</v>
      </c>
      <c r="H92" s="2" t="s">
        <v>152</v>
      </c>
      <c r="I92" s="2" t="s">
        <v>185</v>
      </c>
      <c r="J92" s="2" t="s">
        <v>37</v>
      </c>
      <c r="K92" s="2" t="s">
        <v>38</v>
      </c>
      <c r="L92" s="2" t="s">
        <v>29</v>
      </c>
      <c r="M92" s="2" t="s">
        <v>186</v>
      </c>
      <c r="N92" s="2" t="s">
        <v>185</v>
      </c>
      <c r="O92" s="2" t="s">
        <v>187</v>
      </c>
      <c r="P92" s="3">
        <v>43</v>
      </c>
      <c r="Q92" s="3">
        <v>43</v>
      </c>
      <c r="R92" s="4">
        <f t="shared" si="1"/>
        <v>86</v>
      </c>
      <c r="S92" s="2" t="s">
        <v>31</v>
      </c>
      <c r="T92" s="2"/>
    </row>
    <row r="93" spans="1:20" x14ac:dyDescent="0.3">
      <c r="A93" s="2" t="s">
        <v>232</v>
      </c>
      <c r="B93" s="2" t="s">
        <v>21</v>
      </c>
      <c r="C93" s="2" t="s">
        <v>22</v>
      </c>
      <c r="D93" s="2" t="s">
        <v>23</v>
      </c>
      <c r="E93" s="2" t="s">
        <v>184</v>
      </c>
      <c r="F93" s="2" t="s">
        <v>152</v>
      </c>
      <c r="G93" s="2" t="s">
        <v>172</v>
      </c>
      <c r="H93" s="2" t="s">
        <v>152</v>
      </c>
      <c r="I93" s="2" t="s">
        <v>153</v>
      </c>
      <c r="J93" s="2" t="s">
        <v>152</v>
      </c>
      <c r="K93" s="2" t="s">
        <v>38</v>
      </c>
      <c r="L93" s="2" t="s">
        <v>127</v>
      </c>
      <c r="M93" s="2" t="s">
        <v>188</v>
      </c>
      <c r="N93" s="2" t="s">
        <v>153</v>
      </c>
      <c r="O93" s="2" t="s">
        <v>189</v>
      </c>
      <c r="P93" s="3">
        <v>10</v>
      </c>
      <c r="Q93" s="3">
        <v>10</v>
      </c>
      <c r="R93" s="4">
        <f t="shared" si="1"/>
        <v>20</v>
      </c>
      <c r="S93" s="2" t="s">
        <v>31</v>
      </c>
      <c r="T93" s="2"/>
    </row>
    <row r="94" spans="1:20" x14ac:dyDescent="0.3">
      <c r="A94" s="2" t="s">
        <v>232</v>
      </c>
      <c r="B94" s="2" t="s">
        <v>21</v>
      </c>
      <c r="C94" s="2" t="s">
        <v>22</v>
      </c>
      <c r="D94" s="2" t="s">
        <v>23</v>
      </c>
      <c r="E94" s="2" t="s">
        <v>184</v>
      </c>
      <c r="F94" s="2" t="s">
        <v>152</v>
      </c>
      <c r="G94" s="2" t="s">
        <v>172</v>
      </c>
      <c r="H94" s="2" t="s">
        <v>152</v>
      </c>
      <c r="I94" s="2" t="s">
        <v>190</v>
      </c>
      <c r="J94" s="2" t="s">
        <v>152</v>
      </c>
      <c r="K94" s="2" t="s">
        <v>38</v>
      </c>
      <c r="L94" s="2" t="s">
        <v>127</v>
      </c>
      <c r="M94" s="2" t="s">
        <v>188</v>
      </c>
      <c r="N94" s="2" t="s">
        <v>190</v>
      </c>
      <c r="O94" s="2" t="s">
        <v>191</v>
      </c>
      <c r="P94" s="3">
        <v>15</v>
      </c>
      <c r="Q94" s="3">
        <v>15</v>
      </c>
      <c r="R94" s="4">
        <f t="shared" si="1"/>
        <v>30</v>
      </c>
      <c r="S94" s="2" t="s">
        <v>31</v>
      </c>
      <c r="T94" s="2"/>
    </row>
    <row r="95" spans="1:20" x14ac:dyDescent="0.3">
      <c r="A95" s="2" t="s">
        <v>232</v>
      </c>
      <c r="B95" s="2" t="s">
        <v>21</v>
      </c>
      <c r="C95" s="2" t="s">
        <v>22</v>
      </c>
      <c r="D95" s="2" t="s">
        <v>23</v>
      </c>
      <c r="E95" s="2" t="s">
        <v>184</v>
      </c>
      <c r="F95" s="2" t="s">
        <v>152</v>
      </c>
      <c r="G95" s="2" t="s">
        <v>172</v>
      </c>
      <c r="H95" s="2" t="s">
        <v>152</v>
      </c>
      <c r="I95" s="2" t="s">
        <v>25</v>
      </c>
      <c r="J95" s="2" t="s">
        <v>26</v>
      </c>
      <c r="K95" s="2" t="s">
        <v>38</v>
      </c>
      <c r="L95" s="2" t="s">
        <v>29</v>
      </c>
      <c r="M95" s="2"/>
      <c r="N95" s="2" t="s">
        <v>25</v>
      </c>
      <c r="O95" s="2" t="s">
        <v>181</v>
      </c>
      <c r="P95" s="3">
        <v>156</v>
      </c>
      <c r="Q95" s="3">
        <v>156</v>
      </c>
      <c r="R95" s="4">
        <f t="shared" si="1"/>
        <v>312</v>
      </c>
      <c r="S95" s="2" t="s">
        <v>31</v>
      </c>
      <c r="T95" s="2"/>
    </row>
    <row r="96" spans="1:20" x14ac:dyDescent="0.3">
      <c r="A96" s="2" t="s">
        <v>232</v>
      </c>
      <c r="B96" s="2" t="s">
        <v>21</v>
      </c>
      <c r="C96" s="2" t="s">
        <v>22</v>
      </c>
      <c r="D96" s="2" t="s">
        <v>23</v>
      </c>
      <c r="E96" s="2" t="s">
        <v>184</v>
      </c>
      <c r="F96" s="2" t="s">
        <v>152</v>
      </c>
      <c r="G96" s="2" t="s">
        <v>172</v>
      </c>
      <c r="H96" s="2" t="s">
        <v>152</v>
      </c>
      <c r="I96" s="2" t="s">
        <v>192</v>
      </c>
      <c r="J96" s="2" t="s">
        <v>37</v>
      </c>
      <c r="K96" s="2" t="s">
        <v>38</v>
      </c>
      <c r="L96" s="2" t="s">
        <v>29</v>
      </c>
      <c r="M96" s="2"/>
      <c r="N96" s="2" t="s">
        <v>192</v>
      </c>
      <c r="O96" s="2" t="s">
        <v>193</v>
      </c>
      <c r="P96" s="3">
        <v>42</v>
      </c>
      <c r="Q96" s="3">
        <v>42</v>
      </c>
      <c r="R96" s="4">
        <f t="shared" si="1"/>
        <v>84</v>
      </c>
      <c r="S96" s="2" t="s">
        <v>31</v>
      </c>
      <c r="T96" s="2"/>
    </row>
    <row r="97" spans="1:20" x14ac:dyDescent="0.3">
      <c r="A97" s="2" t="s">
        <v>232</v>
      </c>
      <c r="B97" s="2" t="s">
        <v>21</v>
      </c>
      <c r="C97" s="2" t="s">
        <v>22</v>
      </c>
      <c r="D97" s="2" t="s">
        <v>23</v>
      </c>
      <c r="E97" s="2" t="s">
        <v>184</v>
      </c>
      <c r="F97" s="2" t="s">
        <v>152</v>
      </c>
      <c r="G97" s="2" t="s">
        <v>172</v>
      </c>
      <c r="H97" s="2" t="s">
        <v>152</v>
      </c>
      <c r="I97" s="2" t="s">
        <v>194</v>
      </c>
      <c r="J97" s="2" t="s">
        <v>152</v>
      </c>
      <c r="K97" s="2" t="s">
        <v>38</v>
      </c>
      <c r="L97" s="2" t="s">
        <v>127</v>
      </c>
      <c r="M97" s="2" t="s">
        <v>188</v>
      </c>
      <c r="N97" s="2" t="s">
        <v>194</v>
      </c>
      <c r="O97" s="2" t="s">
        <v>195</v>
      </c>
      <c r="P97" s="3">
        <v>15</v>
      </c>
      <c r="Q97" s="3">
        <v>15</v>
      </c>
      <c r="R97" s="4">
        <f t="shared" si="1"/>
        <v>30</v>
      </c>
      <c r="S97" s="2" t="s">
        <v>31</v>
      </c>
      <c r="T97" s="2"/>
    </row>
    <row r="98" spans="1:20" x14ac:dyDescent="0.3">
      <c r="A98" s="2" t="s">
        <v>232</v>
      </c>
      <c r="B98" s="2" t="s">
        <v>21</v>
      </c>
      <c r="C98" s="2" t="s">
        <v>22</v>
      </c>
      <c r="D98" s="2" t="s">
        <v>23</v>
      </c>
      <c r="E98" s="2" t="s">
        <v>184</v>
      </c>
      <c r="F98" s="2" t="s">
        <v>152</v>
      </c>
      <c r="G98" s="2" t="s">
        <v>172</v>
      </c>
      <c r="H98" s="2" t="s">
        <v>152</v>
      </c>
      <c r="I98" s="2" t="s">
        <v>196</v>
      </c>
      <c r="J98" s="2" t="s">
        <v>152</v>
      </c>
      <c r="K98" s="2" t="s">
        <v>38</v>
      </c>
      <c r="L98" s="2" t="s">
        <v>127</v>
      </c>
      <c r="M98" s="2" t="s">
        <v>188</v>
      </c>
      <c r="N98" s="2" t="s">
        <v>196</v>
      </c>
      <c r="O98" s="2" t="s">
        <v>197</v>
      </c>
      <c r="P98" s="3">
        <v>12</v>
      </c>
      <c r="Q98" s="3">
        <v>12</v>
      </c>
      <c r="R98" s="4">
        <f t="shared" si="1"/>
        <v>24</v>
      </c>
      <c r="S98" s="2" t="s">
        <v>31</v>
      </c>
      <c r="T98" s="2"/>
    </row>
    <row r="99" spans="1:20" x14ac:dyDescent="0.3">
      <c r="A99" s="2" t="s">
        <v>232</v>
      </c>
      <c r="B99" s="2" t="s">
        <v>21</v>
      </c>
      <c r="C99" s="2" t="s">
        <v>22</v>
      </c>
      <c r="D99" s="2" t="s">
        <v>23</v>
      </c>
      <c r="E99" s="2" t="s">
        <v>184</v>
      </c>
      <c r="F99" s="2" t="s">
        <v>152</v>
      </c>
      <c r="G99" s="2" t="s">
        <v>172</v>
      </c>
      <c r="H99" s="2" t="s">
        <v>152</v>
      </c>
      <c r="I99" s="2" t="s">
        <v>198</v>
      </c>
      <c r="J99" s="2" t="s">
        <v>37</v>
      </c>
      <c r="K99" s="2" t="s">
        <v>38</v>
      </c>
      <c r="L99" s="2" t="s">
        <v>29</v>
      </c>
      <c r="M99" s="2"/>
      <c r="N99" s="2" t="s">
        <v>198</v>
      </c>
      <c r="O99" s="2" t="s">
        <v>199</v>
      </c>
      <c r="P99" s="3">
        <v>39</v>
      </c>
      <c r="Q99" s="3">
        <v>39</v>
      </c>
      <c r="R99" s="4">
        <f t="shared" si="1"/>
        <v>78</v>
      </c>
      <c r="S99" s="2" t="s">
        <v>31</v>
      </c>
      <c r="T99" s="2"/>
    </row>
    <row r="100" spans="1:20" x14ac:dyDescent="0.3">
      <c r="A100" s="2" t="s">
        <v>232</v>
      </c>
      <c r="B100" s="2" t="s">
        <v>21</v>
      </c>
      <c r="C100" s="2" t="s">
        <v>22</v>
      </c>
      <c r="D100" s="2" t="s">
        <v>23</v>
      </c>
      <c r="E100" s="2" t="s">
        <v>184</v>
      </c>
      <c r="F100" s="2" t="s">
        <v>152</v>
      </c>
      <c r="G100" s="2" t="s">
        <v>172</v>
      </c>
      <c r="H100" s="2" t="s">
        <v>152</v>
      </c>
      <c r="I100" s="2" t="s">
        <v>200</v>
      </c>
      <c r="J100" s="2" t="s">
        <v>152</v>
      </c>
      <c r="K100" s="2" t="s">
        <v>38</v>
      </c>
      <c r="L100" s="2" t="s">
        <v>127</v>
      </c>
      <c r="M100" s="2" t="s">
        <v>188</v>
      </c>
      <c r="N100" s="2" t="s">
        <v>200</v>
      </c>
      <c r="O100" s="2" t="s">
        <v>201</v>
      </c>
      <c r="P100" s="3">
        <v>23</v>
      </c>
      <c r="Q100" s="3">
        <v>23</v>
      </c>
      <c r="R100" s="4">
        <f t="shared" si="1"/>
        <v>46</v>
      </c>
      <c r="S100" s="2" t="s">
        <v>31</v>
      </c>
      <c r="T100" s="2"/>
    </row>
    <row r="101" spans="1:20" x14ac:dyDescent="0.3">
      <c r="A101" s="2" t="s">
        <v>232</v>
      </c>
      <c r="B101" s="2" t="s">
        <v>21</v>
      </c>
      <c r="C101" s="2" t="s">
        <v>22</v>
      </c>
      <c r="D101" s="2" t="s">
        <v>23</v>
      </c>
      <c r="E101" s="2" t="s">
        <v>184</v>
      </c>
      <c r="F101" s="2" t="s">
        <v>152</v>
      </c>
      <c r="G101" s="2" t="s">
        <v>172</v>
      </c>
      <c r="H101" s="2" t="s">
        <v>152</v>
      </c>
      <c r="I101" s="2" t="s">
        <v>202</v>
      </c>
      <c r="J101" s="2" t="s">
        <v>152</v>
      </c>
      <c r="K101" s="2" t="s">
        <v>38</v>
      </c>
      <c r="L101" s="2" t="s">
        <v>127</v>
      </c>
      <c r="M101" s="2" t="s">
        <v>188</v>
      </c>
      <c r="N101" s="2" t="s">
        <v>202</v>
      </c>
      <c r="O101" s="2" t="s">
        <v>203</v>
      </c>
      <c r="P101" s="3">
        <v>27</v>
      </c>
      <c r="Q101" s="3">
        <v>27</v>
      </c>
      <c r="R101" s="4">
        <f t="shared" si="1"/>
        <v>54</v>
      </c>
      <c r="S101" s="2" t="s">
        <v>31</v>
      </c>
      <c r="T101" s="2"/>
    </row>
    <row r="102" spans="1:20" x14ac:dyDescent="0.3">
      <c r="A102" s="2" t="s">
        <v>232</v>
      </c>
      <c r="B102" s="2" t="s">
        <v>21</v>
      </c>
      <c r="C102" s="2" t="s">
        <v>22</v>
      </c>
      <c r="D102" s="2" t="s">
        <v>23</v>
      </c>
      <c r="E102" s="2" t="s">
        <v>184</v>
      </c>
      <c r="F102" s="2" t="s">
        <v>152</v>
      </c>
      <c r="G102" s="2" t="s">
        <v>172</v>
      </c>
      <c r="H102" s="2" t="s">
        <v>152</v>
      </c>
      <c r="I102" s="2" t="s">
        <v>204</v>
      </c>
      <c r="J102" s="2" t="s">
        <v>37</v>
      </c>
      <c r="K102" s="2" t="s">
        <v>38</v>
      </c>
      <c r="L102" s="2" t="s">
        <v>29</v>
      </c>
      <c r="M102" s="2"/>
      <c r="N102" s="2" t="s">
        <v>204</v>
      </c>
      <c r="O102" s="2" t="s">
        <v>205</v>
      </c>
      <c r="P102" s="3">
        <v>70</v>
      </c>
      <c r="Q102" s="3">
        <v>70</v>
      </c>
      <c r="R102" s="4">
        <f t="shared" si="1"/>
        <v>140</v>
      </c>
      <c r="S102" s="2" t="s">
        <v>31</v>
      </c>
      <c r="T102" s="2"/>
    </row>
    <row r="103" spans="1:20" x14ac:dyDescent="0.3">
      <c r="A103" s="2" t="s">
        <v>232</v>
      </c>
      <c r="B103" s="2" t="s">
        <v>21</v>
      </c>
      <c r="C103" s="2" t="s">
        <v>22</v>
      </c>
      <c r="D103" s="2" t="s">
        <v>23</v>
      </c>
      <c r="E103" s="2" t="s">
        <v>184</v>
      </c>
      <c r="F103" s="2" t="s">
        <v>152</v>
      </c>
      <c r="G103" s="2" t="s">
        <v>172</v>
      </c>
      <c r="H103" s="2" t="s">
        <v>152</v>
      </c>
      <c r="I103" s="2" t="s">
        <v>206</v>
      </c>
      <c r="J103" s="2" t="s">
        <v>37</v>
      </c>
      <c r="K103" s="2" t="s">
        <v>38</v>
      </c>
      <c r="L103" s="2" t="s">
        <v>29</v>
      </c>
      <c r="M103" s="2"/>
      <c r="N103" s="2" t="s">
        <v>206</v>
      </c>
      <c r="O103" s="2" t="s">
        <v>207</v>
      </c>
      <c r="P103" s="3">
        <v>53</v>
      </c>
      <c r="Q103" s="3">
        <v>53</v>
      </c>
      <c r="R103" s="4">
        <f t="shared" si="1"/>
        <v>106</v>
      </c>
      <c r="S103" s="2" t="s">
        <v>31</v>
      </c>
      <c r="T103" s="2"/>
    </row>
    <row r="104" spans="1:20" x14ac:dyDescent="0.3">
      <c r="A104" s="2" t="s">
        <v>232</v>
      </c>
      <c r="B104" s="2" t="s">
        <v>21</v>
      </c>
      <c r="C104" s="2" t="s">
        <v>22</v>
      </c>
      <c r="D104" s="2" t="s">
        <v>23</v>
      </c>
      <c r="E104" s="2" t="s">
        <v>184</v>
      </c>
      <c r="F104" s="2" t="s">
        <v>152</v>
      </c>
      <c r="G104" s="2" t="s">
        <v>172</v>
      </c>
      <c r="H104" s="2" t="s">
        <v>152</v>
      </c>
      <c r="I104" s="2" t="s">
        <v>208</v>
      </c>
      <c r="J104" s="2" t="s">
        <v>37</v>
      </c>
      <c r="K104" s="2" t="s">
        <v>38</v>
      </c>
      <c r="L104" s="2" t="s">
        <v>29</v>
      </c>
      <c r="M104" s="2"/>
      <c r="N104" s="2" t="s">
        <v>208</v>
      </c>
      <c r="O104" s="2" t="s">
        <v>209</v>
      </c>
      <c r="P104" s="3">
        <v>81</v>
      </c>
      <c r="Q104" s="3">
        <v>81</v>
      </c>
      <c r="R104" s="4">
        <f t="shared" si="1"/>
        <v>162</v>
      </c>
      <c r="S104" s="2" t="s">
        <v>31</v>
      </c>
      <c r="T104" s="2"/>
    </row>
    <row r="105" spans="1:20" x14ac:dyDescent="0.3">
      <c r="A105" s="2" t="s">
        <v>232</v>
      </c>
      <c r="B105" s="2" t="s">
        <v>21</v>
      </c>
      <c r="C105" s="2" t="s">
        <v>22</v>
      </c>
      <c r="D105" s="2" t="s">
        <v>23</v>
      </c>
      <c r="E105" s="2" t="s">
        <v>184</v>
      </c>
      <c r="F105" s="2" t="s">
        <v>152</v>
      </c>
      <c r="G105" s="2" t="s">
        <v>172</v>
      </c>
      <c r="H105" s="2" t="s">
        <v>152</v>
      </c>
      <c r="I105" s="2" t="s">
        <v>210</v>
      </c>
      <c r="J105" s="2" t="s">
        <v>152</v>
      </c>
      <c r="K105" s="2" t="s">
        <v>38</v>
      </c>
      <c r="L105" s="2" t="s">
        <v>127</v>
      </c>
      <c r="M105" s="2" t="s">
        <v>188</v>
      </c>
      <c r="N105" s="2" t="s">
        <v>210</v>
      </c>
      <c r="O105" s="2" t="s">
        <v>211</v>
      </c>
      <c r="P105" s="3">
        <v>21</v>
      </c>
      <c r="Q105" s="3">
        <v>21</v>
      </c>
      <c r="R105" s="4">
        <f t="shared" si="1"/>
        <v>42</v>
      </c>
      <c r="S105" s="2" t="s">
        <v>31</v>
      </c>
      <c r="T105" s="2"/>
    </row>
    <row r="106" spans="1:20" x14ac:dyDescent="0.3">
      <c r="A106" s="2" t="s">
        <v>232</v>
      </c>
      <c r="B106" s="2" t="s">
        <v>21</v>
      </c>
      <c r="C106" s="2" t="s">
        <v>22</v>
      </c>
      <c r="D106" s="2" t="s">
        <v>23</v>
      </c>
      <c r="E106" s="2" t="s">
        <v>184</v>
      </c>
      <c r="F106" s="2" t="s">
        <v>152</v>
      </c>
      <c r="G106" s="2" t="s">
        <v>172</v>
      </c>
      <c r="H106" s="2" t="s">
        <v>152</v>
      </c>
      <c r="I106" s="2" t="s">
        <v>212</v>
      </c>
      <c r="J106" s="2" t="s">
        <v>37</v>
      </c>
      <c r="K106" s="2" t="s">
        <v>38</v>
      </c>
      <c r="L106" s="2" t="s">
        <v>29</v>
      </c>
      <c r="M106" s="2"/>
      <c r="N106" s="2" t="s">
        <v>212</v>
      </c>
      <c r="O106" s="2" t="s">
        <v>213</v>
      </c>
      <c r="P106" s="3">
        <v>96</v>
      </c>
      <c r="Q106" s="3">
        <v>96</v>
      </c>
      <c r="R106" s="4">
        <f t="shared" si="1"/>
        <v>192</v>
      </c>
      <c r="S106" s="2" t="s">
        <v>31</v>
      </c>
      <c r="T106" s="2"/>
    </row>
    <row r="107" spans="1:20" x14ac:dyDescent="0.3">
      <c r="A107" s="2" t="s">
        <v>232</v>
      </c>
      <c r="B107" s="2" t="s">
        <v>21</v>
      </c>
      <c r="C107" s="2" t="s">
        <v>22</v>
      </c>
      <c r="D107" s="2" t="s">
        <v>23</v>
      </c>
      <c r="E107" s="2" t="s">
        <v>184</v>
      </c>
      <c r="F107" s="2" t="s">
        <v>152</v>
      </c>
      <c r="G107" s="2" t="s">
        <v>172</v>
      </c>
      <c r="H107" s="2" t="s">
        <v>152</v>
      </c>
      <c r="I107" s="2" t="s">
        <v>172</v>
      </c>
      <c r="J107" s="2" t="s">
        <v>152</v>
      </c>
      <c r="K107" s="2" t="s">
        <v>38</v>
      </c>
      <c r="L107" s="2" t="s">
        <v>127</v>
      </c>
      <c r="M107" s="2" t="s">
        <v>188</v>
      </c>
      <c r="N107" s="2" t="s">
        <v>172</v>
      </c>
      <c r="O107" s="2" t="s">
        <v>214</v>
      </c>
      <c r="P107" s="3">
        <v>10</v>
      </c>
      <c r="Q107" s="3">
        <v>10</v>
      </c>
      <c r="R107" s="4">
        <f t="shared" si="1"/>
        <v>20</v>
      </c>
      <c r="S107" s="2" t="s">
        <v>31</v>
      </c>
      <c r="T107" s="2" t="s">
        <v>130</v>
      </c>
    </row>
    <row r="108" spans="1:20" x14ac:dyDescent="0.3">
      <c r="A108" s="2" t="s">
        <v>232</v>
      </c>
      <c r="B108" s="2" t="s">
        <v>21</v>
      </c>
      <c r="C108" s="2" t="s">
        <v>22</v>
      </c>
      <c r="D108" s="2" t="s">
        <v>23</v>
      </c>
      <c r="E108" s="2" t="s">
        <v>184</v>
      </c>
      <c r="F108" s="2" t="s">
        <v>152</v>
      </c>
      <c r="G108" s="2" t="s">
        <v>172</v>
      </c>
      <c r="H108" s="2" t="s">
        <v>152</v>
      </c>
      <c r="I108" s="2" t="s">
        <v>215</v>
      </c>
      <c r="J108" s="2" t="s">
        <v>152</v>
      </c>
      <c r="K108" s="2" t="s">
        <v>38</v>
      </c>
      <c r="L108" s="2" t="s">
        <v>127</v>
      </c>
      <c r="M108" s="2" t="s">
        <v>188</v>
      </c>
      <c r="N108" s="2" t="s">
        <v>215</v>
      </c>
      <c r="O108" s="2" t="s">
        <v>216</v>
      </c>
      <c r="P108" s="3">
        <v>16</v>
      </c>
      <c r="Q108" s="3">
        <v>16</v>
      </c>
      <c r="R108" s="4">
        <f t="shared" si="1"/>
        <v>32</v>
      </c>
      <c r="S108" s="2" t="s">
        <v>31</v>
      </c>
      <c r="T108" s="2"/>
    </row>
    <row r="109" spans="1:20" x14ac:dyDescent="0.3">
      <c r="A109" s="2" t="s">
        <v>232</v>
      </c>
      <c r="B109" s="2" t="s">
        <v>21</v>
      </c>
      <c r="C109" s="2" t="s">
        <v>22</v>
      </c>
      <c r="D109" s="2" t="s">
        <v>23</v>
      </c>
      <c r="E109" s="2" t="s">
        <v>184</v>
      </c>
      <c r="F109" s="2" t="s">
        <v>152</v>
      </c>
      <c r="G109" s="2" t="s">
        <v>172</v>
      </c>
      <c r="H109" s="2" t="s">
        <v>152</v>
      </c>
      <c r="I109" s="2" t="s">
        <v>217</v>
      </c>
      <c r="J109" s="2" t="s">
        <v>152</v>
      </c>
      <c r="K109" s="2" t="s">
        <v>38</v>
      </c>
      <c r="L109" s="2" t="s">
        <v>127</v>
      </c>
      <c r="M109" s="2" t="s">
        <v>188</v>
      </c>
      <c r="N109" s="2" t="s">
        <v>217</v>
      </c>
      <c r="O109" s="2" t="s">
        <v>218</v>
      </c>
      <c r="P109" s="3">
        <v>16</v>
      </c>
      <c r="Q109" s="3">
        <v>16</v>
      </c>
      <c r="R109" s="4">
        <f t="shared" si="1"/>
        <v>32</v>
      </c>
      <c r="S109" s="2" t="s">
        <v>31</v>
      </c>
      <c r="T109" s="2"/>
    </row>
    <row r="110" spans="1:20" x14ac:dyDescent="0.3">
      <c r="A110" s="2" t="s">
        <v>232</v>
      </c>
      <c r="B110" s="2" t="s">
        <v>21</v>
      </c>
      <c r="C110" s="2" t="s">
        <v>22</v>
      </c>
      <c r="D110" s="2" t="s">
        <v>23</v>
      </c>
      <c r="E110" s="2" t="s">
        <v>184</v>
      </c>
      <c r="F110" s="2" t="s">
        <v>152</v>
      </c>
      <c r="G110" s="2" t="s">
        <v>172</v>
      </c>
      <c r="H110" s="2" t="s">
        <v>152</v>
      </c>
      <c r="I110" s="2" t="s">
        <v>219</v>
      </c>
      <c r="J110" s="2" t="s">
        <v>152</v>
      </c>
      <c r="K110" s="2" t="s">
        <v>38</v>
      </c>
      <c r="L110" s="2" t="s">
        <v>127</v>
      </c>
      <c r="M110" s="2" t="s">
        <v>188</v>
      </c>
      <c r="N110" s="2" t="s">
        <v>219</v>
      </c>
      <c r="O110" s="2" t="s">
        <v>220</v>
      </c>
      <c r="P110" s="3">
        <v>12</v>
      </c>
      <c r="Q110" s="3">
        <v>12</v>
      </c>
      <c r="R110" s="4">
        <f t="shared" si="1"/>
        <v>24</v>
      </c>
      <c r="S110" s="2" t="s">
        <v>31</v>
      </c>
      <c r="T110" s="2"/>
    </row>
    <row r="111" spans="1:20" x14ac:dyDescent="0.3">
      <c r="A111" s="2" t="s">
        <v>232</v>
      </c>
      <c r="B111" s="2" t="s">
        <v>21</v>
      </c>
      <c r="C111" s="2" t="s">
        <v>22</v>
      </c>
      <c r="D111" s="2" t="s">
        <v>23</v>
      </c>
      <c r="E111" s="2" t="s">
        <v>184</v>
      </c>
      <c r="F111" s="2" t="s">
        <v>152</v>
      </c>
      <c r="G111" s="2" t="s">
        <v>172</v>
      </c>
      <c r="H111" s="2" t="s">
        <v>152</v>
      </c>
      <c r="I111" s="2" t="s">
        <v>221</v>
      </c>
      <c r="J111" s="2" t="s">
        <v>152</v>
      </c>
      <c r="K111" s="2" t="s">
        <v>38</v>
      </c>
      <c r="L111" s="2" t="s">
        <v>127</v>
      </c>
      <c r="M111" s="2" t="s">
        <v>188</v>
      </c>
      <c r="N111" s="2" t="s">
        <v>221</v>
      </c>
      <c r="O111" s="2" t="s">
        <v>222</v>
      </c>
      <c r="P111" s="3">
        <v>17</v>
      </c>
      <c r="Q111" s="3">
        <v>17</v>
      </c>
      <c r="R111" s="4">
        <f t="shared" si="1"/>
        <v>34</v>
      </c>
      <c r="S111" s="2" t="s">
        <v>31</v>
      </c>
      <c r="T111" s="2"/>
    </row>
    <row r="112" spans="1:20" x14ac:dyDescent="0.3">
      <c r="A112" s="2" t="s">
        <v>232</v>
      </c>
      <c r="B112" s="2" t="s">
        <v>21</v>
      </c>
      <c r="C112" s="2" t="s">
        <v>22</v>
      </c>
      <c r="D112" s="2" t="s">
        <v>23</v>
      </c>
      <c r="E112" s="2" t="s">
        <v>184</v>
      </c>
      <c r="F112" s="2" t="s">
        <v>152</v>
      </c>
      <c r="G112" s="2" t="s">
        <v>172</v>
      </c>
      <c r="H112" s="2" t="s">
        <v>152</v>
      </c>
      <c r="I112" s="2" t="s">
        <v>227</v>
      </c>
      <c r="J112" s="2" t="s">
        <v>152</v>
      </c>
      <c r="K112" s="2" t="s">
        <v>38</v>
      </c>
      <c r="L112" s="2" t="s">
        <v>127</v>
      </c>
      <c r="M112" s="2" t="s">
        <v>188</v>
      </c>
      <c r="N112" s="2" t="s">
        <v>227</v>
      </c>
      <c r="O112" s="2" t="s">
        <v>228</v>
      </c>
      <c r="P112" s="3">
        <v>28</v>
      </c>
      <c r="Q112" s="3">
        <v>28</v>
      </c>
      <c r="R112" s="4">
        <f t="shared" si="1"/>
        <v>56</v>
      </c>
      <c r="S112" s="2" t="s">
        <v>31</v>
      </c>
      <c r="T112" s="2"/>
    </row>
    <row r="113" spans="1:20" x14ac:dyDescent="0.3">
      <c r="A113" s="2" t="s">
        <v>233</v>
      </c>
      <c r="B113" s="2" t="s">
        <v>21</v>
      </c>
      <c r="C113" s="2" t="s">
        <v>22</v>
      </c>
      <c r="D113" s="2" t="s">
        <v>23</v>
      </c>
      <c r="E113" s="2" t="s">
        <v>234</v>
      </c>
      <c r="F113" s="2" t="s">
        <v>152</v>
      </c>
      <c r="G113" s="2" t="s">
        <v>172</v>
      </c>
      <c r="H113" s="2" t="s">
        <v>152</v>
      </c>
      <c r="I113" s="2" t="s">
        <v>142</v>
      </c>
      <c r="J113" s="2" t="s">
        <v>143</v>
      </c>
      <c r="K113" s="2" t="s">
        <v>137</v>
      </c>
      <c r="L113" s="2" t="s">
        <v>29</v>
      </c>
      <c r="M113" s="2"/>
      <c r="N113" s="2" t="s">
        <v>142</v>
      </c>
      <c r="O113" s="2" t="s">
        <v>178</v>
      </c>
      <c r="P113" s="3">
        <v>475</v>
      </c>
      <c r="Q113" s="3">
        <v>475</v>
      </c>
      <c r="R113" s="4">
        <f t="shared" si="1"/>
        <v>950</v>
      </c>
      <c r="S113" s="2" t="s">
        <v>31</v>
      </c>
      <c r="T113" s="2"/>
    </row>
    <row r="114" spans="1:20" x14ac:dyDescent="0.3">
      <c r="A114" s="2" t="s">
        <v>233</v>
      </c>
      <c r="B114" s="2" t="s">
        <v>21</v>
      </c>
      <c r="C114" s="2" t="s">
        <v>22</v>
      </c>
      <c r="D114" s="2" t="s">
        <v>23</v>
      </c>
      <c r="E114" s="2" t="s">
        <v>234</v>
      </c>
      <c r="F114" s="2" t="s">
        <v>152</v>
      </c>
      <c r="G114" s="2" t="s">
        <v>172</v>
      </c>
      <c r="H114" s="2" t="s">
        <v>152</v>
      </c>
      <c r="I114" s="2" t="s">
        <v>27</v>
      </c>
      <c r="J114" s="2" t="s">
        <v>27</v>
      </c>
      <c r="K114" s="2" t="s">
        <v>28</v>
      </c>
      <c r="L114" s="2" t="s">
        <v>29</v>
      </c>
      <c r="M114" s="2"/>
      <c r="N114" s="2" t="s">
        <v>27</v>
      </c>
      <c r="O114" s="2" t="s">
        <v>180</v>
      </c>
      <c r="P114" s="3">
        <v>1017</v>
      </c>
      <c r="Q114" s="3">
        <v>1017</v>
      </c>
      <c r="R114" s="4">
        <f t="shared" si="1"/>
        <v>2034</v>
      </c>
      <c r="S114" s="2" t="s">
        <v>31</v>
      </c>
      <c r="T114" s="2"/>
    </row>
    <row r="115" spans="1:20" x14ac:dyDescent="0.3">
      <c r="A115" s="2" t="s">
        <v>233</v>
      </c>
      <c r="B115" s="2" t="s">
        <v>21</v>
      </c>
      <c r="C115" s="2" t="s">
        <v>22</v>
      </c>
      <c r="D115" s="2" t="s">
        <v>23</v>
      </c>
      <c r="E115" s="2" t="s">
        <v>234</v>
      </c>
      <c r="F115" s="2" t="s">
        <v>152</v>
      </c>
      <c r="G115" s="2" t="s">
        <v>172</v>
      </c>
      <c r="H115" s="2" t="s">
        <v>152</v>
      </c>
      <c r="I115" s="2" t="s">
        <v>235</v>
      </c>
      <c r="J115" s="2" t="s">
        <v>236</v>
      </c>
      <c r="K115" s="2" t="s">
        <v>133</v>
      </c>
      <c r="L115" s="2" t="s">
        <v>29</v>
      </c>
      <c r="M115" s="2"/>
      <c r="N115" s="2" t="s">
        <v>235</v>
      </c>
      <c r="O115" s="2" t="s">
        <v>237</v>
      </c>
      <c r="P115" s="3">
        <v>742</v>
      </c>
      <c r="Q115" s="3">
        <v>742</v>
      </c>
      <c r="R115" s="4">
        <f t="shared" si="1"/>
        <v>1484</v>
      </c>
      <c r="S115" s="2" t="s">
        <v>31</v>
      </c>
      <c r="T115" s="2"/>
    </row>
    <row r="116" spans="1:20" x14ac:dyDescent="0.3">
      <c r="A116" s="2" t="s">
        <v>238</v>
      </c>
      <c r="B116" s="2" t="s">
        <v>21</v>
      </c>
      <c r="C116" s="2" t="s">
        <v>22</v>
      </c>
      <c r="D116" s="2" t="s">
        <v>23</v>
      </c>
      <c r="E116" s="2" t="s">
        <v>239</v>
      </c>
      <c r="F116" s="2" t="s">
        <v>152</v>
      </c>
      <c r="G116" s="2" t="s">
        <v>240</v>
      </c>
      <c r="H116" s="2" t="s">
        <v>152</v>
      </c>
      <c r="I116" s="2" t="s">
        <v>135</v>
      </c>
      <c r="J116" s="2" t="s">
        <v>136</v>
      </c>
      <c r="K116" s="2" t="s">
        <v>137</v>
      </c>
      <c r="L116" s="2" t="s">
        <v>29</v>
      </c>
      <c r="M116" s="2"/>
      <c r="N116" s="2" t="s">
        <v>135</v>
      </c>
      <c r="O116" s="2" t="s">
        <v>241</v>
      </c>
      <c r="P116" s="3">
        <v>619</v>
      </c>
      <c r="Q116" s="3">
        <v>619</v>
      </c>
      <c r="R116" s="4">
        <f t="shared" si="1"/>
        <v>1238</v>
      </c>
      <c r="S116" s="2" t="s">
        <v>31</v>
      </c>
      <c r="T116" s="2"/>
    </row>
    <row r="117" spans="1:20" x14ac:dyDescent="0.3">
      <c r="A117" s="2" t="s">
        <v>238</v>
      </c>
      <c r="B117" s="2" t="s">
        <v>21</v>
      </c>
      <c r="C117" s="2" t="s">
        <v>22</v>
      </c>
      <c r="D117" s="2" t="s">
        <v>23</v>
      </c>
      <c r="E117" s="2" t="s">
        <v>239</v>
      </c>
      <c r="F117" s="2" t="s">
        <v>152</v>
      </c>
      <c r="G117" s="2" t="s">
        <v>240</v>
      </c>
      <c r="H117" s="2" t="s">
        <v>152</v>
      </c>
      <c r="I117" s="2" t="s">
        <v>160</v>
      </c>
      <c r="J117" s="2" t="s">
        <v>161</v>
      </c>
      <c r="K117" s="2" t="s">
        <v>133</v>
      </c>
      <c r="L117" s="2" t="s">
        <v>29</v>
      </c>
      <c r="M117" s="2"/>
      <c r="N117" s="2" t="s">
        <v>160</v>
      </c>
      <c r="O117" s="2" t="s">
        <v>242</v>
      </c>
      <c r="P117" s="3">
        <v>612</v>
      </c>
      <c r="Q117" s="3">
        <v>612</v>
      </c>
      <c r="R117" s="4">
        <f t="shared" si="1"/>
        <v>1224</v>
      </c>
      <c r="S117" s="2" t="s">
        <v>31</v>
      </c>
      <c r="T117" s="2"/>
    </row>
    <row r="118" spans="1:20" x14ac:dyDescent="0.3">
      <c r="A118" s="2" t="s">
        <v>238</v>
      </c>
      <c r="B118" s="2" t="s">
        <v>21</v>
      </c>
      <c r="C118" s="2" t="s">
        <v>22</v>
      </c>
      <c r="D118" s="2" t="s">
        <v>23</v>
      </c>
      <c r="E118" s="2" t="s">
        <v>239</v>
      </c>
      <c r="F118" s="2" t="s">
        <v>152</v>
      </c>
      <c r="G118" s="2" t="s">
        <v>240</v>
      </c>
      <c r="H118" s="2" t="s">
        <v>152</v>
      </c>
      <c r="I118" s="2" t="s">
        <v>43</v>
      </c>
      <c r="J118" s="2" t="s">
        <v>44</v>
      </c>
      <c r="K118" s="2" t="s">
        <v>45</v>
      </c>
      <c r="L118" s="2" t="s">
        <v>29</v>
      </c>
      <c r="M118" s="2"/>
      <c r="N118" s="2" t="s">
        <v>43</v>
      </c>
      <c r="O118" s="2" t="s">
        <v>243</v>
      </c>
      <c r="P118" s="3">
        <v>761</v>
      </c>
      <c r="Q118" s="3">
        <v>761</v>
      </c>
      <c r="R118" s="4">
        <f t="shared" si="1"/>
        <v>1522</v>
      </c>
      <c r="S118" s="2" t="s">
        <v>31</v>
      </c>
      <c r="T118" s="2"/>
    </row>
    <row r="119" spans="1:20" x14ac:dyDescent="0.3">
      <c r="A119" s="2" t="s">
        <v>238</v>
      </c>
      <c r="B119" s="2" t="s">
        <v>21</v>
      </c>
      <c r="C119" s="2" t="s">
        <v>22</v>
      </c>
      <c r="D119" s="2" t="s">
        <v>23</v>
      </c>
      <c r="E119" s="2" t="s">
        <v>239</v>
      </c>
      <c r="F119" s="2" t="s">
        <v>152</v>
      </c>
      <c r="G119" s="2" t="s">
        <v>240</v>
      </c>
      <c r="H119" s="2" t="s">
        <v>152</v>
      </c>
      <c r="I119" s="2" t="s">
        <v>27</v>
      </c>
      <c r="J119" s="2" t="s">
        <v>27</v>
      </c>
      <c r="K119" s="2" t="s">
        <v>28</v>
      </c>
      <c r="L119" s="2" t="s">
        <v>29</v>
      </c>
      <c r="M119" s="2"/>
      <c r="N119" s="2" t="s">
        <v>27</v>
      </c>
      <c r="O119" s="2" t="s">
        <v>244</v>
      </c>
      <c r="P119" s="3">
        <v>1020</v>
      </c>
      <c r="Q119" s="3">
        <v>1020</v>
      </c>
      <c r="R119" s="4">
        <f t="shared" si="1"/>
        <v>2040</v>
      </c>
      <c r="S119" s="2" t="s">
        <v>31</v>
      </c>
      <c r="T119" s="2"/>
    </row>
    <row r="120" spans="1:20" x14ac:dyDescent="0.3">
      <c r="A120" s="2" t="s">
        <v>238</v>
      </c>
      <c r="B120" s="2" t="s">
        <v>21</v>
      </c>
      <c r="C120" s="2" t="s">
        <v>22</v>
      </c>
      <c r="D120" s="2" t="s">
        <v>23</v>
      </c>
      <c r="E120" s="2" t="s">
        <v>239</v>
      </c>
      <c r="F120" s="2" t="s">
        <v>152</v>
      </c>
      <c r="G120" s="2" t="s">
        <v>240</v>
      </c>
      <c r="H120" s="2" t="s">
        <v>152</v>
      </c>
      <c r="I120" s="2" t="s">
        <v>25</v>
      </c>
      <c r="J120" s="2" t="s">
        <v>26</v>
      </c>
      <c r="K120" s="2" t="s">
        <v>38</v>
      </c>
      <c r="L120" s="2" t="s">
        <v>29</v>
      </c>
      <c r="M120" s="2"/>
      <c r="N120" s="2" t="s">
        <v>25</v>
      </c>
      <c r="O120" s="2" t="s">
        <v>245</v>
      </c>
      <c r="P120" s="3">
        <v>157</v>
      </c>
      <c r="Q120" s="3">
        <v>157</v>
      </c>
      <c r="R120" s="4">
        <f t="shared" si="1"/>
        <v>314</v>
      </c>
      <c r="S120" s="2" t="s">
        <v>31</v>
      </c>
      <c r="T120" s="2"/>
    </row>
    <row r="121" spans="1:20" x14ac:dyDescent="0.3">
      <c r="A121" s="2" t="s">
        <v>238</v>
      </c>
      <c r="B121" s="2" t="s">
        <v>21</v>
      </c>
      <c r="C121" s="2" t="s">
        <v>22</v>
      </c>
      <c r="D121" s="2" t="s">
        <v>23</v>
      </c>
      <c r="E121" s="2" t="s">
        <v>239</v>
      </c>
      <c r="F121" s="2" t="s">
        <v>152</v>
      </c>
      <c r="G121" s="2" t="s">
        <v>240</v>
      </c>
      <c r="H121" s="2" t="s">
        <v>152</v>
      </c>
      <c r="I121" s="2" t="s">
        <v>246</v>
      </c>
      <c r="J121" s="2" t="s">
        <v>132</v>
      </c>
      <c r="K121" s="2" t="s">
        <v>133</v>
      </c>
      <c r="L121" s="2" t="s">
        <v>29</v>
      </c>
      <c r="M121" s="2"/>
      <c r="N121" s="2" t="s">
        <v>246</v>
      </c>
      <c r="O121" s="2" t="s">
        <v>247</v>
      </c>
      <c r="P121" s="3">
        <v>312</v>
      </c>
      <c r="Q121" s="3">
        <v>312</v>
      </c>
      <c r="R121" s="4">
        <f t="shared" si="1"/>
        <v>624</v>
      </c>
      <c r="S121" s="2" t="s">
        <v>31</v>
      </c>
      <c r="T121" s="2"/>
    </row>
    <row r="122" spans="1:20" x14ac:dyDescent="0.3">
      <c r="A122" s="2" t="s">
        <v>238</v>
      </c>
      <c r="B122" s="2" t="s">
        <v>21</v>
      </c>
      <c r="C122" s="2" t="s">
        <v>22</v>
      </c>
      <c r="D122" s="2" t="s">
        <v>23</v>
      </c>
      <c r="E122" s="2" t="s">
        <v>239</v>
      </c>
      <c r="F122" s="2" t="s">
        <v>152</v>
      </c>
      <c r="G122" s="2" t="s">
        <v>240</v>
      </c>
      <c r="H122" s="2" t="s">
        <v>152</v>
      </c>
      <c r="I122" s="2" t="s">
        <v>142</v>
      </c>
      <c r="J122" s="2" t="s">
        <v>143</v>
      </c>
      <c r="K122" s="2" t="s">
        <v>137</v>
      </c>
      <c r="L122" s="2" t="s">
        <v>29</v>
      </c>
      <c r="M122" s="2"/>
      <c r="N122" s="2" t="s">
        <v>142</v>
      </c>
      <c r="O122" s="2" t="s">
        <v>248</v>
      </c>
      <c r="P122" s="3">
        <v>481</v>
      </c>
      <c r="Q122" s="3">
        <v>481</v>
      </c>
      <c r="R122" s="4">
        <f t="shared" si="1"/>
        <v>962</v>
      </c>
      <c r="S122" s="2" t="s">
        <v>31</v>
      </c>
      <c r="T122" s="2"/>
    </row>
    <row r="123" spans="1:20" x14ac:dyDescent="0.3">
      <c r="A123" s="2" t="s">
        <v>249</v>
      </c>
      <c r="B123" s="2" t="s">
        <v>21</v>
      </c>
      <c r="C123" s="2" t="s">
        <v>22</v>
      </c>
      <c r="D123" s="2" t="s">
        <v>23</v>
      </c>
      <c r="E123" s="2" t="s">
        <v>250</v>
      </c>
      <c r="F123" s="2" t="s">
        <v>152</v>
      </c>
      <c r="G123" s="2" t="s">
        <v>190</v>
      </c>
      <c r="H123" s="2" t="s">
        <v>152</v>
      </c>
      <c r="I123" s="2" t="s">
        <v>27</v>
      </c>
      <c r="J123" s="2" t="s">
        <v>27</v>
      </c>
      <c r="K123" s="2" t="s">
        <v>28</v>
      </c>
      <c r="L123" s="2" t="s">
        <v>29</v>
      </c>
      <c r="M123" s="2"/>
      <c r="N123" s="2" t="s">
        <v>27</v>
      </c>
      <c r="O123" s="2" t="s">
        <v>251</v>
      </c>
      <c r="P123" s="3">
        <v>990</v>
      </c>
      <c r="Q123" s="3">
        <v>990</v>
      </c>
      <c r="R123" s="4">
        <f t="shared" si="1"/>
        <v>1980</v>
      </c>
      <c r="S123" s="2" t="s">
        <v>40</v>
      </c>
      <c r="T123" s="2"/>
    </row>
    <row r="124" spans="1:20" x14ac:dyDescent="0.3">
      <c r="A124" s="2" t="s">
        <v>249</v>
      </c>
      <c r="B124" s="2" t="s">
        <v>21</v>
      </c>
      <c r="C124" s="2" t="s">
        <v>22</v>
      </c>
      <c r="D124" s="2" t="s">
        <v>23</v>
      </c>
      <c r="E124" s="2" t="s">
        <v>250</v>
      </c>
      <c r="F124" s="2" t="s">
        <v>152</v>
      </c>
      <c r="G124" s="2" t="s">
        <v>190</v>
      </c>
      <c r="H124" s="2" t="s">
        <v>152</v>
      </c>
      <c r="I124" s="2" t="s">
        <v>119</v>
      </c>
      <c r="J124" s="2" t="s">
        <v>120</v>
      </c>
      <c r="K124" s="2" t="s">
        <v>54</v>
      </c>
      <c r="L124" s="2" t="s">
        <v>29</v>
      </c>
      <c r="M124" s="2"/>
      <c r="N124" s="2" t="s">
        <v>119</v>
      </c>
      <c r="O124" s="2" t="s">
        <v>252</v>
      </c>
      <c r="P124" s="3">
        <v>1557</v>
      </c>
      <c r="Q124" s="3">
        <v>1557</v>
      </c>
      <c r="R124" s="4">
        <f t="shared" si="1"/>
        <v>3114</v>
      </c>
      <c r="S124" s="2" t="s">
        <v>40</v>
      </c>
      <c r="T124" s="2"/>
    </row>
    <row r="125" spans="1:20" x14ac:dyDescent="0.3">
      <c r="A125" s="2" t="s">
        <v>253</v>
      </c>
      <c r="B125" s="2" t="s">
        <v>21</v>
      </c>
      <c r="C125" s="2" t="s">
        <v>22</v>
      </c>
      <c r="D125" s="2" t="s">
        <v>42</v>
      </c>
      <c r="E125" s="2" t="s">
        <v>250</v>
      </c>
      <c r="F125" s="2" t="s">
        <v>152</v>
      </c>
      <c r="G125" s="2" t="s">
        <v>190</v>
      </c>
      <c r="H125" s="2" t="s">
        <v>152</v>
      </c>
      <c r="I125" s="2" t="s">
        <v>119</v>
      </c>
      <c r="J125" s="2" t="s">
        <v>120</v>
      </c>
      <c r="K125" s="2" t="s">
        <v>54</v>
      </c>
      <c r="L125" s="2" t="s">
        <v>29</v>
      </c>
      <c r="M125" s="2"/>
      <c r="N125" s="2" t="s">
        <v>119</v>
      </c>
      <c r="O125" s="2" t="s">
        <v>252</v>
      </c>
      <c r="P125" s="3">
        <v>1557</v>
      </c>
      <c r="Q125" s="3">
        <v>1557</v>
      </c>
      <c r="R125" s="4">
        <f t="shared" si="1"/>
        <v>3114</v>
      </c>
      <c r="S125" s="2" t="s">
        <v>40</v>
      </c>
      <c r="T125" s="2"/>
    </row>
    <row r="126" spans="1:20" x14ac:dyDescent="0.3">
      <c r="A126" s="2" t="s">
        <v>254</v>
      </c>
      <c r="B126" s="2" t="s">
        <v>21</v>
      </c>
      <c r="C126" s="2" t="s">
        <v>22</v>
      </c>
      <c r="D126" s="2" t="s">
        <v>23</v>
      </c>
      <c r="E126" s="2" t="s">
        <v>255</v>
      </c>
      <c r="F126" s="2" t="s">
        <v>152</v>
      </c>
      <c r="G126" s="2" t="s">
        <v>153</v>
      </c>
      <c r="H126" s="2" t="s">
        <v>152</v>
      </c>
      <c r="I126" s="2" t="s">
        <v>43</v>
      </c>
      <c r="J126" s="2" t="s">
        <v>44</v>
      </c>
      <c r="K126" s="2" t="s">
        <v>45</v>
      </c>
      <c r="L126" s="2" t="s">
        <v>29</v>
      </c>
      <c r="M126" s="2"/>
      <c r="N126" s="2" t="s">
        <v>43</v>
      </c>
      <c r="O126" s="2" t="s">
        <v>256</v>
      </c>
      <c r="P126" s="3">
        <v>763</v>
      </c>
      <c r="Q126" s="3">
        <v>763</v>
      </c>
      <c r="R126" s="4">
        <f t="shared" si="1"/>
        <v>1526</v>
      </c>
      <c r="S126" s="2" t="s">
        <v>31</v>
      </c>
      <c r="T126" s="2"/>
    </row>
    <row r="127" spans="1:20" x14ac:dyDescent="0.3">
      <c r="A127" s="2" t="s">
        <v>254</v>
      </c>
      <c r="B127" s="2" t="s">
        <v>21</v>
      </c>
      <c r="C127" s="2" t="s">
        <v>22</v>
      </c>
      <c r="D127" s="2" t="s">
        <v>23</v>
      </c>
      <c r="E127" s="2" t="s">
        <v>255</v>
      </c>
      <c r="F127" s="2" t="s">
        <v>152</v>
      </c>
      <c r="G127" s="2" t="s">
        <v>153</v>
      </c>
      <c r="H127" s="2" t="s">
        <v>152</v>
      </c>
      <c r="I127" s="2" t="s">
        <v>27</v>
      </c>
      <c r="J127" s="2" t="s">
        <v>27</v>
      </c>
      <c r="K127" s="2" t="s">
        <v>28</v>
      </c>
      <c r="L127" s="2" t="s">
        <v>29</v>
      </c>
      <c r="M127" s="2"/>
      <c r="N127" s="2" t="s">
        <v>27</v>
      </c>
      <c r="O127" s="2" t="s">
        <v>155</v>
      </c>
      <c r="P127" s="3">
        <v>1021</v>
      </c>
      <c r="Q127" s="3">
        <v>1021</v>
      </c>
      <c r="R127" s="4">
        <f t="shared" si="1"/>
        <v>2042</v>
      </c>
      <c r="S127" s="2" t="s">
        <v>31</v>
      </c>
      <c r="T127" s="2"/>
    </row>
    <row r="128" spans="1:20" x14ac:dyDescent="0.3">
      <c r="A128" s="2" t="s">
        <v>254</v>
      </c>
      <c r="B128" s="2" t="s">
        <v>21</v>
      </c>
      <c r="C128" s="2" t="s">
        <v>22</v>
      </c>
      <c r="D128" s="2" t="s">
        <v>23</v>
      </c>
      <c r="E128" s="2" t="s">
        <v>255</v>
      </c>
      <c r="F128" s="2" t="s">
        <v>152</v>
      </c>
      <c r="G128" s="2" t="s">
        <v>153</v>
      </c>
      <c r="H128" s="2" t="s">
        <v>152</v>
      </c>
      <c r="I128" s="2" t="s">
        <v>67</v>
      </c>
      <c r="J128" s="2" t="s">
        <v>68</v>
      </c>
      <c r="K128" s="2" t="s">
        <v>28</v>
      </c>
      <c r="L128" s="2" t="s">
        <v>29</v>
      </c>
      <c r="M128" s="2"/>
      <c r="N128" s="2" t="s">
        <v>67</v>
      </c>
      <c r="O128" s="2" t="s">
        <v>257</v>
      </c>
      <c r="P128" s="3">
        <v>868</v>
      </c>
      <c r="Q128" s="3">
        <v>868</v>
      </c>
      <c r="R128" s="4">
        <f t="shared" si="1"/>
        <v>1736</v>
      </c>
      <c r="S128" s="2" t="s">
        <v>31</v>
      </c>
      <c r="T128" s="2"/>
    </row>
    <row r="129" spans="1:20" x14ac:dyDescent="0.3">
      <c r="A129" s="2" t="s">
        <v>254</v>
      </c>
      <c r="B129" s="2" t="s">
        <v>21</v>
      </c>
      <c r="C129" s="2" t="s">
        <v>22</v>
      </c>
      <c r="D129" s="2" t="s">
        <v>23</v>
      </c>
      <c r="E129" s="2" t="s">
        <v>255</v>
      </c>
      <c r="F129" s="2" t="s">
        <v>152</v>
      </c>
      <c r="G129" s="2" t="s">
        <v>153</v>
      </c>
      <c r="H129" s="2" t="s">
        <v>152</v>
      </c>
      <c r="I129" s="2" t="s">
        <v>65</v>
      </c>
      <c r="J129" s="2" t="s">
        <v>65</v>
      </c>
      <c r="K129" s="2" t="s">
        <v>28</v>
      </c>
      <c r="L129" s="2" t="s">
        <v>29</v>
      </c>
      <c r="M129" s="2"/>
      <c r="N129" s="2" t="s">
        <v>65</v>
      </c>
      <c r="O129" s="2" t="s">
        <v>258</v>
      </c>
      <c r="P129" s="3">
        <v>779</v>
      </c>
      <c r="Q129" s="3">
        <v>779</v>
      </c>
      <c r="R129" s="4">
        <f t="shared" si="1"/>
        <v>1558</v>
      </c>
      <c r="S129" s="2" t="s">
        <v>31</v>
      </c>
      <c r="T129" s="2"/>
    </row>
    <row r="130" spans="1:20" x14ac:dyDescent="0.3">
      <c r="A130" s="2" t="s">
        <v>254</v>
      </c>
      <c r="B130" s="2" t="s">
        <v>21</v>
      </c>
      <c r="C130" s="2" t="s">
        <v>22</v>
      </c>
      <c r="D130" s="2" t="s">
        <v>23</v>
      </c>
      <c r="E130" s="2" t="s">
        <v>255</v>
      </c>
      <c r="F130" s="2" t="s">
        <v>152</v>
      </c>
      <c r="G130" s="2" t="s">
        <v>153</v>
      </c>
      <c r="H130" s="2" t="s">
        <v>152</v>
      </c>
      <c r="I130" s="2" t="s">
        <v>64</v>
      </c>
      <c r="J130" s="2" t="s">
        <v>65</v>
      </c>
      <c r="K130" s="2" t="s">
        <v>28</v>
      </c>
      <c r="L130" s="2" t="s">
        <v>29</v>
      </c>
      <c r="M130" s="2"/>
      <c r="N130" s="2" t="s">
        <v>64</v>
      </c>
      <c r="O130" s="2" t="s">
        <v>259</v>
      </c>
      <c r="P130" s="3">
        <v>858</v>
      </c>
      <c r="Q130" s="3">
        <v>858</v>
      </c>
      <c r="R130" s="4">
        <f t="shared" ref="R130:R193" si="2">IF(P130="","",P130+Q130)</f>
        <v>1716</v>
      </c>
      <c r="S130" s="2" t="s">
        <v>31</v>
      </c>
      <c r="T130" s="2"/>
    </row>
    <row r="131" spans="1:20" x14ac:dyDescent="0.3">
      <c r="A131" s="2" t="s">
        <v>254</v>
      </c>
      <c r="B131" s="2" t="s">
        <v>21</v>
      </c>
      <c r="C131" s="2" t="s">
        <v>22</v>
      </c>
      <c r="D131" s="2" t="s">
        <v>23</v>
      </c>
      <c r="E131" s="2" t="s">
        <v>255</v>
      </c>
      <c r="F131" s="2" t="s">
        <v>152</v>
      </c>
      <c r="G131" s="2" t="s">
        <v>153</v>
      </c>
      <c r="H131" s="2" t="s">
        <v>152</v>
      </c>
      <c r="I131" s="2" t="s">
        <v>60</v>
      </c>
      <c r="J131" s="2" t="s">
        <v>60</v>
      </c>
      <c r="K131" s="2" t="s">
        <v>54</v>
      </c>
      <c r="L131" s="2" t="s">
        <v>29</v>
      </c>
      <c r="M131" s="2"/>
      <c r="N131" s="2" t="s">
        <v>60</v>
      </c>
      <c r="O131" s="2" t="s">
        <v>260</v>
      </c>
      <c r="P131" s="3">
        <v>1253</v>
      </c>
      <c r="Q131" s="3">
        <v>1253</v>
      </c>
      <c r="R131" s="4">
        <f t="shared" si="2"/>
        <v>2506</v>
      </c>
      <c r="S131" s="2" t="s">
        <v>31</v>
      </c>
      <c r="T131" s="2"/>
    </row>
    <row r="132" spans="1:20" x14ac:dyDescent="0.3">
      <c r="A132" s="2" t="s">
        <v>254</v>
      </c>
      <c r="B132" s="2" t="s">
        <v>21</v>
      </c>
      <c r="C132" s="2" t="s">
        <v>22</v>
      </c>
      <c r="D132" s="2" t="s">
        <v>23</v>
      </c>
      <c r="E132" s="2" t="s">
        <v>255</v>
      </c>
      <c r="F132" s="2" t="s">
        <v>152</v>
      </c>
      <c r="G132" s="2" t="s">
        <v>153</v>
      </c>
      <c r="H132" s="2" t="s">
        <v>152</v>
      </c>
      <c r="I132" s="2" t="s">
        <v>72</v>
      </c>
      <c r="J132" s="2" t="s">
        <v>73</v>
      </c>
      <c r="K132" s="2" t="s">
        <v>54</v>
      </c>
      <c r="L132" s="2" t="s">
        <v>29</v>
      </c>
      <c r="M132" s="2"/>
      <c r="N132" s="2" t="s">
        <v>72</v>
      </c>
      <c r="O132" s="2" t="s">
        <v>261</v>
      </c>
      <c r="P132" s="3">
        <v>1375</v>
      </c>
      <c r="Q132" s="3">
        <v>1375</v>
      </c>
      <c r="R132" s="4">
        <f t="shared" si="2"/>
        <v>2750</v>
      </c>
      <c r="S132" s="2" t="s">
        <v>31</v>
      </c>
      <c r="T132" s="2"/>
    </row>
    <row r="133" spans="1:20" x14ac:dyDescent="0.3">
      <c r="A133" s="2" t="s">
        <v>254</v>
      </c>
      <c r="B133" s="2" t="s">
        <v>21</v>
      </c>
      <c r="C133" s="2" t="s">
        <v>22</v>
      </c>
      <c r="D133" s="2" t="s">
        <v>23</v>
      </c>
      <c r="E133" s="2" t="s">
        <v>255</v>
      </c>
      <c r="F133" s="2" t="s">
        <v>152</v>
      </c>
      <c r="G133" s="2" t="s">
        <v>153</v>
      </c>
      <c r="H133" s="2" t="s">
        <v>152</v>
      </c>
      <c r="I133" s="2" t="s">
        <v>113</v>
      </c>
      <c r="J133" s="2" t="s">
        <v>73</v>
      </c>
      <c r="K133" s="2" t="s">
        <v>54</v>
      </c>
      <c r="L133" s="2" t="s">
        <v>29</v>
      </c>
      <c r="M133" s="2"/>
      <c r="N133" s="2" t="s">
        <v>113</v>
      </c>
      <c r="O133" s="2" t="s">
        <v>262</v>
      </c>
      <c r="P133" s="3">
        <v>1527</v>
      </c>
      <c r="Q133" s="3">
        <v>1527</v>
      </c>
      <c r="R133" s="4">
        <f t="shared" si="2"/>
        <v>3054</v>
      </c>
      <c r="S133" s="2" t="s">
        <v>31</v>
      </c>
      <c r="T133" s="2"/>
    </row>
    <row r="134" spans="1:20" x14ac:dyDescent="0.3">
      <c r="A134" s="2" t="s">
        <v>254</v>
      </c>
      <c r="B134" s="2" t="s">
        <v>21</v>
      </c>
      <c r="C134" s="2" t="s">
        <v>22</v>
      </c>
      <c r="D134" s="2" t="s">
        <v>23</v>
      </c>
      <c r="E134" s="2" t="s">
        <v>255</v>
      </c>
      <c r="F134" s="2" t="s">
        <v>152</v>
      </c>
      <c r="G134" s="2" t="s">
        <v>153</v>
      </c>
      <c r="H134" s="2" t="s">
        <v>152</v>
      </c>
      <c r="I134" s="2" t="s">
        <v>56</v>
      </c>
      <c r="J134" s="2" t="s">
        <v>53</v>
      </c>
      <c r="K134" s="2" t="s">
        <v>54</v>
      </c>
      <c r="L134" s="2" t="s">
        <v>29</v>
      </c>
      <c r="M134" s="2"/>
      <c r="N134" s="2" t="s">
        <v>56</v>
      </c>
      <c r="O134" s="2" t="s">
        <v>263</v>
      </c>
      <c r="P134" s="3">
        <v>1207</v>
      </c>
      <c r="Q134" s="3">
        <v>1207</v>
      </c>
      <c r="R134" s="4">
        <f t="shared" si="2"/>
        <v>2414</v>
      </c>
      <c r="S134" s="2" t="s">
        <v>31</v>
      </c>
      <c r="T134" s="2"/>
    </row>
    <row r="135" spans="1:20" x14ac:dyDescent="0.3">
      <c r="A135" s="2" t="s">
        <v>264</v>
      </c>
      <c r="B135" s="2" t="s">
        <v>21</v>
      </c>
      <c r="C135" s="2" t="s">
        <v>22</v>
      </c>
      <c r="D135" s="2" t="s">
        <v>42</v>
      </c>
      <c r="E135" s="2" t="s">
        <v>255</v>
      </c>
      <c r="F135" s="2" t="s">
        <v>152</v>
      </c>
      <c r="G135" s="2" t="s">
        <v>153</v>
      </c>
      <c r="H135" s="2" t="s">
        <v>152</v>
      </c>
      <c r="I135" s="2" t="s">
        <v>68</v>
      </c>
      <c r="J135" s="2" t="s">
        <v>68</v>
      </c>
      <c r="K135" s="2" t="s">
        <v>28</v>
      </c>
      <c r="L135" s="2" t="s">
        <v>29</v>
      </c>
      <c r="M135" s="2"/>
      <c r="N135" s="2" t="s">
        <v>68</v>
      </c>
      <c r="O135" s="2" t="s">
        <v>265</v>
      </c>
      <c r="P135" s="3">
        <v>1051</v>
      </c>
      <c r="Q135" s="3">
        <v>1051</v>
      </c>
      <c r="R135" s="4">
        <f t="shared" si="2"/>
        <v>2102</v>
      </c>
      <c r="S135" s="2" t="s">
        <v>31</v>
      </c>
      <c r="T135" s="2"/>
    </row>
    <row r="136" spans="1:20" x14ac:dyDescent="0.3">
      <c r="A136" s="2" t="s">
        <v>266</v>
      </c>
      <c r="B136" s="2" t="s">
        <v>167</v>
      </c>
      <c r="C136" s="2" t="s">
        <v>22</v>
      </c>
      <c r="D136" s="2" t="s">
        <v>42</v>
      </c>
      <c r="E136" s="2" t="s">
        <v>267</v>
      </c>
      <c r="F136" s="2" t="s">
        <v>152</v>
      </c>
      <c r="G136" s="2" t="s">
        <v>159</v>
      </c>
      <c r="H136" s="2" t="s">
        <v>152</v>
      </c>
      <c r="I136" s="2" t="s">
        <v>160</v>
      </c>
      <c r="J136" s="2" t="s">
        <v>161</v>
      </c>
      <c r="K136" s="2" t="s">
        <v>133</v>
      </c>
      <c r="L136" s="2" t="s">
        <v>29</v>
      </c>
      <c r="M136" s="2"/>
      <c r="N136" s="2" t="s">
        <v>160</v>
      </c>
      <c r="O136" s="2" t="s">
        <v>162</v>
      </c>
      <c r="P136" s="3">
        <v>603</v>
      </c>
      <c r="Q136" s="3">
        <v>603</v>
      </c>
      <c r="R136" s="4">
        <f t="shared" si="2"/>
        <v>1206</v>
      </c>
      <c r="S136" s="2" t="s">
        <v>31</v>
      </c>
      <c r="T136" s="2"/>
    </row>
    <row r="137" spans="1:20" x14ac:dyDescent="0.3">
      <c r="A137" s="2" t="s">
        <v>266</v>
      </c>
      <c r="B137" s="2" t="s">
        <v>167</v>
      </c>
      <c r="C137" s="2" t="s">
        <v>22</v>
      </c>
      <c r="D137" s="2" t="s">
        <v>42</v>
      </c>
      <c r="E137" s="2" t="s">
        <v>267</v>
      </c>
      <c r="F137" s="2" t="s">
        <v>152</v>
      </c>
      <c r="G137" s="2" t="s">
        <v>159</v>
      </c>
      <c r="H137" s="2" t="s">
        <v>152</v>
      </c>
      <c r="I137" s="2" t="s">
        <v>43</v>
      </c>
      <c r="J137" s="2" t="s">
        <v>44</v>
      </c>
      <c r="K137" s="2" t="s">
        <v>45</v>
      </c>
      <c r="L137" s="2" t="s">
        <v>29</v>
      </c>
      <c r="M137" s="2"/>
      <c r="N137" s="2" t="s">
        <v>43</v>
      </c>
      <c r="O137" s="2" t="s">
        <v>163</v>
      </c>
      <c r="P137" s="3">
        <v>740</v>
      </c>
      <c r="Q137" s="3">
        <v>740</v>
      </c>
      <c r="R137" s="4">
        <f t="shared" si="2"/>
        <v>1480</v>
      </c>
      <c r="S137" s="2" t="s">
        <v>40</v>
      </c>
      <c r="T137" s="2"/>
    </row>
    <row r="138" spans="1:20" x14ac:dyDescent="0.3">
      <c r="A138" s="2" t="s">
        <v>266</v>
      </c>
      <c r="B138" s="2" t="s">
        <v>167</v>
      </c>
      <c r="C138" s="2" t="s">
        <v>22</v>
      </c>
      <c r="D138" s="2" t="s">
        <v>42</v>
      </c>
      <c r="E138" s="2" t="s">
        <v>267</v>
      </c>
      <c r="F138" s="2" t="s">
        <v>152</v>
      </c>
      <c r="G138" s="2" t="s">
        <v>159</v>
      </c>
      <c r="H138" s="2" t="s">
        <v>152</v>
      </c>
      <c r="I138" s="2" t="s">
        <v>27</v>
      </c>
      <c r="J138" s="2" t="s">
        <v>27</v>
      </c>
      <c r="K138" s="2" t="s">
        <v>28</v>
      </c>
      <c r="L138" s="2" t="s">
        <v>29</v>
      </c>
      <c r="M138" s="2"/>
      <c r="N138" s="2" t="s">
        <v>27</v>
      </c>
      <c r="O138" s="2" t="s">
        <v>164</v>
      </c>
      <c r="P138" s="3">
        <v>984</v>
      </c>
      <c r="Q138" s="3">
        <v>984</v>
      </c>
      <c r="R138" s="4">
        <f t="shared" si="2"/>
        <v>1968</v>
      </c>
      <c r="S138" s="2" t="s">
        <v>40</v>
      </c>
      <c r="T138" s="2"/>
    </row>
    <row r="139" spans="1:20" x14ac:dyDescent="0.3">
      <c r="A139" s="2" t="s">
        <v>266</v>
      </c>
      <c r="B139" s="2" t="s">
        <v>167</v>
      </c>
      <c r="C139" s="2" t="s">
        <v>22</v>
      </c>
      <c r="D139" s="2" t="s">
        <v>42</v>
      </c>
      <c r="E139" s="2" t="s">
        <v>267</v>
      </c>
      <c r="F139" s="2" t="s">
        <v>152</v>
      </c>
      <c r="G139" s="2" t="s">
        <v>159</v>
      </c>
      <c r="H139" s="2" t="s">
        <v>152</v>
      </c>
      <c r="I139" s="2" t="s">
        <v>25</v>
      </c>
      <c r="J139" s="2" t="s">
        <v>26</v>
      </c>
      <c r="K139" s="2" t="s">
        <v>38</v>
      </c>
      <c r="L139" s="2" t="s">
        <v>29</v>
      </c>
      <c r="M139" s="2"/>
      <c r="N139" s="2" t="s">
        <v>25</v>
      </c>
      <c r="O139" s="2" t="s">
        <v>165</v>
      </c>
      <c r="P139" s="3">
        <v>124</v>
      </c>
      <c r="Q139" s="3">
        <v>124</v>
      </c>
      <c r="R139" s="4">
        <f t="shared" si="2"/>
        <v>248</v>
      </c>
      <c r="S139" s="2" t="s">
        <v>40</v>
      </c>
      <c r="T139" s="2"/>
    </row>
    <row r="140" spans="1:20" x14ac:dyDescent="0.3">
      <c r="A140" s="5" t="s">
        <v>266</v>
      </c>
      <c r="B140" s="5" t="s">
        <v>167</v>
      </c>
      <c r="C140" s="5" t="s">
        <v>22</v>
      </c>
      <c r="D140" s="5" t="s">
        <v>42</v>
      </c>
      <c r="E140" s="5" t="s">
        <v>267</v>
      </c>
      <c r="F140" s="5" t="s">
        <v>152</v>
      </c>
      <c r="G140" s="5" t="s">
        <v>159</v>
      </c>
      <c r="H140" s="5" t="s">
        <v>152</v>
      </c>
      <c r="I140" s="5" t="s">
        <v>268</v>
      </c>
      <c r="J140" s="5"/>
      <c r="K140" s="5"/>
      <c r="L140" s="5"/>
      <c r="M140" s="5"/>
      <c r="N140" s="5" t="s">
        <v>269</v>
      </c>
      <c r="O140" s="5"/>
      <c r="P140" s="6"/>
      <c r="Q140" s="6"/>
      <c r="R140" s="7" t="str">
        <f t="shared" si="2"/>
        <v/>
      </c>
      <c r="S140" s="5"/>
      <c r="T140" s="5" t="s">
        <v>270</v>
      </c>
    </row>
    <row r="141" spans="1:20" x14ac:dyDescent="0.3">
      <c r="A141" s="2" t="s">
        <v>266</v>
      </c>
      <c r="B141" s="2" t="s">
        <v>167</v>
      </c>
      <c r="C141" s="2" t="s">
        <v>22</v>
      </c>
      <c r="D141" s="2" t="s">
        <v>42</v>
      </c>
      <c r="E141" s="2" t="s">
        <v>267</v>
      </c>
      <c r="F141" s="2" t="s">
        <v>152</v>
      </c>
      <c r="G141" s="2" t="s">
        <v>159</v>
      </c>
      <c r="H141" s="2" t="s">
        <v>152</v>
      </c>
      <c r="I141" s="2" t="s">
        <v>271</v>
      </c>
      <c r="J141" s="2" t="s">
        <v>152</v>
      </c>
      <c r="K141" s="2" t="s">
        <v>38</v>
      </c>
      <c r="L141" s="2" t="s">
        <v>127</v>
      </c>
      <c r="M141" s="2" t="s">
        <v>272</v>
      </c>
      <c r="N141" s="2" t="s">
        <v>271</v>
      </c>
      <c r="O141" s="2" t="s">
        <v>273</v>
      </c>
      <c r="P141" s="3">
        <v>85</v>
      </c>
      <c r="Q141" s="3">
        <v>85</v>
      </c>
      <c r="R141" s="4">
        <f t="shared" si="2"/>
        <v>170</v>
      </c>
      <c r="S141" s="2" t="s">
        <v>31</v>
      </c>
      <c r="T141" s="2"/>
    </row>
    <row r="142" spans="1:20" x14ac:dyDescent="0.3">
      <c r="A142" s="2" t="s">
        <v>266</v>
      </c>
      <c r="B142" s="2" t="s">
        <v>167</v>
      </c>
      <c r="C142" s="2" t="s">
        <v>22</v>
      </c>
      <c r="D142" s="2" t="s">
        <v>42</v>
      </c>
      <c r="E142" s="2" t="s">
        <v>267</v>
      </c>
      <c r="F142" s="2" t="s">
        <v>152</v>
      </c>
      <c r="G142" s="2" t="s">
        <v>159</v>
      </c>
      <c r="H142" s="2" t="s">
        <v>152</v>
      </c>
      <c r="I142" s="2" t="s">
        <v>65</v>
      </c>
      <c r="J142" s="2" t="s">
        <v>65</v>
      </c>
      <c r="K142" s="2" t="s">
        <v>28</v>
      </c>
      <c r="L142" s="2" t="s">
        <v>29</v>
      </c>
      <c r="M142" s="2"/>
      <c r="N142" s="2" t="s">
        <v>65</v>
      </c>
      <c r="O142" s="2" t="s">
        <v>169</v>
      </c>
      <c r="P142" s="3">
        <v>762</v>
      </c>
      <c r="Q142" s="3">
        <v>762</v>
      </c>
      <c r="R142" s="4">
        <f t="shared" si="2"/>
        <v>1524</v>
      </c>
      <c r="S142" s="2" t="s">
        <v>31</v>
      </c>
      <c r="T142" s="2"/>
    </row>
    <row r="143" spans="1:20" x14ac:dyDescent="0.3">
      <c r="A143" s="2" t="s">
        <v>274</v>
      </c>
      <c r="B143" s="2" t="s">
        <v>275</v>
      </c>
      <c r="C143" s="2" t="s">
        <v>22</v>
      </c>
      <c r="D143" s="2" t="s">
        <v>42</v>
      </c>
      <c r="E143" s="2" t="s">
        <v>158</v>
      </c>
      <c r="F143" s="2" t="s">
        <v>152</v>
      </c>
      <c r="G143" s="2" t="s">
        <v>159</v>
      </c>
      <c r="H143" s="2" t="s">
        <v>152</v>
      </c>
      <c r="I143" s="2" t="s">
        <v>25</v>
      </c>
      <c r="J143" s="2" t="s">
        <v>26</v>
      </c>
      <c r="K143" s="2" t="s">
        <v>38</v>
      </c>
      <c r="L143" s="2" t="s">
        <v>29</v>
      </c>
      <c r="M143" s="2"/>
      <c r="N143" s="2" t="s">
        <v>25</v>
      </c>
      <c r="O143" s="2" t="s">
        <v>165</v>
      </c>
      <c r="P143" s="3">
        <v>124</v>
      </c>
      <c r="Q143" s="3">
        <v>124</v>
      </c>
      <c r="R143" s="4">
        <f t="shared" si="2"/>
        <v>248</v>
      </c>
      <c r="S143" s="2" t="s">
        <v>40</v>
      </c>
      <c r="T143" s="2"/>
    </row>
    <row r="144" spans="1:20" x14ac:dyDescent="0.3">
      <c r="A144" s="2" t="s">
        <v>274</v>
      </c>
      <c r="B144" s="2" t="s">
        <v>275</v>
      </c>
      <c r="C144" s="2" t="s">
        <v>22</v>
      </c>
      <c r="D144" s="2" t="s">
        <v>42</v>
      </c>
      <c r="E144" s="2" t="s">
        <v>158</v>
      </c>
      <c r="F144" s="2" t="s">
        <v>152</v>
      </c>
      <c r="G144" s="2" t="s">
        <v>159</v>
      </c>
      <c r="H144" s="2" t="s">
        <v>152</v>
      </c>
      <c r="I144" s="2" t="s">
        <v>276</v>
      </c>
      <c r="J144" s="2" t="s">
        <v>277</v>
      </c>
      <c r="K144" s="2" t="s">
        <v>38</v>
      </c>
      <c r="L144" s="2" t="s">
        <v>29</v>
      </c>
      <c r="M144" s="2"/>
      <c r="N144" s="2" t="s">
        <v>278</v>
      </c>
      <c r="O144" s="2" t="s">
        <v>279</v>
      </c>
      <c r="P144" s="3">
        <v>305</v>
      </c>
      <c r="Q144" s="3">
        <v>305</v>
      </c>
      <c r="R144" s="4">
        <f t="shared" si="2"/>
        <v>610</v>
      </c>
      <c r="S144" s="2" t="s">
        <v>31</v>
      </c>
      <c r="T144" s="2"/>
    </row>
    <row r="145" spans="1:20" x14ac:dyDescent="0.3">
      <c r="A145" s="2" t="s">
        <v>274</v>
      </c>
      <c r="B145" s="2" t="s">
        <v>275</v>
      </c>
      <c r="C145" s="2" t="s">
        <v>22</v>
      </c>
      <c r="D145" s="2" t="s">
        <v>42</v>
      </c>
      <c r="E145" s="2" t="s">
        <v>158</v>
      </c>
      <c r="F145" s="2" t="s">
        <v>152</v>
      </c>
      <c r="G145" s="2" t="s">
        <v>159</v>
      </c>
      <c r="H145" s="2" t="s">
        <v>152</v>
      </c>
      <c r="I145" s="2" t="s">
        <v>280</v>
      </c>
      <c r="J145" s="2" t="s">
        <v>281</v>
      </c>
      <c r="K145" s="2" t="s">
        <v>38</v>
      </c>
      <c r="L145" s="2" t="s">
        <v>29</v>
      </c>
      <c r="M145" s="2"/>
      <c r="N145" s="2" t="s">
        <v>282</v>
      </c>
      <c r="O145" s="2" t="s">
        <v>283</v>
      </c>
      <c r="P145" s="3">
        <v>278</v>
      </c>
      <c r="Q145" s="3">
        <v>278</v>
      </c>
      <c r="R145" s="4">
        <f t="shared" si="2"/>
        <v>556</v>
      </c>
      <c r="S145" s="2" t="s">
        <v>31</v>
      </c>
      <c r="T145" s="2"/>
    </row>
    <row r="146" spans="1:20" x14ac:dyDescent="0.3">
      <c r="A146" s="2" t="s">
        <v>274</v>
      </c>
      <c r="B146" s="2" t="s">
        <v>275</v>
      </c>
      <c r="C146" s="2" t="s">
        <v>22</v>
      </c>
      <c r="D146" s="2" t="s">
        <v>42</v>
      </c>
      <c r="E146" s="2" t="s">
        <v>158</v>
      </c>
      <c r="F146" s="2" t="s">
        <v>152</v>
      </c>
      <c r="G146" s="2" t="s">
        <v>159</v>
      </c>
      <c r="H146" s="2" t="s">
        <v>152</v>
      </c>
      <c r="I146" s="2" t="s">
        <v>284</v>
      </c>
      <c r="J146" s="2" t="s">
        <v>285</v>
      </c>
      <c r="K146" s="2" t="s">
        <v>38</v>
      </c>
      <c r="L146" s="2" t="s">
        <v>29</v>
      </c>
      <c r="M146" s="2"/>
      <c r="N146" s="2" t="s">
        <v>286</v>
      </c>
      <c r="O146" s="2" t="s">
        <v>287</v>
      </c>
      <c r="P146" s="3">
        <v>243</v>
      </c>
      <c r="Q146" s="3">
        <v>243</v>
      </c>
      <c r="R146" s="4">
        <f t="shared" si="2"/>
        <v>486</v>
      </c>
      <c r="S146" s="2" t="s">
        <v>31</v>
      </c>
      <c r="T146" s="2"/>
    </row>
    <row r="147" spans="1:20" x14ac:dyDescent="0.3">
      <c r="A147" s="2" t="s">
        <v>274</v>
      </c>
      <c r="B147" s="2" t="s">
        <v>275</v>
      </c>
      <c r="C147" s="2" t="s">
        <v>22</v>
      </c>
      <c r="D147" s="2" t="s">
        <v>42</v>
      </c>
      <c r="E147" s="2" t="s">
        <v>158</v>
      </c>
      <c r="F147" s="2" t="s">
        <v>152</v>
      </c>
      <c r="G147" s="2" t="s">
        <v>159</v>
      </c>
      <c r="H147" s="2" t="s">
        <v>152</v>
      </c>
      <c r="I147" s="2" t="s">
        <v>288</v>
      </c>
      <c r="J147" s="2" t="s">
        <v>230</v>
      </c>
      <c r="K147" s="2" t="s">
        <v>45</v>
      </c>
      <c r="L147" s="2" t="s">
        <v>29</v>
      </c>
      <c r="M147" s="2"/>
      <c r="N147" s="2" t="s">
        <v>229</v>
      </c>
      <c r="O147" s="2" t="s">
        <v>289</v>
      </c>
      <c r="P147" s="3">
        <v>351</v>
      </c>
      <c r="Q147" s="3">
        <v>351</v>
      </c>
      <c r="R147" s="4">
        <f t="shared" si="2"/>
        <v>702</v>
      </c>
      <c r="S147" s="2" t="s">
        <v>31</v>
      </c>
      <c r="T147" s="2"/>
    </row>
    <row r="148" spans="1:20" x14ac:dyDescent="0.3">
      <c r="A148" s="2" t="s">
        <v>274</v>
      </c>
      <c r="B148" s="2" t="s">
        <v>275</v>
      </c>
      <c r="C148" s="2" t="s">
        <v>22</v>
      </c>
      <c r="D148" s="2" t="s">
        <v>42</v>
      </c>
      <c r="E148" s="2" t="s">
        <v>158</v>
      </c>
      <c r="F148" s="2" t="s">
        <v>152</v>
      </c>
      <c r="G148" s="2" t="s">
        <v>159</v>
      </c>
      <c r="H148" s="2" t="s">
        <v>152</v>
      </c>
      <c r="I148" s="2" t="s">
        <v>290</v>
      </c>
      <c r="J148" s="2" t="s">
        <v>230</v>
      </c>
      <c r="K148" s="2" t="s">
        <v>45</v>
      </c>
      <c r="L148" s="2" t="s">
        <v>29</v>
      </c>
      <c r="M148" s="2"/>
      <c r="N148" s="2" t="s">
        <v>290</v>
      </c>
      <c r="O148" s="2" t="s">
        <v>291</v>
      </c>
      <c r="P148" s="3">
        <v>361</v>
      </c>
      <c r="Q148" s="3">
        <v>361</v>
      </c>
      <c r="R148" s="4">
        <f t="shared" si="2"/>
        <v>722</v>
      </c>
      <c r="S148" s="2" t="s">
        <v>31</v>
      </c>
      <c r="T148" s="2"/>
    </row>
    <row r="149" spans="1:20" x14ac:dyDescent="0.3">
      <c r="A149" s="2" t="s">
        <v>274</v>
      </c>
      <c r="B149" s="2" t="s">
        <v>275</v>
      </c>
      <c r="C149" s="2" t="s">
        <v>22</v>
      </c>
      <c r="D149" s="2" t="s">
        <v>42</v>
      </c>
      <c r="E149" s="2" t="s">
        <v>158</v>
      </c>
      <c r="F149" s="2" t="s">
        <v>152</v>
      </c>
      <c r="G149" s="2" t="s">
        <v>159</v>
      </c>
      <c r="H149" s="2" t="s">
        <v>152</v>
      </c>
      <c r="I149" s="2" t="s">
        <v>292</v>
      </c>
      <c r="J149" s="2" t="s">
        <v>37</v>
      </c>
      <c r="K149" s="2" t="s">
        <v>38</v>
      </c>
      <c r="L149" s="2" t="s">
        <v>29</v>
      </c>
      <c r="M149" s="2"/>
      <c r="N149" s="2" t="s">
        <v>292</v>
      </c>
      <c r="O149" s="2" t="s">
        <v>293</v>
      </c>
      <c r="P149" s="3">
        <v>85</v>
      </c>
      <c r="Q149" s="3">
        <v>85</v>
      </c>
      <c r="R149" s="4">
        <f t="shared" si="2"/>
        <v>170</v>
      </c>
      <c r="S149" s="2" t="s">
        <v>31</v>
      </c>
      <c r="T149" s="2"/>
    </row>
    <row r="150" spans="1:20" x14ac:dyDescent="0.3">
      <c r="A150" s="2" t="s">
        <v>274</v>
      </c>
      <c r="B150" s="2" t="s">
        <v>275</v>
      </c>
      <c r="C150" s="2" t="s">
        <v>22</v>
      </c>
      <c r="D150" s="2" t="s">
        <v>42</v>
      </c>
      <c r="E150" s="2" t="s">
        <v>158</v>
      </c>
      <c r="F150" s="2" t="s">
        <v>152</v>
      </c>
      <c r="G150" s="2" t="s">
        <v>159</v>
      </c>
      <c r="H150" s="2" t="s">
        <v>152</v>
      </c>
      <c r="I150" s="2" t="s">
        <v>246</v>
      </c>
      <c r="J150" s="2" t="s">
        <v>132</v>
      </c>
      <c r="K150" s="2" t="s">
        <v>133</v>
      </c>
      <c r="L150" s="2" t="s">
        <v>29</v>
      </c>
      <c r="M150" s="2"/>
      <c r="N150" s="2" t="s">
        <v>246</v>
      </c>
      <c r="O150" s="2" t="s">
        <v>294</v>
      </c>
      <c r="P150" s="3">
        <v>303</v>
      </c>
      <c r="Q150" s="3">
        <v>303</v>
      </c>
      <c r="R150" s="4">
        <f t="shared" si="2"/>
        <v>606</v>
      </c>
      <c r="S150" s="2" t="s">
        <v>31</v>
      </c>
      <c r="T150" s="2"/>
    </row>
    <row r="151" spans="1:20" x14ac:dyDescent="0.3">
      <c r="A151" s="2" t="s">
        <v>274</v>
      </c>
      <c r="B151" s="2" t="s">
        <v>275</v>
      </c>
      <c r="C151" s="2" t="s">
        <v>22</v>
      </c>
      <c r="D151" s="2" t="s">
        <v>42</v>
      </c>
      <c r="E151" s="2" t="s">
        <v>158</v>
      </c>
      <c r="F151" s="2" t="s">
        <v>152</v>
      </c>
      <c r="G151" s="2" t="s">
        <v>159</v>
      </c>
      <c r="H151" s="2" t="s">
        <v>152</v>
      </c>
      <c r="I151" s="2" t="s">
        <v>295</v>
      </c>
      <c r="J151" s="2" t="s">
        <v>37</v>
      </c>
      <c r="K151" s="2" t="s">
        <v>38</v>
      </c>
      <c r="L151" s="2" t="s">
        <v>29</v>
      </c>
      <c r="M151" s="2"/>
      <c r="N151" s="2" t="s">
        <v>296</v>
      </c>
      <c r="O151" s="2" t="s">
        <v>297</v>
      </c>
      <c r="P151" s="3">
        <v>46</v>
      </c>
      <c r="Q151" s="3">
        <v>17</v>
      </c>
      <c r="R151" s="4">
        <f t="shared" si="2"/>
        <v>63</v>
      </c>
      <c r="S151" s="2" t="s">
        <v>31</v>
      </c>
      <c r="T151" s="2" t="s">
        <v>298</v>
      </c>
    </row>
    <row r="152" spans="1:20" x14ac:dyDescent="0.3">
      <c r="A152" s="2" t="s">
        <v>274</v>
      </c>
      <c r="B152" s="2" t="s">
        <v>275</v>
      </c>
      <c r="C152" s="2" t="s">
        <v>22</v>
      </c>
      <c r="D152" s="2" t="s">
        <v>42</v>
      </c>
      <c r="E152" s="2" t="s">
        <v>158</v>
      </c>
      <c r="F152" s="2" t="s">
        <v>152</v>
      </c>
      <c r="G152" s="2" t="s">
        <v>159</v>
      </c>
      <c r="H152" s="2" t="s">
        <v>152</v>
      </c>
      <c r="I152" s="2" t="s">
        <v>295</v>
      </c>
      <c r="J152" s="2" t="s">
        <v>37</v>
      </c>
      <c r="K152" s="2" t="s">
        <v>38</v>
      </c>
      <c r="L152" s="2" t="s">
        <v>29</v>
      </c>
      <c r="M152" s="2"/>
      <c r="N152" s="2" t="s">
        <v>296</v>
      </c>
      <c r="O152" s="2" t="s">
        <v>297</v>
      </c>
      <c r="P152" s="3">
        <v>46</v>
      </c>
      <c r="Q152" s="3">
        <v>17</v>
      </c>
      <c r="R152" s="4">
        <f t="shared" si="2"/>
        <v>63</v>
      </c>
      <c r="S152" s="2" t="s">
        <v>31</v>
      </c>
      <c r="T152" s="2" t="s">
        <v>298</v>
      </c>
    </row>
    <row r="153" spans="1:20" x14ac:dyDescent="0.3">
      <c r="A153" s="2" t="s">
        <v>274</v>
      </c>
      <c r="B153" s="2" t="s">
        <v>275</v>
      </c>
      <c r="C153" s="2" t="s">
        <v>22</v>
      </c>
      <c r="D153" s="2" t="s">
        <v>42</v>
      </c>
      <c r="E153" s="2" t="s">
        <v>158</v>
      </c>
      <c r="F153" s="2" t="s">
        <v>152</v>
      </c>
      <c r="G153" s="2" t="s">
        <v>159</v>
      </c>
      <c r="H153" s="2" t="s">
        <v>152</v>
      </c>
      <c r="I153" s="2" t="s">
        <v>295</v>
      </c>
      <c r="J153" s="2" t="s">
        <v>37</v>
      </c>
      <c r="K153" s="2" t="s">
        <v>38</v>
      </c>
      <c r="L153" s="2" t="s">
        <v>29</v>
      </c>
      <c r="M153" s="2"/>
      <c r="N153" s="2" t="s">
        <v>296</v>
      </c>
      <c r="O153" s="2" t="s">
        <v>297</v>
      </c>
      <c r="P153" s="3">
        <v>46</v>
      </c>
      <c r="Q153" s="3">
        <v>17</v>
      </c>
      <c r="R153" s="4">
        <f t="shared" si="2"/>
        <v>63</v>
      </c>
      <c r="S153" s="2" t="s">
        <v>31</v>
      </c>
      <c r="T153" s="2" t="s">
        <v>298</v>
      </c>
    </row>
    <row r="154" spans="1:20" x14ac:dyDescent="0.3">
      <c r="A154" s="2" t="s">
        <v>274</v>
      </c>
      <c r="B154" s="2" t="s">
        <v>275</v>
      </c>
      <c r="C154" s="2" t="s">
        <v>22</v>
      </c>
      <c r="D154" s="2" t="s">
        <v>42</v>
      </c>
      <c r="E154" s="2" t="s">
        <v>158</v>
      </c>
      <c r="F154" s="2" t="s">
        <v>152</v>
      </c>
      <c r="G154" s="2" t="s">
        <v>159</v>
      </c>
      <c r="H154" s="2" t="s">
        <v>152</v>
      </c>
      <c r="I154" s="2" t="s">
        <v>295</v>
      </c>
      <c r="J154" s="2" t="s">
        <v>37</v>
      </c>
      <c r="K154" s="2" t="s">
        <v>38</v>
      </c>
      <c r="L154" s="2" t="s">
        <v>29</v>
      </c>
      <c r="M154" s="2"/>
      <c r="N154" s="2" t="s">
        <v>296</v>
      </c>
      <c r="O154" s="2" t="s">
        <v>297</v>
      </c>
      <c r="P154" s="3">
        <v>46</v>
      </c>
      <c r="Q154" s="3">
        <v>17</v>
      </c>
      <c r="R154" s="4">
        <f t="shared" si="2"/>
        <v>63</v>
      </c>
      <c r="S154" s="2" t="s">
        <v>31</v>
      </c>
      <c r="T154" s="2" t="s">
        <v>298</v>
      </c>
    </row>
    <row r="155" spans="1:20" x14ac:dyDescent="0.3">
      <c r="A155" s="2" t="s">
        <v>274</v>
      </c>
      <c r="B155" s="2" t="s">
        <v>275</v>
      </c>
      <c r="C155" s="2" t="s">
        <v>22</v>
      </c>
      <c r="D155" s="2" t="s">
        <v>42</v>
      </c>
      <c r="E155" s="2" t="s">
        <v>158</v>
      </c>
      <c r="F155" s="2" t="s">
        <v>152</v>
      </c>
      <c r="G155" s="2" t="s">
        <v>159</v>
      </c>
      <c r="H155" s="2" t="s">
        <v>152</v>
      </c>
      <c r="I155" s="2" t="s">
        <v>299</v>
      </c>
      <c r="J155" s="2" t="s">
        <v>152</v>
      </c>
      <c r="K155" s="2" t="s">
        <v>38</v>
      </c>
      <c r="L155" s="2" t="s">
        <v>127</v>
      </c>
      <c r="M155" s="2" t="s">
        <v>186</v>
      </c>
      <c r="N155" s="2" t="s">
        <v>300</v>
      </c>
      <c r="O155" s="2" t="s">
        <v>301</v>
      </c>
      <c r="P155" s="3">
        <v>81</v>
      </c>
      <c r="Q155" s="3">
        <v>75</v>
      </c>
      <c r="R155" s="4">
        <f t="shared" si="2"/>
        <v>156</v>
      </c>
      <c r="S155" s="2" t="s">
        <v>31</v>
      </c>
      <c r="T155" s="2" t="s">
        <v>302</v>
      </c>
    </row>
    <row r="156" spans="1:20" x14ac:dyDescent="0.3">
      <c r="A156" s="2" t="s">
        <v>274</v>
      </c>
      <c r="B156" s="2" t="s">
        <v>275</v>
      </c>
      <c r="C156" s="2" t="s">
        <v>22</v>
      </c>
      <c r="D156" s="2" t="s">
        <v>42</v>
      </c>
      <c r="E156" s="2" t="s">
        <v>158</v>
      </c>
      <c r="F156" s="2" t="s">
        <v>152</v>
      </c>
      <c r="G156" s="2" t="s">
        <v>159</v>
      </c>
      <c r="H156" s="2" t="s">
        <v>152</v>
      </c>
      <c r="I156" s="2" t="s">
        <v>303</v>
      </c>
      <c r="J156" s="2" t="s">
        <v>152</v>
      </c>
      <c r="K156" s="2" t="s">
        <v>38</v>
      </c>
      <c r="L156" s="2" t="s">
        <v>127</v>
      </c>
      <c r="M156" s="2" t="s">
        <v>188</v>
      </c>
      <c r="N156" s="2" t="s">
        <v>304</v>
      </c>
      <c r="O156" s="2" t="s">
        <v>305</v>
      </c>
      <c r="P156" s="3">
        <v>32</v>
      </c>
      <c r="Q156" s="3">
        <v>14</v>
      </c>
      <c r="R156" s="4">
        <f t="shared" si="2"/>
        <v>46</v>
      </c>
      <c r="S156" s="2" t="s">
        <v>31</v>
      </c>
      <c r="T156" s="2" t="s">
        <v>306</v>
      </c>
    </row>
    <row r="157" spans="1:20" x14ac:dyDescent="0.3">
      <c r="A157" s="2" t="s">
        <v>274</v>
      </c>
      <c r="B157" s="2" t="s">
        <v>275</v>
      </c>
      <c r="C157" s="2" t="s">
        <v>22</v>
      </c>
      <c r="D157" s="2" t="s">
        <v>42</v>
      </c>
      <c r="E157" s="2" t="s">
        <v>158</v>
      </c>
      <c r="F157" s="2" t="s">
        <v>152</v>
      </c>
      <c r="G157" s="2" t="s">
        <v>159</v>
      </c>
      <c r="H157" s="2" t="s">
        <v>152</v>
      </c>
      <c r="I157" s="2" t="s">
        <v>303</v>
      </c>
      <c r="J157" s="2" t="s">
        <v>152</v>
      </c>
      <c r="K157" s="2" t="s">
        <v>38</v>
      </c>
      <c r="L157" s="2" t="s">
        <v>127</v>
      </c>
      <c r="M157" s="2" t="s">
        <v>188</v>
      </c>
      <c r="N157" s="2" t="s">
        <v>304</v>
      </c>
      <c r="O157" s="2" t="s">
        <v>305</v>
      </c>
      <c r="P157" s="3">
        <v>32</v>
      </c>
      <c r="Q157" s="3">
        <v>14</v>
      </c>
      <c r="R157" s="4">
        <f t="shared" si="2"/>
        <v>46</v>
      </c>
      <c r="S157" s="2" t="s">
        <v>31</v>
      </c>
      <c r="T157" s="2" t="s">
        <v>306</v>
      </c>
    </row>
    <row r="158" spans="1:20" x14ac:dyDescent="0.3">
      <c r="A158" s="2" t="s">
        <v>274</v>
      </c>
      <c r="B158" s="2" t="s">
        <v>275</v>
      </c>
      <c r="C158" s="2" t="s">
        <v>22</v>
      </c>
      <c r="D158" s="2" t="s">
        <v>42</v>
      </c>
      <c r="E158" s="2" t="s">
        <v>158</v>
      </c>
      <c r="F158" s="2" t="s">
        <v>152</v>
      </c>
      <c r="G158" s="2" t="s">
        <v>159</v>
      </c>
      <c r="H158" s="2" t="s">
        <v>152</v>
      </c>
      <c r="I158" s="2" t="s">
        <v>307</v>
      </c>
      <c r="J158" s="2" t="s">
        <v>152</v>
      </c>
      <c r="K158" s="2" t="s">
        <v>38</v>
      </c>
      <c r="L158" s="2" t="s">
        <v>127</v>
      </c>
      <c r="M158" s="2" t="s">
        <v>186</v>
      </c>
      <c r="N158" s="2" t="s">
        <v>307</v>
      </c>
      <c r="O158" s="2" t="s">
        <v>308</v>
      </c>
      <c r="P158" s="3">
        <v>34</v>
      </c>
      <c r="Q158" s="3">
        <v>34</v>
      </c>
      <c r="R158" s="4">
        <f t="shared" si="2"/>
        <v>68</v>
      </c>
      <c r="S158" s="2" t="s">
        <v>31</v>
      </c>
      <c r="T158" s="2"/>
    </row>
    <row r="159" spans="1:20" x14ac:dyDescent="0.3">
      <c r="A159" s="2" t="s">
        <v>274</v>
      </c>
      <c r="B159" s="2" t="s">
        <v>275</v>
      </c>
      <c r="C159" s="2" t="s">
        <v>22</v>
      </c>
      <c r="D159" s="2" t="s">
        <v>42</v>
      </c>
      <c r="E159" s="2" t="s">
        <v>158</v>
      </c>
      <c r="F159" s="2" t="s">
        <v>152</v>
      </c>
      <c r="G159" s="2" t="s">
        <v>159</v>
      </c>
      <c r="H159" s="2" t="s">
        <v>152</v>
      </c>
      <c r="I159" s="2" t="s">
        <v>309</v>
      </c>
      <c r="J159" s="2" t="s">
        <v>152</v>
      </c>
      <c r="K159" s="2" t="s">
        <v>38</v>
      </c>
      <c r="L159" s="2" t="s">
        <v>127</v>
      </c>
      <c r="M159" s="2" t="s">
        <v>188</v>
      </c>
      <c r="N159" s="2" t="s">
        <v>310</v>
      </c>
      <c r="O159" s="2" t="s">
        <v>311</v>
      </c>
      <c r="P159" s="3">
        <v>27</v>
      </c>
      <c r="Q159" s="3">
        <v>10</v>
      </c>
      <c r="R159" s="4">
        <f t="shared" si="2"/>
        <v>37</v>
      </c>
      <c r="S159" s="2" t="s">
        <v>31</v>
      </c>
      <c r="T159" s="2" t="s">
        <v>302</v>
      </c>
    </row>
    <row r="160" spans="1:20" x14ac:dyDescent="0.3">
      <c r="A160" s="2" t="s">
        <v>274</v>
      </c>
      <c r="B160" s="2" t="s">
        <v>275</v>
      </c>
      <c r="C160" s="2" t="s">
        <v>22</v>
      </c>
      <c r="D160" s="2" t="s">
        <v>42</v>
      </c>
      <c r="E160" s="2" t="s">
        <v>158</v>
      </c>
      <c r="F160" s="2" t="s">
        <v>152</v>
      </c>
      <c r="G160" s="2" t="s">
        <v>159</v>
      </c>
      <c r="H160" s="2" t="s">
        <v>152</v>
      </c>
      <c r="I160" s="2" t="s">
        <v>309</v>
      </c>
      <c r="J160" s="2" t="s">
        <v>152</v>
      </c>
      <c r="K160" s="2" t="s">
        <v>38</v>
      </c>
      <c r="L160" s="2" t="s">
        <v>127</v>
      </c>
      <c r="M160" s="2" t="s">
        <v>188</v>
      </c>
      <c r="N160" s="2" t="s">
        <v>310</v>
      </c>
      <c r="O160" s="2" t="s">
        <v>311</v>
      </c>
      <c r="P160" s="3">
        <v>27</v>
      </c>
      <c r="Q160" s="3">
        <v>10</v>
      </c>
      <c r="R160" s="4">
        <f t="shared" si="2"/>
        <v>37</v>
      </c>
      <c r="S160" s="2" t="s">
        <v>31</v>
      </c>
      <c r="T160" s="2" t="s">
        <v>302</v>
      </c>
    </row>
    <row r="161" spans="1:20" x14ac:dyDescent="0.3">
      <c r="A161" s="2" t="s">
        <v>274</v>
      </c>
      <c r="B161" s="2" t="s">
        <v>275</v>
      </c>
      <c r="C161" s="2" t="s">
        <v>22</v>
      </c>
      <c r="D161" s="2" t="s">
        <v>42</v>
      </c>
      <c r="E161" s="2" t="s">
        <v>158</v>
      </c>
      <c r="F161" s="2" t="s">
        <v>152</v>
      </c>
      <c r="G161" s="2" t="s">
        <v>159</v>
      </c>
      <c r="H161" s="2" t="s">
        <v>152</v>
      </c>
      <c r="I161" s="2" t="s">
        <v>309</v>
      </c>
      <c r="J161" s="2" t="s">
        <v>152</v>
      </c>
      <c r="K161" s="2" t="s">
        <v>38</v>
      </c>
      <c r="L161" s="2" t="s">
        <v>127</v>
      </c>
      <c r="M161" s="2" t="s">
        <v>188</v>
      </c>
      <c r="N161" s="2" t="s">
        <v>310</v>
      </c>
      <c r="O161" s="2" t="s">
        <v>311</v>
      </c>
      <c r="P161" s="3">
        <v>27</v>
      </c>
      <c r="Q161" s="3">
        <v>10</v>
      </c>
      <c r="R161" s="4">
        <f t="shared" si="2"/>
        <v>37</v>
      </c>
      <c r="S161" s="2" t="s">
        <v>31</v>
      </c>
      <c r="T161" s="2" t="s">
        <v>302</v>
      </c>
    </row>
    <row r="162" spans="1:20" x14ac:dyDescent="0.3">
      <c r="A162" s="2" t="s">
        <v>274</v>
      </c>
      <c r="B162" s="2" t="s">
        <v>275</v>
      </c>
      <c r="C162" s="2" t="s">
        <v>22</v>
      </c>
      <c r="D162" s="2" t="s">
        <v>42</v>
      </c>
      <c r="E162" s="2" t="s">
        <v>158</v>
      </c>
      <c r="F162" s="2" t="s">
        <v>152</v>
      </c>
      <c r="G162" s="2" t="s">
        <v>159</v>
      </c>
      <c r="H162" s="2" t="s">
        <v>152</v>
      </c>
      <c r="I162" s="2" t="s">
        <v>312</v>
      </c>
      <c r="J162" s="2" t="s">
        <v>152</v>
      </c>
      <c r="K162" s="2" t="s">
        <v>38</v>
      </c>
      <c r="L162" s="2" t="s">
        <v>127</v>
      </c>
      <c r="M162" s="2" t="s">
        <v>313</v>
      </c>
      <c r="N162" s="2" t="s">
        <v>314</v>
      </c>
      <c r="O162" s="2" t="s">
        <v>315</v>
      </c>
      <c r="P162" s="3">
        <v>71</v>
      </c>
      <c r="Q162" s="3">
        <v>11</v>
      </c>
      <c r="R162" s="4">
        <f t="shared" si="2"/>
        <v>82</v>
      </c>
      <c r="S162" s="2" t="s">
        <v>31</v>
      </c>
      <c r="T162" s="2" t="s">
        <v>316</v>
      </c>
    </row>
    <row r="163" spans="1:20" x14ac:dyDescent="0.3">
      <c r="A163" s="2" t="s">
        <v>274</v>
      </c>
      <c r="B163" s="2" t="s">
        <v>275</v>
      </c>
      <c r="C163" s="2" t="s">
        <v>22</v>
      </c>
      <c r="D163" s="2" t="s">
        <v>42</v>
      </c>
      <c r="E163" s="2" t="s">
        <v>158</v>
      </c>
      <c r="F163" s="2" t="s">
        <v>152</v>
      </c>
      <c r="G163" s="2" t="s">
        <v>159</v>
      </c>
      <c r="H163" s="2" t="s">
        <v>152</v>
      </c>
      <c r="I163" s="2" t="s">
        <v>312</v>
      </c>
      <c r="J163" s="2" t="s">
        <v>152</v>
      </c>
      <c r="K163" s="2" t="s">
        <v>38</v>
      </c>
      <c r="L163" s="2" t="s">
        <v>127</v>
      </c>
      <c r="M163" s="2" t="s">
        <v>313</v>
      </c>
      <c r="N163" s="2" t="s">
        <v>314</v>
      </c>
      <c r="O163" s="2" t="s">
        <v>315</v>
      </c>
      <c r="P163" s="3">
        <v>71</v>
      </c>
      <c r="Q163" s="3">
        <v>11</v>
      </c>
      <c r="R163" s="4">
        <f t="shared" si="2"/>
        <v>82</v>
      </c>
      <c r="S163" s="2" t="s">
        <v>31</v>
      </c>
      <c r="T163" s="2" t="s">
        <v>316</v>
      </c>
    </row>
    <row r="164" spans="1:20" x14ac:dyDescent="0.3">
      <c r="A164" s="2" t="s">
        <v>274</v>
      </c>
      <c r="B164" s="2" t="s">
        <v>275</v>
      </c>
      <c r="C164" s="2" t="s">
        <v>22</v>
      </c>
      <c r="D164" s="2" t="s">
        <v>42</v>
      </c>
      <c r="E164" s="2" t="s">
        <v>158</v>
      </c>
      <c r="F164" s="2" t="s">
        <v>152</v>
      </c>
      <c r="G164" s="2" t="s">
        <v>159</v>
      </c>
      <c r="H164" s="2" t="s">
        <v>152</v>
      </c>
      <c r="I164" s="2" t="s">
        <v>312</v>
      </c>
      <c r="J164" s="2" t="s">
        <v>152</v>
      </c>
      <c r="K164" s="2" t="s">
        <v>38</v>
      </c>
      <c r="L164" s="2" t="s">
        <v>127</v>
      </c>
      <c r="M164" s="2" t="s">
        <v>313</v>
      </c>
      <c r="N164" s="2" t="s">
        <v>314</v>
      </c>
      <c r="O164" s="2" t="s">
        <v>315</v>
      </c>
      <c r="P164" s="3">
        <v>71</v>
      </c>
      <c r="Q164" s="3">
        <v>11</v>
      </c>
      <c r="R164" s="4">
        <f t="shared" si="2"/>
        <v>82</v>
      </c>
      <c r="S164" s="2" t="s">
        <v>31</v>
      </c>
      <c r="T164" s="2" t="s">
        <v>316</v>
      </c>
    </row>
    <row r="165" spans="1:20" x14ac:dyDescent="0.3">
      <c r="A165" s="2" t="s">
        <v>274</v>
      </c>
      <c r="B165" s="2" t="s">
        <v>275</v>
      </c>
      <c r="C165" s="2" t="s">
        <v>22</v>
      </c>
      <c r="D165" s="2" t="s">
        <v>42</v>
      </c>
      <c r="E165" s="2" t="s">
        <v>158</v>
      </c>
      <c r="F165" s="2" t="s">
        <v>152</v>
      </c>
      <c r="G165" s="2" t="s">
        <v>159</v>
      </c>
      <c r="H165" s="2" t="s">
        <v>152</v>
      </c>
      <c r="I165" s="2" t="s">
        <v>312</v>
      </c>
      <c r="J165" s="2" t="s">
        <v>152</v>
      </c>
      <c r="K165" s="2" t="s">
        <v>38</v>
      </c>
      <c r="L165" s="2" t="s">
        <v>127</v>
      </c>
      <c r="M165" s="2" t="s">
        <v>313</v>
      </c>
      <c r="N165" s="2" t="s">
        <v>314</v>
      </c>
      <c r="O165" s="2" t="s">
        <v>315</v>
      </c>
      <c r="P165" s="3">
        <v>71</v>
      </c>
      <c r="Q165" s="3">
        <v>11</v>
      </c>
      <c r="R165" s="4">
        <f t="shared" si="2"/>
        <v>82</v>
      </c>
      <c r="S165" s="2" t="s">
        <v>31</v>
      </c>
      <c r="T165" s="2" t="s">
        <v>316</v>
      </c>
    </row>
    <row r="166" spans="1:20" x14ac:dyDescent="0.3">
      <c r="A166" s="2" t="s">
        <v>274</v>
      </c>
      <c r="B166" s="2" t="s">
        <v>275</v>
      </c>
      <c r="C166" s="2" t="s">
        <v>22</v>
      </c>
      <c r="D166" s="2" t="s">
        <v>42</v>
      </c>
      <c r="E166" s="2" t="s">
        <v>158</v>
      </c>
      <c r="F166" s="2" t="s">
        <v>152</v>
      </c>
      <c r="G166" s="2" t="s">
        <v>159</v>
      </c>
      <c r="H166" s="2" t="s">
        <v>152</v>
      </c>
      <c r="I166" s="2" t="s">
        <v>312</v>
      </c>
      <c r="J166" s="2" t="s">
        <v>152</v>
      </c>
      <c r="K166" s="2" t="s">
        <v>38</v>
      </c>
      <c r="L166" s="2" t="s">
        <v>127</v>
      </c>
      <c r="M166" s="2" t="s">
        <v>313</v>
      </c>
      <c r="N166" s="2" t="s">
        <v>314</v>
      </c>
      <c r="O166" s="2" t="s">
        <v>315</v>
      </c>
      <c r="P166" s="3">
        <v>71</v>
      </c>
      <c r="Q166" s="3">
        <v>11</v>
      </c>
      <c r="R166" s="4">
        <f t="shared" si="2"/>
        <v>82</v>
      </c>
      <c r="S166" s="2" t="s">
        <v>31</v>
      </c>
      <c r="T166" s="2" t="s">
        <v>316</v>
      </c>
    </row>
    <row r="167" spans="1:20" x14ac:dyDescent="0.3">
      <c r="A167" s="2" t="s">
        <v>274</v>
      </c>
      <c r="B167" s="2" t="s">
        <v>275</v>
      </c>
      <c r="C167" s="2" t="s">
        <v>22</v>
      </c>
      <c r="D167" s="2" t="s">
        <v>42</v>
      </c>
      <c r="E167" s="2" t="s">
        <v>158</v>
      </c>
      <c r="F167" s="2" t="s">
        <v>152</v>
      </c>
      <c r="G167" s="2" t="s">
        <v>159</v>
      </c>
      <c r="H167" s="2" t="s">
        <v>152</v>
      </c>
      <c r="I167" s="2" t="s">
        <v>317</v>
      </c>
      <c r="J167" s="2" t="s">
        <v>152</v>
      </c>
      <c r="K167" s="2" t="s">
        <v>38</v>
      </c>
      <c r="L167" s="2" t="s">
        <v>127</v>
      </c>
      <c r="M167" s="2" t="s">
        <v>188</v>
      </c>
      <c r="N167" s="2" t="s">
        <v>318</v>
      </c>
      <c r="O167" s="2" t="s">
        <v>319</v>
      </c>
      <c r="P167" s="3">
        <v>44</v>
      </c>
      <c r="Q167" s="3">
        <v>3</v>
      </c>
      <c r="R167" s="4">
        <f t="shared" si="2"/>
        <v>47</v>
      </c>
      <c r="S167" s="2" t="s">
        <v>31</v>
      </c>
      <c r="T167" s="2" t="s">
        <v>320</v>
      </c>
    </row>
    <row r="168" spans="1:20" x14ac:dyDescent="0.3">
      <c r="A168" s="2" t="s">
        <v>274</v>
      </c>
      <c r="B168" s="2" t="s">
        <v>275</v>
      </c>
      <c r="C168" s="2" t="s">
        <v>22</v>
      </c>
      <c r="D168" s="2" t="s">
        <v>42</v>
      </c>
      <c r="E168" s="2" t="s">
        <v>158</v>
      </c>
      <c r="F168" s="2" t="s">
        <v>152</v>
      </c>
      <c r="G168" s="2" t="s">
        <v>159</v>
      </c>
      <c r="H168" s="2" t="s">
        <v>152</v>
      </c>
      <c r="I168" s="2" t="s">
        <v>317</v>
      </c>
      <c r="J168" s="2" t="s">
        <v>152</v>
      </c>
      <c r="K168" s="2" t="s">
        <v>38</v>
      </c>
      <c r="L168" s="2" t="s">
        <v>127</v>
      </c>
      <c r="M168" s="2" t="s">
        <v>188</v>
      </c>
      <c r="N168" s="2" t="s">
        <v>318</v>
      </c>
      <c r="O168" s="2" t="s">
        <v>319</v>
      </c>
      <c r="P168" s="3">
        <v>44</v>
      </c>
      <c r="Q168" s="3">
        <v>3</v>
      </c>
      <c r="R168" s="4">
        <f t="shared" si="2"/>
        <v>47</v>
      </c>
      <c r="S168" s="2" t="s">
        <v>31</v>
      </c>
      <c r="T168" s="2" t="s">
        <v>320</v>
      </c>
    </row>
    <row r="169" spans="1:20" x14ac:dyDescent="0.3">
      <c r="A169" s="2" t="s">
        <v>274</v>
      </c>
      <c r="B169" s="2" t="s">
        <v>275</v>
      </c>
      <c r="C169" s="2" t="s">
        <v>22</v>
      </c>
      <c r="D169" s="2" t="s">
        <v>42</v>
      </c>
      <c r="E169" s="2" t="s">
        <v>158</v>
      </c>
      <c r="F169" s="2" t="s">
        <v>152</v>
      </c>
      <c r="G169" s="2" t="s">
        <v>159</v>
      </c>
      <c r="H169" s="2" t="s">
        <v>152</v>
      </c>
      <c r="I169" s="2" t="s">
        <v>303</v>
      </c>
      <c r="J169" s="2" t="s">
        <v>152</v>
      </c>
      <c r="K169" s="2" t="s">
        <v>38</v>
      </c>
      <c r="L169" s="2" t="s">
        <v>127</v>
      </c>
      <c r="M169" s="2" t="s">
        <v>188</v>
      </c>
      <c r="N169" s="2" t="s">
        <v>304</v>
      </c>
      <c r="O169" s="2" t="s">
        <v>305</v>
      </c>
      <c r="P169" s="3">
        <v>32</v>
      </c>
      <c r="Q169" s="3">
        <v>14</v>
      </c>
      <c r="R169" s="4">
        <f t="shared" si="2"/>
        <v>46</v>
      </c>
      <c r="S169" s="2" t="s">
        <v>31</v>
      </c>
      <c r="T169" s="2" t="s">
        <v>306</v>
      </c>
    </row>
    <row r="170" spans="1:20" x14ac:dyDescent="0.3">
      <c r="A170" s="2" t="s">
        <v>274</v>
      </c>
      <c r="B170" s="2" t="s">
        <v>275</v>
      </c>
      <c r="C170" s="2" t="s">
        <v>22</v>
      </c>
      <c r="D170" s="2" t="s">
        <v>42</v>
      </c>
      <c r="E170" s="2" t="s">
        <v>158</v>
      </c>
      <c r="F170" s="2" t="s">
        <v>152</v>
      </c>
      <c r="G170" s="2" t="s">
        <v>159</v>
      </c>
      <c r="H170" s="2" t="s">
        <v>152</v>
      </c>
      <c r="I170" s="2" t="s">
        <v>317</v>
      </c>
      <c r="J170" s="2" t="s">
        <v>152</v>
      </c>
      <c r="K170" s="2" t="s">
        <v>38</v>
      </c>
      <c r="L170" s="2" t="s">
        <v>127</v>
      </c>
      <c r="M170" s="2" t="s">
        <v>188</v>
      </c>
      <c r="N170" s="2" t="s">
        <v>318</v>
      </c>
      <c r="O170" s="2" t="s">
        <v>319</v>
      </c>
      <c r="P170" s="3">
        <v>44</v>
      </c>
      <c r="Q170" s="3">
        <v>3</v>
      </c>
      <c r="R170" s="4">
        <f t="shared" si="2"/>
        <v>47</v>
      </c>
      <c r="S170" s="2" t="s">
        <v>31</v>
      </c>
      <c r="T170" s="2" t="s">
        <v>320</v>
      </c>
    </row>
    <row r="171" spans="1:20" x14ac:dyDescent="0.3">
      <c r="A171" s="2" t="s">
        <v>274</v>
      </c>
      <c r="B171" s="2" t="s">
        <v>275</v>
      </c>
      <c r="C171" s="2" t="s">
        <v>22</v>
      </c>
      <c r="D171" s="2" t="s">
        <v>42</v>
      </c>
      <c r="E171" s="2" t="s">
        <v>158</v>
      </c>
      <c r="F171" s="2" t="s">
        <v>152</v>
      </c>
      <c r="G171" s="2" t="s">
        <v>159</v>
      </c>
      <c r="H171" s="2" t="s">
        <v>152</v>
      </c>
      <c r="I171" s="2" t="s">
        <v>317</v>
      </c>
      <c r="J171" s="2" t="s">
        <v>152</v>
      </c>
      <c r="K171" s="2" t="s">
        <v>38</v>
      </c>
      <c r="L171" s="2" t="s">
        <v>127</v>
      </c>
      <c r="M171" s="2" t="s">
        <v>188</v>
      </c>
      <c r="N171" s="2" t="s">
        <v>318</v>
      </c>
      <c r="O171" s="2" t="s">
        <v>319</v>
      </c>
      <c r="P171" s="3">
        <v>44</v>
      </c>
      <c r="Q171" s="3">
        <v>3</v>
      </c>
      <c r="R171" s="4">
        <f t="shared" si="2"/>
        <v>47</v>
      </c>
      <c r="S171" s="2" t="s">
        <v>31</v>
      </c>
      <c r="T171" s="2" t="s">
        <v>320</v>
      </c>
    </row>
    <row r="172" spans="1:20" x14ac:dyDescent="0.3">
      <c r="A172" s="2" t="s">
        <v>274</v>
      </c>
      <c r="B172" s="2" t="s">
        <v>275</v>
      </c>
      <c r="C172" s="2" t="s">
        <v>22</v>
      </c>
      <c r="D172" s="2" t="s">
        <v>42</v>
      </c>
      <c r="E172" s="2" t="s">
        <v>158</v>
      </c>
      <c r="F172" s="2" t="s">
        <v>152</v>
      </c>
      <c r="G172" s="2" t="s">
        <v>159</v>
      </c>
      <c r="H172" s="2" t="s">
        <v>152</v>
      </c>
      <c r="I172" s="2" t="s">
        <v>317</v>
      </c>
      <c r="J172" s="2" t="s">
        <v>152</v>
      </c>
      <c r="K172" s="2" t="s">
        <v>38</v>
      </c>
      <c r="L172" s="2" t="s">
        <v>127</v>
      </c>
      <c r="M172" s="2" t="s">
        <v>188</v>
      </c>
      <c r="N172" s="2" t="s">
        <v>318</v>
      </c>
      <c r="O172" s="2" t="s">
        <v>319</v>
      </c>
      <c r="P172" s="3">
        <v>44</v>
      </c>
      <c r="Q172" s="3">
        <v>3</v>
      </c>
      <c r="R172" s="4">
        <f t="shared" si="2"/>
        <v>47</v>
      </c>
      <c r="S172" s="2" t="s">
        <v>31</v>
      </c>
      <c r="T172" s="2" t="s">
        <v>320</v>
      </c>
    </row>
    <row r="173" spans="1:20" x14ac:dyDescent="0.3">
      <c r="A173" s="2" t="s">
        <v>274</v>
      </c>
      <c r="B173" s="2" t="s">
        <v>275</v>
      </c>
      <c r="C173" s="2" t="s">
        <v>22</v>
      </c>
      <c r="D173" s="2" t="s">
        <v>42</v>
      </c>
      <c r="E173" s="2" t="s">
        <v>158</v>
      </c>
      <c r="F173" s="2" t="s">
        <v>152</v>
      </c>
      <c r="G173" s="2" t="s">
        <v>159</v>
      </c>
      <c r="H173" s="2" t="s">
        <v>152</v>
      </c>
      <c r="I173" s="2" t="s">
        <v>317</v>
      </c>
      <c r="J173" s="2" t="s">
        <v>152</v>
      </c>
      <c r="K173" s="2" t="s">
        <v>38</v>
      </c>
      <c r="L173" s="2" t="s">
        <v>127</v>
      </c>
      <c r="M173" s="2" t="s">
        <v>188</v>
      </c>
      <c r="N173" s="2" t="s">
        <v>318</v>
      </c>
      <c r="O173" s="2" t="s">
        <v>319</v>
      </c>
      <c r="P173" s="3">
        <v>44</v>
      </c>
      <c r="Q173" s="3">
        <v>3</v>
      </c>
      <c r="R173" s="4">
        <f t="shared" si="2"/>
        <v>47</v>
      </c>
      <c r="S173" s="2" t="s">
        <v>31</v>
      </c>
      <c r="T173" s="2" t="s">
        <v>320</v>
      </c>
    </row>
    <row r="174" spans="1:20" x14ac:dyDescent="0.3">
      <c r="A174" s="2" t="s">
        <v>274</v>
      </c>
      <c r="B174" s="2" t="s">
        <v>275</v>
      </c>
      <c r="C174" s="2" t="s">
        <v>22</v>
      </c>
      <c r="D174" s="2" t="s">
        <v>42</v>
      </c>
      <c r="E174" s="2" t="s">
        <v>158</v>
      </c>
      <c r="F174" s="2" t="s">
        <v>152</v>
      </c>
      <c r="G174" s="2" t="s">
        <v>159</v>
      </c>
      <c r="H174" s="2" t="s">
        <v>152</v>
      </c>
      <c r="I174" s="2" t="s">
        <v>321</v>
      </c>
      <c r="J174" s="2" t="s">
        <v>152</v>
      </c>
      <c r="K174" s="2" t="s">
        <v>38</v>
      </c>
      <c r="L174" s="2" t="s">
        <v>127</v>
      </c>
      <c r="M174" s="2" t="s">
        <v>313</v>
      </c>
      <c r="N174" s="2" t="s">
        <v>322</v>
      </c>
      <c r="O174" s="2" t="s">
        <v>323</v>
      </c>
      <c r="P174" s="3">
        <v>24</v>
      </c>
      <c r="Q174" s="3">
        <v>20</v>
      </c>
      <c r="R174" s="4">
        <f t="shared" si="2"/>
        <v>44</v>
      </c>
      <c r="S174" s="2" t="s">
        <v>31</v>
      </c>
      <c r="T174" s="2" t="s">
        <v>302</v>
      </c>
    </row>
    <row r="175" spans="1:20" x14ac:dyDescent="0.3">
      <c r="A175" s="2" t="s">
        <v>274</v>
      </c>
      <c r="B175" s="2" t="s">
        <v>275</v>
      </c>
      <c r="C175" s="2" t="s">
        <v>22</v>
      </c>
      <c r="D175" s="2" t="s">
        <v>42</v>
      </c>
      <c r="E175" s="2" t="s">
        <v>158</v>
      </c>
      <c r="F175" s="2" t="s">
        <v>152</v>
      </c>
      <c r="G175" s="2" t="s">
        <v>159</v>
      </c>
      <c r="H175" s="2" t="s">
        <v>152</v>
      </c>
      <c r="I175" s="2" t="s">
        <v>321</v>
      </c>
      <c r="J175" s="2" t="s">
        <v>152</v>
      </c>
      <c r="K175" s="2" t="s">
        <v>38</v>
      </c>
      <c r="L175" s="2" t="s">
        <v>127</v>
      </c>
      <c r="M175" s="2" t="s">
        <v>313</v>
      </c>
      <c r="N175" s="2" t="s">
        <v>322</v>
      </c>
      <c r="O175" s="2" t="s">
        <v>323</v>
      </c>
      <c r="P175" s="3">
        <v>24</v>
      </c>
      <c r="Q175" s="3">
        <v>20</v>
      </c>
      <c r="R175" s="4">
        <f t="shared" si="2"/>
        <v>44</v>
      </c>
      <c r="S175" s="2" t="s">
        <v>31</v>
      </c>
      <c r="T175" s="2" t="s">
        <v>302</v>
      </c>
    </row>
    <row r="176" spans="1:20" x14ac:dyDescent="0.3">
      <c r="A176" s="2" t="s">
        <v>274</v>
      </c>
      <c r="B176" s="2" t="s">
        <v>275</v>
      </c>
      <c r="C176" s="2" t="s">
        <v>22</v>
      </c>
      <c r="D176" s="2" t="s">
        <v>42</v>
      </c>
      <c r="E176" s="2" t="s">
        <v>158</v>
      </c>
      <c r="F176" s="2" t="s">
        <v>152</v>
      </c>
      <c r="G176" s="2" t="s">
        <v>159</v>
      </c>
      <c r="H176" s="2" t="s">
        <v>152</v>
      </c>
      <c r="I176" s="2" t="s">
        <v>324</v>
      </c>
      <c r="J176" s="2" t="s">
        <v>152</v>
      </c>
      <c r="K176" s="2" t="s">
        <v>38</v>
      </c>
      <c r="L176" s="2" t="s">
        <v>127</v>
      </c>
      <c r="M176" s="2" t="s">
        <v>225</v>
      </c>
      <c r="N176" s="2" t="s">
        <v>325</v>
      </c>
      <c r="O176" s="2" t="s">
        <v>326</v>
      </c>
      <c r="P176" s="3">
        <v>19</v>
      </c>
      <c r="Q176" s="3">
        <v>16</v>
      </c>
      <c r="R176" s="4">
        <f t="shared" si="2"/>
        <v>35</v>
      </c>
      <c r="S176" s="2" t="s">
        <v>31</v>
      </c>
      <c r="T176" s="2" t="s">
        <v>302</v>
      </c>
    </row>
    <row r="177" spans="1:20" x14ac:dyDescent="0.3">
      <c r="A177" s="2" t="s">
        <v>274</v>
      </c>
      <c r="B177" s="2" t="s">
        <v>275</v>
      </c>
      <c r="C177" s="2" t="s">
        <v>22</v>
      </c>
      <c r="D177" s="2" t="s">
        <v>42</v>
      </c>
      <c r="E177" s="2" t="s">
        <v>158</v>
      </c>
      <c r="F177" s="2" t="s">
        <v>152</v>
      </c>
      <c r="G177" s="2" t="s">
        <v>159</v>
      </c>
      <c r="H177" s="2" t="s">
        <v>152</v>
      </c>
      <c r="I177" s="2" t="s">
        <v>324</v>
      </c>
      <c r="J177" s="2" t="s">
        <v>152</v>
      </c>
      <c r="K177" s="2" t="s">
        <v>38</v>
      </c>
      <c r="L177" s="2" t="s">
        <v>127</v>
      </c>
      <c r="M177" s="2" t="s">
        <v>225</v>
      </c>
      <c r="N177" s="2" t="s">
        <v>325</v>
      </c>
      <c r="O177" s="2" t="s">
        <v>326</v>
      </c>
      <c r="P177" s="3">
        <v>19</v>
      </c>
      <c r="Q177" s="3">
        <v>16</v>
      </c>
      <c r="R177" s="4">
        <f t="shared" si="2"/>
        <v>35</v>
      </c>
      <c r="S177" s="2" t="s">
        <v>31</v>
      </c>
      <c r="T177" s="2" t="s">
        <v>302</v>
      </c>
    </row>
    <row r="178" spans="1:20" x14ac:dyDescent="0.3">
      <c r="A178" s="2" t="s">
        <v>274</v>
      </c>
      <c r="B178" s="2" t="s">
        <v>275</v>
      </c>
      <c r="C178" s="2" t="s">
        <v>22</v>
      </c>
      <c r="D178" s="2" t="s">
        <v>42</v>
      </c>
      <c r="E178" s="2" t="s">
        <v>158</v>
      </c>
      <c r="F178" s="2" t="s">
        <v>152</v>
      </c>
      <c r="G178" s="2" t="s">
        <v>159</v>
      </c>
      <c r="H178" s="2" t="s">
        <v>152</v>
      </c>
      <c r="I178" s="2" t="s">
        <v>327</v>
      </c>
      <c r="J178" s="2" t="s">
        <v>37</v>
      </c>
      <c r="K178" s="2" t="s">
        <v>38</v>
      </c>
      <c r="L178" s="2" t="s">
        <v>29</v>
      </c>
      <c r="M178" s="2"/>
      <c r="N178" s="2" t="s">
        <v>328</v>
      </c>
      <c r="O178" s="2" t="s">
        <v>329</v>
      </c>
      <c r="P178" s="3">
        <v>41</v>
      </c>
      <c r="Q178" s="3">
        <v>39</v>
      </c>
      <c r="R178" s="4">
        <f t="shared" si="2"/>
        <v>80</v>
      </c>
      <c r="S178" s="2" t="s">
        <v>31</v>
      </c>
      <c r="T178" s="2" t="s">
        <v>302</v>
      </c>
    </row>
    <row r="179" spans="1:20" x14ac:dyDescent="0.3">
      <c r="A179" s="2" t="s">
        <v>274</v>
      </c>
      <c r="B179" s="2" t="s">
        <v>275</v>
      </c>
      <c r="C179" s="2" t="s">
        <v>22</v>
      </c>
      <c r="D179" s="2" t="s">
        <v>42</v>
      </c>
      <c r="E179" s="2" t="s">
        <v>158</v>
      </c>
      <c r="F179" s="2" t="s">
        <v>152</v>
      </c>
      <c r="G179" s="2" t="s">
        <v>159</v>
      </c>
      <c r="H179" s="2" t="s">
        <v>152</v>
      </c>
      <c r="I179" s="2" t="s">
        <v>327</v>
      </c>
      <c r="J179" s="2" t="s">
        <v>37</v>
      </c>
      <c r="K179" s="2" t="s">
        <v>38</v>
      </c>
      <c r="L179" s="2" t="s">
        <v>29</v>
      </c>
      <c r="M179" s="2"/>
      <c r="N179" s="2" t="s">
        <v>328</v>
      </c>
      <c r="O179" s="2" t="s">
        <v>329</v>
      </c>
      <c r="P179" s="3">
        <v>41</v>
      </c>
      <c r="Q179" s="3">
        <v>39</v>
      </c>
      <c r="R179" s="4">
        <f t="shared" si="2"/>
        <v>80</v>
      </c>
      <c r="S179" s="2" t="s">
        <v>31</v>
      </c>
      <c r="T179" s="2" t="s">
        <v>302</v>
      </c>
    </row>
    <row r="180" spans="1:20" x14ac:dyDescent="0.3">
      <c r="A180" s="2" t="s">
        <v>274</v>
      </c>
      <c r="B180" s="2" t="s">
        <v>275</v>
      </c>
      <c r="C180" s="2" t="s">
        <v>22</v>
      </c>
      <c r="D180" s="2" t="s">
        <v>42</v>
      </c>
      <c r="E180" s="2" t="s">
        <v>158</v>
      </c>
      <c r="F180" s="2" t="s">
        <v>152</v>
      </c>
      <c r="G180" s="2" t="s">
        <v>159</v>
      </c>
      <c r="H180" s="2" t="s">
        <v>152</v>
      </c>
      <c r="I180" s="2" t="s">
        <v>327</v>
      </c>
      <c r="J180" s="2" t="s">
        <v>37</v>
      </c>
      <c r="K180" s="2" t="s">
        <v>38</v>
      </c>
      <c r="L180" s="2" t="s">
        <v>29</v>
      </c>
      <c r="M180" s="2"/>
      <c r="N180" s="2" t="s">
        <v>328</v>
      </c>
      <c r="O180" s="2" t="s">
        <v>329</v>
      </c>
      <c r="P180" s="3">
        <v>41</v>
      </c>
      <c r="Q180" s="3">
        <v>39</v>
      </c>
      <c r="R180" s="4">
        <f t="shared" si="2"/>
        <v>80</v>
      </c>
      <c r="S180" s="2" t="s">
        <v>31</v>
      </c>
      <c r="T180" s="2" t="s">
        <v>302</v>
      </c>
    </row>
    <row r="181" spans="1:20" x14ac:dyDescent="0.3">
      <c r="A181" s="2" t="s">
        <v>274</v>
      </c>
      <c r="B181" s="2" t="s">
        <v>275</v>
      </c>
      <c r="C181" s="2" t="s">
        <v>22</v>
      </c>
      <c r="D181" s="2" t="s">
        <v>42</v>
      </c>
      <c r="E181" s="2" t="s">
        <v>158</v>
      </c>
      <c r="F181" s="2" t="s">
        <v>152</v>
      </c>
      <c r="G181" s="2" t="s">
        <v>159</v>
      </c>
      <c r="H181" s="2" t="s">
        <v>152</v>
      </c>
      <c r="I181" s="2" t="s">
        <v>330</v>
      </c>
      <c r="J181" s="2" t="s">
        <v>152</v>
      </c>
      <c r="K181" s="2" t="s">
        <v>38</v>
      </c>
      <c r="L181" s="2" t="s">
        <v>127</v>
      </c>
      <c r="M181" s="2" t="s">
        <v>188</v>
      </c>
      <c r="N181" s="2" t="s">
        <v>331</v>
      </c>
      <c r="O181" s="2" t="s">
        <v>332</v>
      </c>
      <c r="P181" s="3">
        <v>22</v>
      </c>
      <c r="Q181" s="3">
        <v>7</v>
      </c>
      <c r="R181" s="4">
        <f t="shared" si="2"/>
        <v>29</v>
      </c>
      <c r="S181" s="2" t="s">
        <v>31</v>
      </c>
      <c r="T181" s="2" t="s">
        <v>333</v>
      </c>
    </row>
    <row r="182" spans="1:20" x14ac:dyDescent="0.3">
      <c r="A182" s="2" t="s">
        <v>274</v>
      </c>
      <c r="B182" s="2" t="s">
        <v>275</v>
      </c>
      <c r="C182" s="2" t="s">
        <v>22</v>
      </c>
      <c r="D182" s="2" t="s">
        <v>42</v>
      </c>
      <c r="E182" s="2" t="s">
        <v>158</v>
      </c>
      <c r="F182" s="2" t="s">
        <v>152</v>
      </c>
      <c r="G182" s="2" t="s">
        <v>159</v>
      </c>
      <c r="H182" s="2" t="s">
        <v>152</v>
      </c>
      <c r="I182" s="2" t="s">
        <v>330</v>
      </c>
      <c r="J182" s="2" t="s">
        <v>152</v>
      </c>
      <c r="K182" s="2" t="s">
        <v>38</v>
      </c>
      <c r="L182" s="2" t="s">
        <v>127</v>
      </c>
      <c r="M182" s="2" t="s">
        <v>188</v>
      </c>
      <c r="N182" s="2" t="s">
        <v>331</v>
      </c>
      <c r="O182" s="2" t="s">
        <v>332</v>
      </c>
      <c r="P182" s="3">
        <v>22</v>
      </c>
      <c r="Q182" s="3">
        <v>7</v>
      </c>
      <c r="R182" s="4">
        <f t="shared" si="2"/>
        <v>29</v>
      </c>
      <c r="S182" s="2" t="s">
        <v>31</v>
      </c>
      <c r="T182" s="2" t="s">
        <v>333</v>
      </c>
    </row>
    <row r="183" spans="1:20" x14ac:dyDescent="0.3">
      <c r="A183" s="2" t="s">
        <v>274</v>
      </c>
      <c r="B183" s="2" t="s">
        <v>275</v>
      </c>
      <c r="C183" s="2" t="s">
        <v>22</v>
      </c>
      <c r="D183" s="2" t="s">
        <v>42</v>
      </c>
      <c r="E183" s="2" t="s">
        <v>158</v>
      </c>
      <c r="F183" s="2" t="s">
        <v>152</v>
      </c>
      <c r="G183" s="2" t="s">
        <v>159</v>
      </c>
      <c r="H183" s="2" t="s">
        <v>152</v>
      </c>
      <c r="I183" s="2" t="s">
        <v>330</v>
      </c>
      <c r="J183" s="2" t="s">
        <v>152</v>
      </c>
      <c r="K183" s="2" t="s">
        <v>38</v>
      </c>
      <c r="L183" s="2" t="s">
        <v>127</v>
      </c>
      <c r="M183" s="2" t="s">
        <v>188</v>
      </c>
      <c r="N183" s="2" t="s">
        <v>331</v>
      </c>
      <c r="O183" s="2" t="s">
        <v>332</v>
      </c>
      <c r="P183" s="3">
        <v>22</v>
      </c>
      <c r="Q183" s="3">
        <v>7</v>
      </c>
      <c r="R183" s="4">
        <f t="shared" si="2"/>
        <v>29</v>
      </c>
      <c r="S183" s="2" t="s">
        <v>31</v>
      </c>
      <c r="T183" s="2" t="s">
        <v>333</v>
      </c>
    </row>
    <row r="184" spans="1:20" x14ac:dyDescent="0.3">
      <c r="A184" s="2" t="s">
        <v>274</v>
      </c>
      <c r="B184" s="2" t="s">
        <v>275</v>
      </c>
      <c r="C184" s="2" t="s">
        <v>22</v>
      </c>
      <c r="D184" s="2" t="s">
        <v>42</v>
      </c>
      <c r="E184" s="2" t="s">
        <v>158</v>
      </c>
      <c r="F184" s="2" t="s">
        <v>152</v>
      </c>
      <c r="G184" s="2" t="s">
        <v>159</v>
      </c>
      <c r="H184" s="2" t="s">
        <v>152</v>
      </c>
      <c r="I184" s="2" t="s">
        <v>334</v>
      </c>
      <c r="J184" s="2" t="s">
        <v>152</v>
      </c>
      <c r="K184" s="2" t="s">
        <v>38</v>
      </c>
      <c r="L184" s="2" t="s">
        <v>127</v>
      </c>
      <c r="M184" s="2" t="s">
        <v>313</v>
      </c>
      <c r="N184" s="2" t="s">
        <v>335</v>
      </c>
      <c r="O184" s="2" t="s">
        <v>336</v>
      </c>
      <c r="P184" s="3">
        <v>43</v>
      </c>
      <c r="Q184" s="3">
        <v>30</v>
      </c>
      <c r="R184" s="4">
        <f t="shared" si="2"/>
        <v>73</v>
      </c>
      <c r="S184" s="2" t="s">
        <v>31</v>
      </c>
      <c r="T184" s="2" t="s">
        <v>302</v>
      </c>
    </row>
    <row r="185" spans="1:20" x14ac:dyDescent="0.3">
      <c r="A185" s="2" t="s">
        <v>274</v>
      </c>
      <c r="B185" s="2" t="s">
        <v>275</v>
      </c>
      <c r="C185" s="2" t="s">
        <v>22</v>
      </c>
      <c r="D185" s="2" t="s">
        <v>42</v>
      </c>
      <c r="E185" s="2" t="s">
        <v>158</v>
      </c>
      <c r="F185" s="2" t="s">
        <v>152</v>
      </c>
      <c r="G185" s="2" t="s">
        <v>159</v>
      </c>
      <c r="H185" s="2" t="s">
        <v>152</v>
      </c>
      <c r="I185" s="2" t="s">
        <v>334</v>
      </c>
      <c r="J185" s="2" t="s">
        <v>152</v>
      </c>
      <c r="K185" s="2" t="s">
        <v>38</v>
      </c>
      <c r="L185" s="2" t="s">
        <v>127</v>
      </c>
      <c r="M185" s="2" t="s">
        <v>313</v>
      </c>
      <c r="N185" s="2" t="s">
        <v>335</v>
      </c>
      <c r="O185" s="2" t="s">
        <v>336</v>
      </c>
      <c r="P185" s="3">
        <v>43</v>
      </c>
      <c r="Q185" s="3">
        <v>30</v>
      </c>
      <c r="R185" s="4">
        <f t="shared" si="2"/>
        <v>73</v>
      </c>
      <c r="S185" s="2" t="s">
        <v>31</v>
      </c>
      <c r="T185" s="2" t="s">
        <v>302</v>
      </c>
    </row>
    <row r="186" spans="1:20" x14ac:dyDescent="0.3">
      <c r="A186" s="2" t="s">
        <v>274</v>
      </c>
      <c r="B186" s="2" t="s">
        <v>275</v>
      </c>
      <c r="C186" s="2" t="s">
        <v>22</v>
      </c>
      <c r="D186" s="2" t="s">
        <v>42</v>
      </c>
      <c r="E186" s="2" t="s">
        <v>158</v>
      </c>
      <c r="F186" s="2" t="s">
        <v>152</v>
      </c>
      <c r="G186" s="2" t="s">
        <v>159</v>
      </c>
      <c r="H186" s="2" t="s">
        <v>152</v>
      </c>
      <c r="I186" s="2" t="s">
        <v>334</v>
      </c>
      <c r="J186" s="2" t="s">
        <v>152</v>
      </c>
      <c r="K186" s="2" t="s">
        <v>38</v>
      </c>
      <c r="L186" s="2" t="s">
        <v>127</v>
      </c>
      <c r="M186" s="2" t="s">
        <v>313</v>
      </c>
      <c r="N186" s="2" t="s">
        <v>335</v>
      </c>
      <c r="O186" s="2" t="s">
        <v>336</v>
      </c>
      <c r="P186" s="3">
        <v>43</v>
      </c>
      <c r="Q186" s="3">
        <v>30</v>
      </c>
      <c r="R186" s="4">
        <f t="shared" si="2"/>
        <v>73</v>
      </c>
      <c r="S186" s="2" t="s">
        <v>31</v>
      </c>
      <c r="T186" s="2" t="s">
        <v>302</v>
      </c>
    </row>
    <row r="187" spans="1:20" x14ac:dyDescent="0.3">
      <c r="A187" s="2" t="s">
        <v>274</v>
      </c>
      <c r="B187" s="2" t="s">
        <v>275</v>
      </c>
      <c r="C187" s="2" t="s">
        <v>22</v>
      </c>
      <c r="D187" s="2" t="s">
        <v>42</v>
      </c>
      <c r="E187" s="2" t="s">
        <v>158</v>
      </c>
      <c r="F187" s="2" t="s">
        <v>152</v>
      </c>
      <c r="G187" s="2" t="s">
        <v>159</v>
      </c>
      <c r="H187" s="2" t="s">
        <v>152</v>
      </c>
      <c r="I187" s="2" t="s">
        <v>334</v>
      </c>
      <c r="J187" s="2" t="s">
        <v>152</v>
      </c>
      <c r="K187" s="2" t="s">
        <v>38</v>
      </c>
      <c r="L187" s="2" t="s">
        <v>127</v>
      </c>
      <c r="M187" s="2" t="s">
        <v>313</v>
      </c>
      <c r="N187" s="2" t="s">
        <v>335</v>
      </c>
      <c r="O187" s="2" t="s">
        <v>336</v>
      </c>
      <c r="P187" s="3">
        <v>43</v>
      </c>
      <c r="Q187" s="3">
        <v>30</v>
      </c>
      <c r="R187" s="4">
        <f t="shared" si="2"/>
        <v>73</v>
      </c>
      <c r="S187" s="2" t="s">
        <v>31</v>
      </c>
      <c r="T187" s="2" t="s">
        <v>302</v>
      </c>
    </row>
    <row r="188" spans="1:20" x14ac:dyDescent="0.3">
      <c r="A188" s="2" t="s">
        <v>274</v>
      </c>
      <c r="B188" s="2" t="s">
        <v>275</v>
      </c>
      <c r="C188" s="2" t="s">
        <v>22</v>
      </c>
      <c r="D188" s="2" t="s">
        <v>42</v>
      </c>
      <c r="E188" s="2" t="s">
        <v>158</v>
      </c>
      <c r="F188" s="2" t="s">
        <v>152</v>
      </c>
      <c r="G188" s="2" t="s">
        <v>159</v>
      </c>
      <c r="H188" s="2" t="s">
        <v>152</v>
      </c>
      <c r="I188" s="2" t="s">
        <v>334</v>
      </c>
      <c r="J188" s="2" t="s">
        <v>152</v>
      </c>
      <c r="K188" s="2" t="s">
        <v>38</v>
      </c>
      <c r="L188" s="2" t="s">
        <v>127</v>
      </c>
      <c r="M188" s="2" t="s">
        <v>313</v>
      </c>
      <c r="N188" s="2" t="s">
        <v>335</v>
      </c>
      <c r="O188" s="2" t="s">
        <v>336</v>
      </c>
      <c r="P188" s="3">
        <v>43</v>
      </c>
      <c r="Q188" s="3">
        <v>30</v>
      </c>
      <c r="R188" s="4">
        <f t="shared" si="2"/>
        <v>73</v>
      </c>
      <c r="S188" s="2" t="s">
        <v>31</v>
      </c>
      <c r="T188" s="2" t="s">
        <v>302</v>
      </c>
    </row>
    <row r="189" spans="1:20" x14ac:dyDescent="0.3">
      <c r="A189" s="5" t="s">
        <v>337</v>
      </c>
      <c r="B189" s="5" t="s">
        <v>338</v>
      </c>
      <c r="C189" s="5" t="s">
        <v>22</v>
      </c>
      <c r="D189" s="5" t="s">
        <v>42</v>
      </c>
      <c r="E189" s="5" t="s">
        <v>267</v>
      </c>
      <c r="F189" s="5" t="s">
        <v>152</v>
      </c>
      <c r="G189" s="5" t="s">
        <v>159</v>
      </c>
      <c r="H189" s="5" t="s">
        <v>152</v>
      </c>
      <c r="I189" s="5" t="s">
        <v>268</v>
      </c>
      <c r="J189" s="5"/>
      <c r="K189" s="5"/>
      <c r="L189" s="5"/>
      <c r="M189" s="5"/>
      <c r="N189" s="5" t="s">
        <v>269</v>
      </c>
      <c r="O189" s="5"/>
      <c r="P189" s="6"/>
      <c r="Q189" s="6"/>
      <c r="R189" s="7" t="str">
        <f t="shared" si="2"/>
        <v/>
      </c>
      <c r="S189" s="5"/>
      <c r="T189" s="5" t="s">
        <v>270</v>
      </c>
    </row>
    <row r="190" spans="1:20" x14ac:dyDescent="0.3">
      <c r="A190" s="2" t="s">
        <v>337</v>
      </c>
      <c r="B190" s="2" t="s">
        <v>338</v>
      </c>
      <c r="C190" s="2" t="s">
        <v>22</v>
      </c>
      <c r="D190" s="2" t="s">
        <v>42</v>
      </c>
      <c r="E190" s="2" t="s">
        <v>267</v>
      </c>
      <c r="F190" s="2" t="s">
        <v>152</v>
      </c>
      <c r="G190" s="2" t="s">
        <v>159</v>
      </c>
      <c r="H190" s="2" t="s">
        <v>152</v>
      </c>
      <c r="I190" s="2" t="s">
        <v>271</v>
      </c>
      <c r="J190" s="2" t="s">
        <v>152</v>
      </c>
      <c r="K190" s="2" t="s">
        <v>38</v>
      </c>
      <c r="L190" s="2" t="s">
        <v>127</v>
      </c>
      <c r="M190" s="2" t="s">
        <v>272</v>
      </c>
      <c r="N190" s="2" t="s">
        <v>271</v>
      </c>
      <c r="O190" s="2" t="s">
        <v>273</v>
      </c>
      <c r="P190" s="3">
        <v>85</v>
      </c>
      <c r="Q190" s="3">
        <v>85</v>
      </c>
      <c r="R190" s="4">
        <f t="shared" si="2"/>
        <v>170</v>
      </c>
      <c r="S190" s="2" t="s">
        <v>31</v>
      </c>
      <c r="T190" s="2"/>
    </row>
    <row r="191" spans="1:20" x14ac:dyDescent="0.3">
      <c r="A191" s="5" t="s">
        <v>339</v>
      </c>
      <c r="B191" s="5" t="s">
        <v>338</v>
      </c>
      <c r="C191" s="5" t="s">
        <v>22</v>
      </c>
      <c r="D191" s="5" t="s">
        <v>42</v>
      </c>
      <c r="E191" s="5" t="s">
        <v>168</v>
      </c>
      <c r="F191" s="5" t="s">
        <v>152</v>
      </c>
      <c r="G191" s="5" t="s">
        <v>159</v>
      </c>
      <c r="H191" s="5" t="s">
        <v>152</v>
      </c>
      <c r="I191" s="5" t="s">
        <v>268</v>
      </c>
      <c r="J191" s="5"/>
      <c r="K191" s="5"/>
      <c r="L191" s="5"/>
      <c r="M191" s="5"/>
      <c r="N191" s="5" t="s">
        <v>269</v>
      </c>
      <c r="O191" s="5"/>
      <c r="P191" s="6"/>
      <c r="Q191" s="6"/>
      <c r="R191" s="7" t="str">
        <f t="shared" si="2"/>
        <v/>
      </c>
      <c r="S191" s="5"/>
      <c r="T191" s="5" t="s">
        <v>270</v>
      </c>
    </row>
    <row r="192" spans="1:20" x14ac:dyDescent="0.3">
      <c r="A192" s="2" t="s">
        <v>339</v>
      </c>
      <c r="B192" s="2" t="s">
        <v>338</v>
      </c>
      <c r="C192" s="2" t="s">
        <v>22</v>
      </c>
      <c r="D192" s="2" t="s">
        <v>42</v>
      </c>
      <c r="E192" s="2" t="s">
        <v>168</v>
      </c>
      <c r="F192" s="2" t="s">
        <v>152</v>
      </c>
      <c r="G192" s="2" t="s">
        <v>159</v>
      </c>
      <c r="H192" s="2" t="s">
        <v>152</v>
      </c>
      <c r="I192" s="2" t="s">
        <v>271</v>
      </c>
      <c r="J192" s="2" t="s">
        <v>152</v>
      </c>
      <c r="K192" s="2" t="s">
        <v>38</v>
      </c>
      <c r="L192" s="2" t="s">
        <v>127</v>
      </c>
      <c r="M192" s="2" t="s">
        <v>272</v>
      </c>
      <c r="N192" s="2" t="s">
        <v>271</v>
      </c>
      <c r="O192" s="2" t="s">
        <v>273</v>
      </c>
      <c r="P192" s="3">
        <v>85</v>
      </c>
      <c r="Q192" s="3">
        <v>85</v>
      </c>
      <c r="R192" s="4">
        <f t="shared" si="2"/>
        <v>170</v>
      </c>
      <c r="S192" s="2" t="s">
        <v>31</v>
      </c>
      <c r="T192" s="2"/>
    </row>
    <row r="193" spans="1:20" x14ac:dyDescent="0.3">
      <c r="A193" s="2" t="s">
        <v>340</v>
      </c>
      <c r="B193" s="2" t="s">
        <v>21</v>
      </c>
      <c r="C193" s="2" t="s">
        <v>22</v>
      </c>
      <c r="D193" s="2" t="s">
        <v>42</v>
      </c>
      <c r="E193" s="2" t="s">
        <v>24</v>
      </c>
      <c r="F193" s="2" t="s">
        <v>25</v>
      </c>
      <c r="G193" s="2" t="s">
        <v>25</v>
      </c>
      <c r="H193" s="2" t="s">
        <v>26</v>
      </c>
      <c r="I193" s="2" t="s">
        <v>27</v>
      </c>
      <c r="J193" s="2" t="s">
        <v>27</v>
      </c>
      <c r="K193" s="2" t="s">
        <v>28</v>
      </c>
      <c r="L193" s="2" t="s">
        <v>29</v>
      </c>
      <c r="M193" s="2"/>
      <c r="N193" s="2" t="s">
        <v>27</v>
      </c>
      <c r="O193" s="2" t="s">
        <v>30</v>
      </c>
      <c r="P193" s="3">
        <v>876</v>
      </c>
      <c r="Q193" s="3">
        <v>876</v>
      </c>
      <c r="R193" s="4">
        <f t="shared" si="2"/>
        <v>1752</v>
      </c>
      <c r="S193" s="2" t="s">
        <v>31</v>
      </c>
      <c r="T193" s="2"/>
    </row>
    <row r="194" spans="1:20" x14ac:dyDescent="0.3">
      <c r="A194" s="2" t="s">
        <v>340</v>
      </c>
      <c r="B194" s="2" t="s">
        <v>21</v>
      </c>
      <c r="C194" s="2" t="s">
        <v>22</v>
      </c>
      <c r="D194" s="2" t="s">
        <v>42</v>
      </c>
      <c r="E194" s="2" t="s">
        <v>24</v>
      </c>
      <c r="F194" s="2" t="s">
        <v>25</v>
      </c>
      <c r="G194" s="2" t="s">
        <v>25</v>
      </c>
      <c r="H194" s="2" t="s">
        <v>26</v>
      </c>
      <c r="I194" s="2" t="s">
        <v>43</v>
      </c>
      <c r="J194" s="2" t="s">
        <v>44</v>
      </c>
      <c r="K194" s="2" t="s">
        <v>45</v>
      </c>
      <c r="L194" s="2" t="s">
        <v>29</v>
      </c>
      <c r="M194" s="2"/>
      <c r="N194" s="2" t="s">
        <v>43</v>
      </c>
      <c r="O194" s="2" t="s">
        <v>46</v>
      </c>
      <c r="P194" s="3">
        <v>612</v>
      </c>
      <c r="Q194" s="3">
        <v>612</v>
      </c>
      <c r="R194" s="4">
        <f t="shared" ref="R194:R257" si="3">IF(P194="","",P194+Q194)</f>
        <v>1224</v>
      </c>
      <c r="S194" s="2" t="s">
        <v>31</v>
      </c>
      <c r="T194" s="2"/>
    </row>
    <row r="195" spans="1:20" x14ac:dyDescent="0.3">
      <c r="A195" s="2" t="s">
        <v>340</v>
      </c>
      <c r="B195" s="2" t="s">
        <v>21</v>
      </c>
      <c r="C195" s="2" t="s">
        <v>22</v>
      </c>
      <c r="D195" s="2" t="s">
        <v>42</v>
      </c>
      <c r="E195" s="2" t="s">
        <v>24</v>
      </c>
      <c r="F195" s="2" t="s">
        <v>25</v>
      </c>
      <c r="G195" s="2" t="s">
        <v>25</v>
      </c>
      <c r="H195" s="2" t="s">
        <v>26</v>
      </c>
      <c r="I195" s="2" t="s">
        <v>47</v>
      </c>
      <c r="J195" s="2" t="s">
        <v>48</v>
      </c>
      <c r="K195" s="2" t="s">
        <v>45</v>
      </c>
      <c r="L195" s="2" t="s">
        <v>29</v>
      </c>
      <c r="M195" s="2"/>
      <c r="N195" s="2" t="s">
        <v>47</v>
      </c>
      <c r="O195" s="2" t="s">
        <v>49</v>
      </c>
      <c r="P195" s="3">
        <v>578</v>
      </c>
      <c r="Q195" s="3">
        <v>578</v>
      </c>
      <c r="R195" s="4">
        <f t="shared" si="3"/>
        <v>1156</v>
      </c>
      <c r="S195" s="2" t="s">
        <v>31</v>
      </c>
      <c r="T195" s="2"/>
    </row>
    <row r="196" spans="1:20" x14ac:dyDescent="0.3">
      <c r="A196" s="2" t="s">
        <v>340</v>
      </c>
      <c r="B196" s="2" t="s">
        <v>21</v>
      </c>
      <c r="C196" s="2" t="s">
        <v>22</v>
      </c>
      <c r="D196" s="2" t="s">
        <v>42</v>
      </c>
      <c r="E196" s="2" t="s">
        <v>24</v>
      </c>
      <c r="F196" s="2" t="s">
        <v>25</v>
      </c>
      <c r="G196" s="2" t="s">
        <v>25</v>
      </c>
      <c r="H196" s="2" t="s">
        <v>26</v>
      </c>
      <c r="I196" s="2" t="s">
        <v>50</v>
      </c>
      <c r="J196" s="2" t="s">
        <v>50</v>
      </c>
      <c r="K196" s="2" t="s">
        <v>28</v>
      </c>
      <c r="L196" s="2" t="s">
        <v>29</v>
      </c>
      <c r="M196" s="2"/>
      <c r="N196" s="2" t="s">
        <v>50</v>
      </c>
      <c r="O196" s="2" t="s">
        <v>51</v>
      </c>
      <c r="P196" s="3">
        <v>787</v>
      </c>
      <c r="Q196" s="3">
        <v>787</v>
      </c>
      <c r="R196" s="4">
        <f t="shared" si="3"/>
        <v>1574</v>
      </c>
      <c r="S196" s="2" t="s">
        <v>31</v>
      </c>
      <c r="T196" s="2"/>
    </row>
    <row r="197" spans="1:20" x14ac:dyDescent="0.3">
      <c r="A197" s="2" t="s">
        <v>340</v>
      </c>
      <c r="B197" s="2" t="s">
        <v>21</v>
      </c>
      <c r="C197" s="2" t="s">
        <v>22</v>
      </c>
      <c r="D197" s="2" t="s">
        <v>42</v>
      </c>
      <c r="E197" s="2" t="s">
        <v>24</v>
      </c>
      <c r="F197" s="2" t="s">
        <v>25</v>
      </c>
      <c r="G197" s="2" t="s">
        <v>25</v>
      </c>
      <c r="H197" s="2" t="s">
        <v>26</v>
      </c>
      <c r="I197" s="2" t="s">
        <v>52</v>
      </c>
      <c r="J197" s="2" t="s">
        <v>53</v>
      </c>
      <c r="K197" s="2" t="s">
        <v>54</v>
      </c>
      <c r="L197" s="2" t="s">
        <v>29</v>
      </c>
      <c r="M197" s="2"/>
      <c r="N197" s="2" t="s">
        <v>52</v>
      </c>
      <c r="O197" s="2" t="s">
        <v>55</v>
      </c>
      <c r="P197" s="3">
        <v>846</v>
      </c>
      <c r="Q197" s="3">
        <v>846</v>
      </c>
      <c r="R197" s="4">
        <f t="shared" si="3"/>
        <v>1692</v>
      </c>
      <c r="S197" s="2" t="s">
        <v>31</v>
      </c>
      <c r="T197" s="2"/>
    </row>
    <row r="198" spans="1:20" x14ac:dyDescent="0.3">
      <c r="A198" s="2" t="s">
        <v>340</v>
      </c>
      <c r="B198" s="2" t="s">
        <v>21</v>
      </c>
      <c r="C198" s="2" t="s">
        <v>22</v>
      </c>
      <c r="D198" s="2" t="s">
        <v>42</v>
      </c>
      <c r="E198" s="2" t="s">
        <v>24</v>
      </c>
      <c r="F198" s="2" t="s">
        <v>25</v>
      </c>
      <c r="G198" s="2" t="s">
        <v>25</v>
      </c>
      <c r="H198" s="2" t="s">
        <v>26</v>
      </c>
      <c r="I198" s="2" t="s">
        <v>56</v>
      </c>
      <c r="J198" s="2" t="s">
        <v>53</v>
      </c>
      <c r="K198" s="2" t="s">
        <v>54</v>
      </c>
      <c r="L198" s="2" t="s">
        <v>29</v>
      </c>
      <c r="M198" s="2"/>
      <c r="N198" s="2" t="s">
        <v>56</v>
      </c>
      <c r="O198" s="2" t="s">
        <v>57</v>
      </c>
      <c r="P198" s="3">
        <v>1090</v>
      </c>
      <c r="Q198" s="3">
        <v>1090</v>
      </c>
      <c r="R198" s="4">
        <f t="shared" si="3"/>
        <v>2180</v>
      </c>
      <c r="S198" s="2" t="s">
        <v>31</v>
      </c>
      <c r="T198" s="2"/>
    </row>
    <row r="199" spans="1:20" x14ac:dyDescent="0.3">
      <c r="A199" s="2" t="s">
        <v>340</v>
      </c>
      <c r="B199" s="2" t="s">
        <v>21</v>
      </c>
      <c r="C199" s="2" t="s">
        <v>22</v>
      </c>
      <c r="D199" s="2" t="s">
        <v>42</v>
      </c>
      <c r="E199" s="2" t="s">
        <v>24</v>
      </c>
      <c r="F199" s="2" t="s">
        <v>25</v>
      </c>
      <c r="G199" s="2" t="s">
        <v>25</v>
      </c>
      <c r="H199" s="2" t="s">
        <v>26</v>
      </c>
      <c r="I199" s="2" t="s">
        <v>58</v>
      </c>
      <c r="J199" s="2" t="s">
        <v>48</v>
      </c>
      <c r="K199" s="2" t="s">
        <v>45</v>
      </c>
      <c r="L199" s="2" t="s">
        <v>29</v>
      </c>
      <c r="M199" s="2"/>
      <c r="N199" s="2" t="s">
        <v>58</v>
      </c>
      <c r="O199" s="2" t="s">
        <v>59</v>
      </c>
      <c r="P199" s="3">
        <v>527</v>
      </c>
      <c r="Q199" s="3">
        <v>527</v>
      </c>
      <c r="R199" s="4">
        <f t="shared" si="3"/>
        <v>1054</v>
      </c>
      <c r="S199" s="2" t="s">
        <v>31</v>
      </c>
      <c r="T199" s="2"/>
    </row>
    <row r="200" spans="1:20" x14ac:dyDescent="0.3">
      <c r="A200" s="2" t="s">
        <v>340</v>
      </c>
      <c r="B200" s="2" t="s">
        <v>21</v>
      </c>
      <c r="C200" s="2" t="s">
        <v>22</v>
      </c>
      <c r="D200" s="2" t="s">
        <v>42</v>
      </c>
      <c r="E200" s="2" t="s">
        <v>24</v>
      </c>
      <c r="F200" s="2" t="s">
        <v>25</v>
      </c>
      <c r="G200" s="2" t="s">
        <v>25</v>
      </c>
      <c r="H200" s="2" t="s">
        <v>26</v>
      </c>
      <c r="I200" s="2" t="s">
        <v>60</v>
      </c>
      <c r="J200" s="2" t="s">
        <v>60</v>
      </c>
      <c r="K200" s="2" t="s">
        <v>54</v>
      </c>
      <c r="L200" s="2" t="s">
        <v>29</v>
      </c>
      <c r="M200" s="2"/>
      <c r="N200" s="2" t="s">
        <v>60</v>
      </c>
      <c r="O200" s="2" t="s">
        <v>61</v>
      </c>
      <c r="P200" s="3">
        <v>1120</v>
      </c>
      <c r="Q200" s="3">
        <v>1120</v>
      </c>
      <c r="R200" s="4">
        <f t="shared" si="3"/>
        <v>2240</v>
      </c>
      <c r="S200" s="2" t="s">
        <v>31</v>
      </c>
      <c r="T200" s="2"/>
    </row>
    <row r="201" spans="1:20" x14ac:dyDescent="0.3">
      <c r="A201" s="2" t="s">
        <v>340</v>
      </c>
      <c r="B201" s="2" t="s">
        <v>21</v>
      </c>
      <c r="C201" s="2" t="s">
        <v>22</v>
      </c>
      <c r="D201" s="2" t="s">
        <v>42</v>
      </c>
      <c r="E201" s="2" t="s">
        <v>24</v>
      </c>
      <c r="F201" s="2" t="s">
        <v>25</v>
      </c>
      <c r="G201" s="2" t="s">
        <v>25</v>
      </c>
      <c r="H201" s="2" t="s">
        <v>26</v>
      </c>
      <c r="I201" s="2" t="s">
        <v>62</v>
      </c>
      <c r="J201" s="2" t="s">
        <v>48</v>
      </c>
      <c r="K201" s="2" t="s">
        <v>45</v>
      </c>
      <c r="L201" s="2" t="s">
        <v>29</v>
      </c>
      <c r="M201" s="2"/>
      <c r="N201" s="2" t="s">
        <v>62</v>
      </c>
      <c r="O201" s="2" t="s">
        <v>63</v>
      </c>
      <c r="P201" s="3">
        <v>535</v>
      </c>
      <c r="Q201" s="3">
        <v>535</v>
      </c>
      <c r="R201" s="4">
        <f t="shared" si="3"/>
        <v>1070</v>
      </c>
      <c r="S201" s="2" t="s">
        <v>31</v>
      </c>
      <c r="T201" s="2"/>
    </row>
    <row r="202" spans="1:20" x14ac:dyDescent="0.3">
      <c r="A202" s="2" t="s">
        <v>340</v>
      </c>
      <c r="B202" s="2" t="s">
        <v>21</v>
      </c>
      <c r="C202" s="2" t="s">
        <v>22</v>
      </c>
      <c r="D202" s="2" t="s">
        <v>42</v>
      </c>
      <c r="E202" s="2" t="s">
        <v>24</v>
      </c>
      <c r="F202" s="2" t="s">
        <v>25</v>
      </c>
      <c r="G202" s="2" t="s">
        <v>25</v>
      </c>
      <c r="H202" s="2" t="s">
        <v>26</v>
      </c>
      <c r="I202" s="2" t="s">
        <v>64</v>
      </c>
      <c r="J202" s="2" t="s">
        <v>65</v>
      </c>
      <c r="K202" s="2" t="s">
        <v>28</v>
      </c>
      <c r="L202" s="2" t="s">
        <v>29</v>
      </c>
      <c r="M202" s="2"/>
      <c r="N202" s="2" t="s">
        <v>64</v>
      </c>
      <c r="O202" s="2" t="s">
        <v>66</v>
      </c>
      <c r="P202" s="3">
        <v>713</v>
      </c>
      <c r="Q202" s="3">
        <v>713</v>
      </c>
      <c r="R202" s="4">
        <f t="shared" si="3"/>
        <v>1426</v>
      </c>
      <c r="S202" s="2" t="s">
        <v>31</v>
      </c>
      <c r="T202" s="2"/>
    </row>
    <row r="203" spans="1:20" x14ac:dyDescent="0.3">
      <c r="A203" s="2" t="s">
        <v>340</v>
      </c>
      <c r="B203" s="2" t="s">
        <v>21</v>
      </c>
      <c r="C203" s="2" t="s">
        <v>22</v>
      </c>
      <c r="D203" s="2" t="s">
        <v>42</v>
      </c>
      <c r="E203" s="2" t="s">
        <v>24</v>
      </c>
      <c r="F203" s="2" t="s">
        <v>25</v>
      </c>
      <c r="G203" s="2" t="s">
        <v>25</v>
      </c>
      <c r="H203" s="2" t="s">
        <v>26</v>
      </c>
      <c r="I203" s="2" t="s">
        <v>67</v>
      </c>
      <c r="J203" s="2" t="s">
        <v>68</v>
      </c>
      <c r="K203" s="2" t="s">
        <v>28</v>
      </c>
      <c r="L203" s="2" t="s">
        <v>29</v>
      </c>
      <c r="M203" s="2"/>
      <c r="N203" s="2" t="s">
        <v>67</v>
      </c>
      <c r="O203" s="2" t="s">
        <v>69</v>
      </c>
      <c r="P203" s="3">
        <v>721</v>
      </c>
      <c r="Q203" s="3">
        <v>721</v>
      </c>
      <c r="R203" s="4">
        <f t="shared" si="3"/>
        <v>1442</v>
      </c>
      <c r="S203" s="2" t="s">
        <v>31</v>
      </c>
      <c r="T203" s="2"/>
    </row>
    <row r="204" spans="1:20" x14ac:dyDescent="0.3">
      <c r="A204" s="2" t="s">
        <v>340</v>
      </c>
      <c r="B204" s="2" t="s">
        <v>21</v>
      </c>
      <c r="C204" s="2" t="s">
        <v>22</v>
      </c>
      <c r="D204" s="2" t="s">
        <v>42</v>
      </c>
      <c r="E204" s="2" t="s">
        <v>24</v>
      </c>
      <c r="F204" s="2" t="s">
        <v>25</v>
      </c>
      <c r="G204" s="2" t="s">
        <v>25</v>
      </c>
      <c r="H204" s="2" t="s">
        <v>26</v>
      </c>
      <c r="I204" s="2" t="s">
        <v>70</v>
      </c>
      <c r="J204" s="2" t="s">
        <v>70</v>
      </c>
      <c r="K204" s="2" t="s">
        <v>54</v>
      </c>
      <c r="L204" s="2" t="s">
        <v>29</v>
      </c>
      <c r="M204" s="2"/>
      <c r="N204" s="2" t="s">
        <v>70</v>
      </c>
      <c r="O204" s="2" t="s">
        <v>71</v>
      </c>
      <c r="P204" s="3">
        <v>949</v>
      </c>
      <c r="Q204" s="3">
        <v>949</v>
      </c>
      <c r="R204" s="4">
        <f t="shared" si="3"/>
        <v>1898</v>
      </c>
      <c r="S204" s="2" t="s">
        <v>31</v>
      </c>
      <c r="T204" s="2"/>
    </row>
    <row r="205" spans="1:20" x14ac:dyDescent="0.3">
      <c r="A205" s="2" t="s">
        <v>340</v>
      </c>
      <c r="B205" s="2" t="s">
        <v>21</v>
      </c>
      <c r="C205" s="2" t="s">
        <v>22</v>
      </c>
      <c r="D205" s="2" t="s">
        <v>42</v>
      </c>
      <c r="E205" s="2" t="s">
        <v>24</v>
      </c>
      <c r="F205" s="2" t="s">
        <v>25</v>
      </c>
      <c r="G205" s="2" t="s">
        <v>25</v>
      </c>
      <c r="H205" s="2" t="s">
        <v>26</v>
      </c>
      <c r="I205" s="2" t="s">
        <v>72</v>
      </c>
      <c r="J205" s="2" t="s">
        <v>73</v>
      </c>
      <c r="K205" s="2" t="s">
        <v>54</v>
      </c>
      <c r="L205" s="2" t="s">
        <v>29</v>
      </c>
      <c r="M205" s="2"/>
      <c r="N205" s="2" t="s">
        <v>72</v>
      </c>
      <c r="O205" s="2" t="s">
        <v>74</v>
      </c>
      <c r="P205" s="3">
        <v>1258</v>
      </c>
      <c r="Q205" s="3">
        <v>1258</v>
      </c>
      <c r="R205" s="4">
        <f t="shared" si="3"/>
        <v>2516</v>
      </c>
      <c r="S205" s="2" t="s">
        <v>31</v>
      </c>
      <c r="T205" s="2"/>
    </row>
    <row r="206" spans="1:20" x14ac:dyDescent="0.3">
      <c r="A206" s="2" t="s">
        <v>340</v>
      </c>
      <c r="B206" s="2" t="s">
        <v>21</v>
      </c>
      <c r="C206" s="2" t="s">
        <v>22</v>
      </c>
      <c r="D206" s="2" t="s">
        <v>42</v>
      </c>
      <c r="E206" s="2" t="s">
        <v>24</v>
      </c>
      <c r="F206" s="2" t="s">
        <v>25</v>
      </c>
      <c r="G206" s="2" t="s">
        <v>25</v>
      </c>
      <c r="H206" s="2" t="s">
        <v>26</v>
      </c>
      <c r="I206" s="2" t="s">
        <v>65</v>
      </c>
      <c r="J206" s="2" t="s">
        <v>65</v>
      </c>
      <c r="K206" s="2" t="s">
        <v>28</v>
      </c>
      <c r="L206" s="2" t="s">
        <v>29</v>
      </c>
      <c r="M206" s="2"/>
      <c r="N206" s="2" t="s">
        <v>65</v>
      </c>
      <c r="O206" s="2" t="s">
        <v>75</v>
      </c>
      <c r="P206" s="3">
        <v>635</v>
      </c>
      <c r="Q206" s="3">
        <v>635</v>
      </c>
      <c r="R206" s="4">
        <f t="shared" si="3"/>
        <v>1270</v>
      </c>
      <c r="S206" s="2" t="s">
        <v>31</v>
      </c>
      <c r="T206" s="2"/>
    </row>
    <row r="207" spans="1:20" x14ac:dyDescent="0.3">
      <c r="A207" s="2" t="s">
        <v>340</v>
      </c>
      <c r="B207" s="2" t="s">
        <v>21</v>
      </c>
      <c r="C207" s="2" t="s">
        <v>22</v>
      </c>
      <c r="D207" s="2" t="s">
        <v>42</v>
      </c>
      <c r="E207" s="2" t="s">
        <v>24</v>
      </c>
      <c r="F207" s="2" t="s">
        <v>25</v>
      </c>
      <c r="G207" s="2" t="s">
        <v>25</v>
      </c>
      <c r="H207" s="2" t="s">
        <v>26</v>
      </c>
      <c r="I207" s="2" t="s">
        <v>76</v>
      </c>
      <c r="J207" s="2" t="s">
        <v>77</v>
      </c>
      <c r="K207" s="2" t="s">
        <v>45</v>
      </c>
      <c r="L207" s="2" t="s">
        <v>29</v>
      </c>
      <c r="M207" s="2"/>
      <c r="N207" s="2" t="s">
        <v>76</v>
      </c>
      <c r="O207" s="2" t="s">
        <v>78</v>
      </c>
      <c r="P207" s="3">
        <v>858</v>
      </c>
      <c r="Q207" s="3">
        <v>858</v>
      </c>
      <c r="R207" s="4">
        <f t="shared" si="3"/>
        <v>1716</v>
      </c>
      <c r="S207" s="2" t="s">
        <v>31</v>
      </c>
      <c r="T207" s="2"/>
    </row>
    <row r="208" spans="1:20" x14ac:dyDescent="0.3">
      <c r="A208" s="2" t="s">
        <v>340</v>
      </c>
      <c r="B208" s="2" t="s">
        <v>21</v>
      </c>
      <c r="C208" s="2" t="s">
        <v>22</v>
      </c>
      <c r="D208" s="2" t="s">
        <v>42</v>
      </c>
      <c r="E208" s="2" t="s">
        <v>24</v>
      </c>
      <c r="F208" s="2" t="s">
        <v>25</v>
      </c>
      <c r="G208" s="2" t="s">
        <v>25</v>
      </c>
      <c r="H208" s="2" t="s">
        <v>26</v>
      </c>
      <c r="I208" s="2" t="s">
        <v>79</v>
      </c>
      <c r="J208" s="2" t="s">
        <v>65</v>
      </c>
      <c r="K208" s="2" t="s">
        <v>28</v>
      </c>
      <c r="L208" s="2" t="s">
        <v>29</v>
      </c>
      <c r="M208" s="2"/>
      <c r="N208" s="2" t="s">
        <v>79</v>
      </c>
      <c r="O208" s="2" t="s">
        <v>80</v>
      </c>
      <c r="P208" s="3">
        <v>759</v>
      </c>
      <c r="Q208" s="3">
        <v>759</v>
      </c>
      <c r="R208" s="4">
        <f t="shared" si="3"/>
        <v>1518</v>
      </c>
      <c r="S208" s="2" t="s">
        <v>31</v>
      </c>
      <c r="T208" s="2"/>
    </row>
    <row r="209" spans="1:20" x14ac:dyDescent="0.3">
      <c r="A209" s="2" t="s">
        <v>340</v>
      </c>
      <c r="B209" s="2" t="s">
        <v>21</v>
      </c>
      <c r="C209" s="2" t="s">
        <v>22</v>
      </c>
      <c r="D209" s="2" t="s">
        <v>42</v>
      </c>
      <c r="E209" s="2" t="s">
        <v>24</v>
      </c>
      <c r="F209" s="2" t="s">
        <v>25</v>
      </c>
      <c r="G209" s="2" t="s">
        <v>25</v>
      </c>
      <c r="H209" s="2" t="s">
        <v>26</v>
      </c>
      <c r="I209" s="2" t="s">
        <v>81</v>
      </c>
      <c r="J209" s="2" t="s">
        <v>82</v>
      </c>
      <c r="K209" s="2" t="s">
        <v>45</v>
      </c>
      <c r="L209" s="2" t="s">
        <v>29</v>
      </c>
      <c r="M209" s="2"/>
      <c r="N209" s="2" t="s">
        <v>81</v>
      </c>
      <c r="O209" s="2" t="s">
        <v>83</v>
      </c>
      <c r="P209" s="3">
        <v>716</v>
      </c>
      <c r="Q209" s="3">
        <v>716</v>
      </c>
      <c r="R209" s="4">
        <f t="shared" si="3"/>
        <v>1432</v>
      </c>
      <c r="S209" s="2" t="s">
        <v>31</v>
      </c>
      <c r="T209" s="2"/>
    </row>
    <row r="210" spans="1:20" x14ac:dyDescent="0.3">
      <c r="A210" s="2" t="s">
        <v>340</v>
      </c>
      <c r="B210" s="2" t="s">
        <v>21</v>
      </c>
      <c r="C210" s="2" t="s">
        <v>22</v>
      </c>
      <c r="D210" s="2" t="s">
        <v>42</v>
      </c>
      <c r="E210" s="2" t="s">
        <v>24</v>
      </c>
      <c r="F210" s="2" t="s">
        <v>25</v>
      </c>
      <c r="G210" s="2" t="s">
        <v>25</v>
      </c>
      <c r="H210" s="2" t="s">
        <v>26</v>
      </c>
      <c r="I210" s="2" t="s">
        <v>84</v>
      </c>
      <c r="J210" s="2" t="s">
        <v>35</v>
      </c>
      <c r="K210" s="2" t="s">
        <v>45</v>
      </c>
      <c r="L210" s="2" t="s">
        <v>29</v>
      </c>
      <c r="M210" s="2"/>
      <c r="N210" s="2" t="s">
        <v>84</v>
      </c>
      <c r="O210" s="2" t="s">
        <v>85</v>
      </c>
      <c r="P210" s="3">
        <v>733</v>
      </c>
      <c r="Q210" s="3">
        <v>733</v>
      </c>
      <c r="R210" s="4">
        <f t="shared" si="3"/>
        <v>1466</v>
      </c>
      <c r="S210" s="2" t="s">
        <v>31</v>
      </c>
      <c r="T210" s="2"/>
    </row>
    <row r="211" spans="1:20" x14ac:dyDescent="0.3">
      <c r="A211" s="2" t="s">
        <v>340</v>
      </c>
      <c r="B211" s="2" t="s">
        <v>21</v>
      </c>
      <c r="C211" s="2" t="s">
        <v>22</v>
      </c>
      <c r="D211" s="2" t="s">
        <v>42</v>
      </c>
      <c r="E211" s="2" t="s">
        <v>24</v>
      </c>
      <c r="F211" s="2" t="s">
        <v>25</v>
      </c>
      <c r="G211" s="2" t="s">
        <v>25</v>
      </c>
      <c r="H211" s="2" t="s">
        <v>26</v>
      </c>
      <c r="I211" s="2" t="s">
        <v>34</v>
      </c>
      <c r="J211" s="2" t="s">
        <v>35</v>
      </c>
      <c r="K211" s="2" t="s">
        <v>45</v>
      </c>
      <c r="L211" s="2" t="s">
        <v>29</v>
      </c>
      <c r="M211" s="2"/>
      <c r="N211" s="2" t="s">
        <v>34</v>
      </c>
      <c r="O211" s="2" t="s">
        <v>86</v>
      </c>
      <c r="P211" s="3">
        <v>654</v>
      </c>
      <c r="Q211" s="3">
        <v>654</v>
      </c>
      <c r="R211" s="4">
        <f t="shared" si="3"/>
        <v>1308</v>
      </c>
      <c r="S211" s="2" t="s">
        <v>31</v>
      </c>
      <c r="T211" s="2"/>
    </row>
    <row r="212" spans="1:20" x14ac:dyDescent="0.3">
      <c r="A212" s="2" t="s">
        <v>340</v>
      </c>
      <c r="B212" s="2" t="s">
        <v>21</v>
      </c>
      <c r="C212" s="2" t="s">
        <v>22</v>
      </c>
      <c r="D212" s="2" t="s">
        <v>42</v>
      </c>
      <c r="E212" s="2" t="s">
        <v>24</v>
      </c>
      <c r="F212" s="2" t="s">
        <v>25</v>
      </c>
      <c r="G212" s="2" t="s">
        <v>25</v>
      </c>
      <c r="H212" s="2" t="s">
        <v>26</v>
      </c>
      <c r="I212" s="2" t="s">
        <v>87</v>
      </c>
      <c r="J212" s="2" t="s">
        <v>48</v>
      </c>
      <c r="K212" s="2" t="s">
        <v>45</v>
      </c>
      <c r="L212" s="2" t="s">
        <v>29</v>
      </c>
      <c r="M212" s="2"/>
      <c r="N212" s="2" t="s">
        <v>87</v>
      </c>
      <c r="O212" s="2" t="s">
        <v>88</v>
      </c>
      <c r="P212" s="3">
        <v>420</v>
      </c>
      <c r="Q212" s="3">
        <v>420</v>
      </c>
      <c r="R212" s="4">
        <f t="shared" si="3"/>
        <v>840</v>
      </c>
      <c r="S212" s="2" t="s">
        <v>31</v>
      </c>
      <c r="T212" s="2"/>
    </row>
    <row r="213" spans="1:20" x14ac:dyDescent="0.3">
      <c r="A213" s="2" t="s">
        <v>340</v>
      </c>
      <c r="B213" s="2" t="s">
        <v>21</v>
      </c>
      <c r="C213" s="2" t="s">
        <v>22</v>
      </c>
      <c r="D213" s="2" t="s">
        <v>42</v>
      </c>
      <c r="E213" s="2" t="s">
        <v>24</v>
      </c>
      <c r="F213" s="2" t="s">
        <v>25</v>
      </c>
      <c r="G213" s="2" t="s">
        <v>25</v>
      </c>
      <c r="H213" s="2" t="s">
        <v>26</v>
      </c>
      <c r="I213" s="2" t="s">
        <v>89</v>
      </c>
      <c r="J213" s="2" t="s">
        <v>90</v>
      </c>
      <c r="K213" s="2" t="s">
        <v>45</v>
      </c>
      <c r="L213" s="2" t="s">
        <v>29</v>
      </c>
      <c r="M213" s="2"/>
      <c r="N213" s="2" t="s">
        <v>89</v>
      </c>
      <c r="O213" s="2" t="s">
        <v>91</v>
      </c>
      <c r="P213" s="3">
        <v>441</v>
      </c>
      <c r="Q213" s="3">
        <v>441</v>
      </c>
      <c r="R213" s="4">
        <f t="shared" si="3"/>
        <v>882</v>
      </c>
      <c r="S213" s="2" t="s">
        <v>31</v>
      </c>
      <c r="T213" s="2"/>
    </row>
    <row r="214" spans="1:20" x14ac:dyDescent="0.3">
      <c r="A214" s="2" t="s">
        <v>340</v>
      </c>
      <c r="B214" s="2" t="s">
        <v>21</v>
      </c>
      <c r="C214" s="2" t="s">
        <v>22</v>
      </c>
      <c r="D214" s="2" t="s">
        <v>42</v>
      </c>
      <c r="E214" s="2" t="s">
        <v>24</v>
      </c>
      <c r="F214" s="2" t="s">
        <v>25</v>
      </c>
      <c r="G214" s="2" t="s">
        <v>25</v>
      </c>
      <c r="H214" s="2" t="s">
        <v>26</v>
      </c>
      <c r="I214" s="2" t="s">
        <v>92</v>
      </c>
      <c r="J214" s="2" t="s">
        <v>93</v>
      </c>
      <c r="K214" s="2" t="s">
        <v>28</v>
      </c>
      <c r="L214" s="2" t="s">
        <v>29</v>
      </c>
      <c r="M214" s="2"/>
      <c r="N214" s="2" t="s">
        <v>92</v>
      </c>
      <c r="O214" s="2" t="s">
        <v>94</v>
      </c>
      <c r="P214" s="3">
        <v>744</v>
      </c>
      <c r="Q214" s="3">
        <v>744</v>
      </c>
      <c r="R214" s="4">
        <f t="shared" si="3"/>
        <v>1488</v>
      </c>
      <c r="S214" s="2" t="s">
        <v>31</v>
      </c>
      <c r="T214" s="2"/>
    </row>
    <row r="215" spans="1:20" x14ac:dyDescent="0.3">
      <c r="A215" s="2" t="s">
        <v>340</v>
      </c>
      <c r="B215" s="2" t="s">
        <v>21</v>
      </c>
      <c r="C215" s="2" t="s">
        <v>22</v>
      </c>
      <c r="D215" s="2" t="s">
        <v>42</v>
      </c>
      <c r="E215" s="2" t="s">
        <v>24</v>
      </c>
      <c r="F215" s="2" t="s">
        <v>25</v>
      </c>
      <c r="G215" s="2" t="s">
        <v>25</v>
      </c>
      <c r="H215" s="2" t="s">
        <v>26</v>
      </c>
      <c r="I215" s="2" t="s">
        <v>95</v>
      </c>
      <c r="J215" s="2" t="s">
        <v>90</v>
      </c>
      <c r="K215" s="2" t="s">
        <v>45</v>
      </c>
      <c r="L215" s="2" t="s">
        <v>29</v>
      </c>
      <c r="M215" s="2"/>
      <c r="N215" s="2" t="s">
        <v>95</v>
      </c>
      <c r="O215" s="2" t="s">
        <v>96</v>
      </c>
      <c r="P215" s="3">
        <v>318</v>
      </c>
      <c r="Q215" s="3">
        <v>318</v>
      </c>
      <c r="R215" s="4">
        <f t="shared" si="3"/>
        <v>636</v>
      </c>
      <c r="S215" s="2" t="s">
        <v>31</v>
      </c>
      <c r="T215" s="2"/>
    </row>
    <row r="216" spans="1:20" x14ac:dyDescent="0.3">
      <c r="A216" s="2" t="s">
        <v>340</v>
      </c>
      <c r="B216" s="2" t="s">
        <v>21</v>
      </c>
      <c r="C216" s="2" t="s">
        <v>22</v>
      </c>
      <c r="D216" s="2" t="s">
        <v>42</v>
      </c>
      <c r="E216" s="2" t="s">
        <v>24</v>
      </c>
      <c r="F216" s="2" t="s">
        <v>25</v>
      </c>
      <c r="G216" s="2" t="s">
        <v>25</v>
      </c>
      <c r="H216" s="2" t="s">
        <v>26</v>
      </c>
      <c r="I216" s="2" t="s">
        <v>97</v>
      </c>
      <c r="J216" s="2" t="s">
        <v>53</v>
      </c>
      <c r="K216" s="2" t="s">
        <v>54</v>
      </c>
      <c r="L216" s="2" t="s">
        <v>29</v>
      </c>
      <c r="M216" s="2"/>
      <c r="N216" s="2" t="s">
        <v>97</v>
      </c>
      <c r="O216" s="2" t="s">
        <v>98</v>
      </c>
      <c r="P216" s="3">
        <v>873</v>
      </c>
      <c r="Q216" s="3">
        <v>873</v>
      </c>
      <c r="R216" s="4">
        <f t="shared" si="3"/>
        <v>1746</v>
      </c>
      <c r="S216" s="2" t="s">
        <v>31</v>
      </c>
      <c r="T216" s="2"/>
    </row>
    <row r="217" spans="1:20" x14ac:dyDescent="0.3">
      <c r="A217" s="2" t="s">
        <v>340</v>
      </c>
      <c r="B217" s="2" t="s">
        <v>21</v>
      </c>
      <c r="C217" s="2" t="s">
        <v>22</v>
      </c>
      <c r="D217" s="2" t="s">
        <v>42</v>
      </c>
      <c r="E217" s="2" t="s">
        <v>24</v>
      </c>
      <c r="F217" s="2" t="s">
        <v>25</v>
      </c>
      <c r="G217" s="2" t="s">
        <v>25</v>
      </c>
      <c r="H217" s="2" t="s">
        <v>26</v>
      </c>
      <c r="I217" s="2" t="s">
        <v>99</v>
      </c>
      <c r="J217" s="2" t="s">
        <v>90</v>
      </c>
      <c r="K217" s="2" t="s">
        <v>45</v>
      </c>
      <c r="L217" s="2" t="s">
        <v>29</v>
      </c>
      <c r="M217" s="2"/>
      <c r="N217" s="2" t="s">
        <v>99</v>
      </c>
      <c r="O217" s="2" t="s">
        <v>100</v>
      </c>
      <c r="P217" s="3">
        <v>444</v>
      </c>
      <c r="Q217" s="3">
        <v>444</v>
      </c>
      <c r="R217" s="4">
        <f t="shared" si="3"/>
        <v>888</v>
      </c>
      <c r="S217" s="2" t="s">
        <v>31</v>
      </c>
      <c r="T217" s="2"/>
    </row>
    <row r="218" spans="1:20" x14ac:dyDescent="0.3">
      <c r="A218" s="2" t="s">
        <v>340</v>
      </c>
      <c r="B218" s="2" t="s">
        <v>21</v>
      </c>
      <c r="C218" s="2" t="s">
        <v>22</v>
      </c>
      <c r="D218" s="2" t="s">
        <v>42</v>
      </c>
      <c r="E218" s="2" t="s">
        <v>24</v>
      </c>
      <c r="F218" s="2" t="s">
        <v>25</v>
      </c>
      <c r="G218" s="2" t="s">
        <v>25</v>
      </c>
      <c r="H218" s="2" t="s">
        <v>26</v>
      </c>
      <c r="I218" s="2" t="s">
        <v>101</v>
      </c>
      <c r="J218" s="2" t="s">
        <v>90</v>
      </c>
      <c r="K218" s="2" t="s">
        <v>45</v>
      </c>
      <c r="L218" s="2" t="s">
        <v>29</v>
      </c>
      <c r="M218" s="2"/>
      <c r="N218" s="2" t="s">
        <v>101</v>
      </c>
      <c r="O218" s="2" t="s">
        <v>102</v>
      </c>
      <c r="P218" s="3">
        <v>500</v>
      </c>
      <c r="Q218" s="3">
        <v>500</v>
      </c>
      <c r="R218" s="4">
        <f t="shared" si="3"/>
        <v>1000</v>
      </c>
      <c r="S218" s="2" t="s">
        <v>31</v>
      </c>
      <c r="T218" s="2"/>
    </row>
    <row r="219" spans="1:20" x14ac:dyDescent="0.3">
      <c r="A219" s="2" t="s">
        <v>340</v>
      </c>
      <c r="B219" s="2" t="s">
        <v>21</v>
      </c>
      <c r="C219" s="2" t="s">
        <v>22</v>
      </c>
      <c r="D219" s="2" t="s">
        <v>42</v>
      </c>
      <c r="E219" s="2" t="s">
        <v>24</v>
      </c>
      <c r="F219" s="2" t="s">
        <v>25</v>
      </c>
      <c r="G219" s="2" t="s">
        <v>25</v>
      </c>
      <c r="H219" s="2" t="s">
        <v>26</v>
      </c>
      <c r="I219" s="2" t="s">
        <v>103</v>
      </c>
      <c r="J219" s="2" t="s">
        <v>104</v>
      </c>
      <c r="K219" s="2" t="s">
        <v>28</v>
      </c>
      <c r="L219" s="2" t="s">
        <v>29</v>
      </c>
      <c r="M219" s="2"/>
      <c r="N219" s="2" t="s">
        <v>103</v>
      </c>
      <c r="O219" s="2" t="s">
        <v>105</v>
      </c>
      <c r="P219" s="3">
        <v>480</v>
      </c>
      <c r="Q219" s="3">
        <v>480</v>
      </c>
      <c r="R219" s="4">
        <f t="shared" si="3"/>
        <v>960</v>
      </c>
      <c r="S219" s="2" t="s">
        <v>31</v>
      </c>
      <c r="T219" s="2"/>
    </row>
    <row r="220" spans="1:20" x14ac:dyDescent="0.3">
      <c r="A220" s="2" t="s">
        <v>340</v>
      </c>
      <c r="B220" s="2" t="s">
        <v>21</v>
      </c>
      <c r="C220" s="2" t="s">
        <v>22</v>
      </c>
      <c r="D220" s="2" t="s">
        <v>42</v>
      </c>
      <c r="E220" s="2" t="s">
        <v>24</v>
      </c>
      <c r="F220" s="2" t="s">
        <v>25</v>
      </c>
      <c r="G220" s="2" t="s">
        <v>25</v>
      </c>
      <c r="H220" s="2" t="s">
        <v>26</v>
      </c>
      <c r="I220" s="2" t="s">
        <v>106</v>
      </c>
      <c r="J220" s="2" t="s">
        <v>73</v>
      </c>
      <c r="K220" s="2" t="s">
        <v>54</v>
      </c>
      <c r="L220" s="2" t="s">
        <v>29</v>
      </c>
      <c r="M220" s="2"/>
      <c r="N220" s="2" t="s">
        <v>106</v>
      </c>
      <c r="O220" s="2" t="s">
        <v>107</v>
      </c>
      <c r="P220" s="3">
        <v>1177</v>
      </c>
      <c r="Q220" s="3">
        <v>1177</v>
      </c>
      <c r="R220" s="4">
        <f t="shared" si="3"/>
        <v>2354</v>
      </c>
      <c r="S220" s="2" t="s">
        <v>31</v>
      </c>
      <c r="T220" s="2"/>
    </row>
    <row r="221" spans="1:20" x14ac:dyDescent="0.3">
      <c r="A221" s="2" t="s">
        <v>340</v>
      </c>
      <c r="B221" s="2" t="s">
        <v>21</v>
      </c>
      <c r="C221" s="2" t="s">
        <v>22</v>
      </c>
      <c r="D221" s="2" t="s">
        <v>42</v>
      </c>
      <c r="E221" s="2" t="s">
        <v>24</v>
      </c>
      <c r="F221" s="2" t="s">
        <v>25</v>
      </c>
      <c r="G221" s="2" t="s">
        <v>25</v>
      </c>
      <c r="H221" s="2" t="s">
        <v>26</v>
      </c>
      <c r="I221" s="2" t="s">
        <v>108</v>
      </c>
      <c r="J221" s="2" t="s">
        <v>82</v>
      </c>
      <c r="K221" s="2" t="s">
        <v>45</v>
      </c>
      <c r="L221" s="2" t="s">
        <v>29</v>
      </c>
      <c r="M221" s="2"/>
      <c r="N221" s="2" t="s">
        <v>108</v>
      </c>
      <c r="O221" s="2" t="s">
        <v>109</v>
      </c>
      <c r="P221" s="3">
        <v>788</v>
      </c>
      <c r="Q221" s="3">
        <v>788</v>
      </c>
      <c r="R221" s="4">
        <f t="shared" si="3"/>
        <v>1576</v>
      </c>
      <c r="S221" s="2" t="s">
        <v>31</v>
      </c>
      <c r="T221" s="2"/>
    </row>
    <row r="222" spans="1:20" x14ac:dyDescent="0.3">
      <c r="A222" s="2" t="s">
        <v>340</v>
      </c>
      <c r="B222" s="2" t="s">
        <v>21</v>
      </c>
      <c r="C222" s="2" t="s">
        <v>22</v>
      </c>
      <c r="D222" s="2" t="s">
        <v>42</v>
      </c>
      <c r="E222" s="2" t="s">
        <v>24</v>
      </c>
      <c r="F222" s="2" t="s">
        <v>25</v>
      </c>
      <c r="G222" s="2" t="s">
        <v>25</v>
      </c>
      <c r="H222" s="2" t="s">
        <v>26</v>
      </c>
      <c r="I222" s="2" t="s">
        <v>110</v>
      </c>
      <c r="J222" s="2" t="s">
        <v>111</v>
      </c>
      <c r="K222" s="2" t="s">
        <v>54</v>
      </c>
      <c r="L222" s="2" t="s">
        <v>29</v>
      </c>
      <c r="M222" s="2"/>
      <c r="N222" s="2" t="s">
        <v>110</v>
      </c>
      <c r="O222" s="2" t="s">
        <v>112</v>
      </c>
      <c r="P222" s="3">
        <v>1199</v>
      </c>
      <c r="Q222" s="3">
        <v>1199</v>
      </c>
      <c r="R222" s="4">
        <f t="shared" si="3"/>
        <v>2398</v>
      </c>
      <c r="S222" s="2" t="s">
        <v>31</v>
      </c>
      <c r="T222" s="2"/>
    </row>
    <row r="223" spans="1:20" x14ac:dyDescent="0.3">
      <c r="A223" s="2" t="s">
        <v>340</v>
      </c>
      <c r="B223" s="2" t="s">
        <v>21</v>
      </c>
      <c r="C223" s="2" t="s">
        <v>22</v>
      </c>
      <c r="D223" s="2" t="s">
        <v>42</v>
      </c>
      <c r="E223" s="2" t="s">
        <v>24</v>
      </c>
      <c r="F223" s="2" t="s">
        <v>25</v>
      </c>
      <c r="G223" s="2" t="s">
        <v>25</v>
      </c>
      <c r="H223" s="2" t="s">
        <v>26</v>
      </c>
      <c r="I223" s="2" t="s">
        <v>113</v>
      </c>
      <c r="J223" s="2" t="s">
        <v>73</v>
      </c>
      <c r="K223" s="2" t="s">
        <v>54</v>
      </c>
      <c r="L223" s="2" t="s">
        <v>29</v>
      </c>
      <c r="M223" s="2"/>
      <c r="N223" s="2" t="s">
        <v>113</v>
      </c>
      <c r="O223" s="2" t="s">
        <v>114</v>
      </c>
      <c r="P223" s="3">
        <v>1401</v>
      </c>
      <c r="Q223" s="3">
        <v>1401</v>
      </c>
      <c r="R223" s="4">
        <f t="shared" si="3"/>
        <v>2802</v>
      </c>
      <c r="S223" s="2" t="s">
        <v>31</v>
      </c>
      <c r="T223" s="2"/>
    </row>
    <row r="224" spans="1:20" x14ac:dyDescent="0.3">
      <c r="A224" s="2" t="s">
        <v>340</v>
      </c>
      <c r="B224" s="2" t="s">
        <v>21</v>
      </c>
      <c r="C224" s="2" t="s">
        <v>22</v>
      </c>
      <c r="D224" s="2" t="s">
        <v>42</v>
      </c>
      <c r="E224" s="2" t="s">
        <v>24</v>
      </c>
      <c r="F224" s="2" t="s">
        <v>25</v>
      </c>
      <c r="G224" s="2" t="s">
        <v>25</v>
      </c>
      <c r="H224" s="2" t="s">
        <v>26</v>
      </c>
      <c r="I224" s="2" t="s">
        <v>115</v>
      </c>
      <c r="J224" s="2" t="s">
        <v>44</v>
      </c>
      <c r="K224" s="2" t="s">
        <v>45</v>
      </c>
      <c r="L224" s="2" t="s">
        <v>29</v>
      </c>
      <c r="M224" s="2"/>
      <c r="N224" s="2" t="s">
        <v>115</v>
      </c>
      <c r="O224" s="2" t="s">
        <v>116</v>
      </c>
      <c r="P224" s="3">
        <v>500</v>
      </c>
      <c r="Q224" s="3">
        <v>500</v>
      </c>
      <c r="R224" s="4">
        <f t="shared" si="3"/>
        <v>1000</v>
      </c>
      <c r="S224" s="2" t="s">
        <v>31</v>
      </c>
      <c r="T224" s="2"/>
    </row>
    <row r="225" spans="1:20" x14ac:dyDescent="0.3">
      <c r="A225" s="2" t="s">
        <v>340</v>
      </c>
      <c r="B225" s="2" t="s">
        <v>21</v>
      </c>
      <c r="C225" s="2" t="s">
        <v>22</v>
      </c>
      <c r="D225" s="2" t="s">
        <v>42</v>
      </c>
      <c r="E225" s="2" t="s">
        <v>24</v>
      </c>
      <c r="F225" s="2" t="s">
        <v>25</v>
      </c>
      <c r="G225" s="2" t="s">
        <v>25</v>
      </c>
      <c r="H225" s="2" t="s">
        <v>26</v>
      </c>
      <c r="I225" s="2" t="s">
        <v>117</v>
      </c>
      <c r="J225" s="2" t="s">
        <v>48</v>
      </c>
      <c r="K225" s="2" t="s">
        <v>45</v>
      </c>
      <c r="L225" s="2" t="s">
        <v>29</v>
      </c>
      <c r="M225" s="2"/>
      <c r="N225" s="2" t="s">
        <v>117</v>
      </c>
      <c r="O225" s="2" t="s">
        <v>118</v>
      </c>
      <c r="P225" s="3">
        <v>546</v>
      </c>
      <c r="Q225" s="3">
        <v>546</v>
      </c>
      <c r="R225" s="4">
        <f t="shared" si="3"/>
        <v>1092</v>
      </c>
      <c r="S225" s="2" t="s">
        <v>31</v>
      </c>
      <c r="T225" s="2"/>
    </row>
    <row r="226" spans="1:20" x14ac:dyDescent="0.3">
      <c r="A226" s="2" t="s">
        <v>340</v>
      </c>
      <c r="B226" s="2" t="s">
        <v>21</v>
      </c>
      <c r="C226" s="2" t="s">
        <v>22</v>
      </c>
      <c r="D226" s="2" t="s">
        <v>42</v>
      </c>
      <c r="E226" s="2" t="s">
        <v>24</v>
      </c>
      <c r="F226" s="2" t="s">
        <v>25</v>
      </c>
      <c r="G226" s="2" t="s">
        <v>25</v>
      </c>
      <c r="H226" s="2" t="s">
        <v>26</v>
      </c>
      <c r="I226" s="2" t="s">
        <v>119</v>
      </c>
      <c r="J226" s="2" t="s">
        <v>120</v>
      </c>
      <c r="K226" s="2" t="s">
        <v>54</v>
      </c>
      <c r="L226" s="2" t="s">
        <v>29</v>
      </c>
      <c r="M226" s="2"/>
      <c r="N226" s="2" t="s">
        <v>119</v>
      </c>
      <c r="O226" s="2" t="s">
        <v>121</v>
      </c>
      <c r="P226" s="3">
        <v>1469</v>
      </c>
      <c r="Q226" s="3">
        <v>1469</v>
      </c>
      <c r="R226" s="4">
        <f t="shared" si="3"/>
        <v>2938</v>
      </c>
      <c r="S226" s="2" t="s">
        <v>31</v>
      </c>
      <c r="T226" s="2"/>
    </row>
    <row r="227" spans="1:20" x14ac:dyDescent="0.3">
      <c r="A227" s="2" t="s">
        <v>340</v>
      </c>
      <c r="B227" s="2" t="s">
        <v>21</v>
      </c>
      <c r="C227" s="2" t="s">
        <v>22</v>
      </c>
      <c r="D227" s="2" t="s">
        <v>42</v>
      </c>
      <c r="E227" s="2" t="s">
        <v>24</v>
      </c>
      <c r="F227" s="2" t="s">
        <v>25</v>
      </c>
      <c r="G227" s="2" t="s">
        <v>25</v>
      </c>
      <c r="H227" s="2" t="s">
        <v>26</v>
      </c>
      <c r="I227" s="2" t="s">
        <v>122</v>
      </c>
      <c r="J227" s="2" t="s">
        <v>77</v>
      </c>
      <c r="K227" s="2" t="s">
        <v>45</v>
      </c>
      <c r="L227" s="2" t="s">
        <v>29</v>
      </c>
      <c r="M227" s="2"/>
      <c r="N227" s="2" t="s">
        <v>122</v>
      </c>
      <c r="O227" s="2" t="s">
        <v>123</v>
      </c>
      <c r="P227" s="3">
        <v>899</v>
      </c>
      <c r="Q227" s="3">
        <v>899</v>
      </c>
      <c r="R227" s="4">
        <f t="shared" si="3"/>
        <v>1798</v>
      </c>
      <c r="S227" s="2" t="s">
        <v>31</v>
      </c>
      <c r="T227" s="2"/>
    </row>
    <row r="228" spans="1:20" x14ac:dyDescent="0.3">
      <c r="A228" s="2" t="s">
        <v>340</v>
      </c>
      <c r="B228" s="2" t="s">
        <v>21</v>
      </c>
      <c r="C228" s="2" t="s">
        <v>22</v>
      </c>
      <c r="D228" s="2" t="s">
        <v>42</v>
      </c>
      <c r="E228" s="2" t="s">
        <v>24</v>
      </c>
      <c r="F228" s="2" t="s">
        <v>25</v>
      </c>
      <c r="G228" s="2" t="s">
        <v>25</v>
      </c>
      <c r="H228" s="2" t="s">
        <v>26</v>
      </c>
      <c r="I228" s="2" t="s">
        <v>124</v>
      </c>
      <c r="J228" s="2" t="s">
        <v>104</v>
      </c>
      <c r="K228" s="2" t="s">
        <v>28</v>
      </c>
      <c r="L228" s="2" t="s">
        <v>29</v>
      </c>
      <c r="M228" s="2"/>
      <c r="N228" s="2" t="s">
        <v>125</v>
      </c>
      <c r="O228" s="2" t="s">
        <v>126</v>
      </c>
      <c r="P228" s="3">
        <v>553</v>
      </c>
      <c r="Q228" s="3">
        <v>553</v>
      </c>
      <c r="R228" s="4">
        <f t="shared" si="3"/>
        <v>1106</v>
      </c>
      <c r="S228" s="2" t="s">
        <v>31</v>
      </c>
      <c r="T228" s="2"/>
    </row>
    <row r="229" spans="1:20" x14ac:dyDescent="0.3">
      <c r="A229" s="2" t="s">
        <v>340</v>
      </c>
      <c r="B229" s="2" t="s">
        <v>21</v>
      </c>
      <c r="C229" s="2" t="s">
        <v>22</v>
      </c>
      <c r="D229" s="2" t="s">
        <v>42</v>
      </c>
      <c r="E229" s="2" t="s">
        <v>24</v>
      </c>
      <c r="F229" s="2" t="s">
        <v>25</v>
      </c>
      <c r="G229" s="2" t="s">
        <v>25</v>
      </c>
      <c r="H229" s="2" t="s">
        <v>26</v>
      </c>
      <c r="I229" s="2" t="s">
        <v>25</v>
      </c>
      <c r="J229" s="2" t="s">
        <v>26</v>
      </c>
      <c r="K229" s="2" t="s">
        <v>38</v>
      </c>
      <c r="L229" s="2" t="s">
        <v>127</v>
      </c>
      <c r="M229" s="2" t="s">
        <v>128</v>
      </c>
      <c r="N229" s="2" t="s">
        <v>25</v>
      </c>
      <c r="O229" s="2" t="s">
        <v>129</v>
      </c>
      <c r="P229" s="3">
        <v>10</v>
      </c>
      <c r="Q229" s="3">
        <v>10</v>
      </c>
      <c r="R229" s="4">
        <f t="shared" si="3"/>
        <v>20</v>
      </c>
      <c r="S229" s="2" t="s">
        <v>31</v>
      </c>
      <c r="T229" s="2" t="s">
        <v>130</v>
      </c>
    </row>
    <row r="230" spans="1:20" x14ac:dyDescent="0.3">
      <c r="A230" s="2" t="s">
        <v>340</v>
      </c>
      <c r="B230" s="2" t="s">
        <v>21</v>
      </c>
      <c r="C230" s="2" t="s">
        <v>22</v>
      </c>
      <c r="D230" s="2" t="s">
        <v>42</v>
      </c>
      <c r="E230" s="2" t="s">
        <v>24</v>
      </c>
      <c r="F230" s="2" t="s">
        <v>25</v>
      </c>
      <c r="G230" s="2" t="s">
        <v>25</v>
      </c>
      <c r="H230" s="2" t="s">
        <v>26</v>
      </c>
      <c r="I230" s="2" t="s">
        <v>131</v>
      </c>
      <c r="J230" s="2" t="s">
        <v>132</v>
      </c>
      <c r="K230" s="2" t="s">
        <v>133</v>
      </c>
      <c r="L230" s="2" t="s">
        <v>29</v>
      </c>
      <c r="M230" s="2"/>
      <c r="N230" s="2" t="s">
        <v>131</v>
      </c>
      <c r="O230" s="2" t="s">
        <v>134</v>
      </c>
      <c r="P230" s="3">
        <v>315</v>
      </c>
      <c r="Q230" s="3">
        <v>315</v>
      </c>
      <c r="R230" s="4">
        <f t="shared" si="3"/>
        <v>630</v>
      </c>
      <c r="S230" s="2" t="s">
        <v>31</v>
      </c>
      <c r="T230" s="2"/>
    </row>
    <row r="231" spans="1:20" x14ac:dyDescent="0.3">
      <c r="A231" s="2" t="s">
        <v>340</v>
      </c>
      <c r="B231" s="2" t="s">
        <v>21</v>
      </c>
      <c r="C231" s="2" t="s">
        <v>22</v>
      </c>
      <c r="D231" s="2" t="s">
        <v>42</v>
      </c>
      <c r="E231" s="2" t="s">
        <v>24</v>
      </c>
      <c r="F231" s="2" t="s">
        <v>25</v>
      </c>
      <c r="G231" s="2" t="s">
        <v>25</v>
      </c>
      <c r="H231" s="2" t="s">
        <v>26</v>
      </c>
      <c r="I231" s="2" t="s">
        <v>135</v>
      </c>
      <c r="J231" s="2" t="s">
        <v>136</v>
      </c>
      <c r="K231" s="2" t="s">
        <v>137</v>
      </c>
      <c r="L231" s="2" t="s">
        <v>29</v>
      </c>
      <c r="M231" s="2"/>
      <c r="N231" s="2" t="s">
        <v>135</v>
      </c>
      <c r="O231" s="2" t="s">
        <v>138</v>
      </c>
      <c r="P231" s="3">
        <v>580</v>
      </c>
      <c r="Q231" s="3">
        <v>580</v>
      </c>
      <c r="R231" s="4">
        <f t="shared" si="3"/>
        <v>1160</v>
      </c>
      <c r="S231" s="2" t="s">
        <v>31</v>
      </c>
      <c r="T231" s="2"/>
    </row>
    <row r="232" spans="1:20" x14ac:dyDescent="0.3">
      <c r="A232" s="2" t="s">
        <v>340</v>
      </c>
      <c r="B232" s="2" t="s">
        <v>21</v>
      </c>
      <c r="C232" s="2" t="s">
        <v>22</v>
      </c>
      <c r="D232" s="2" t="s">
        <v>42</v>
      </c>
      <c r="E232" s="2" t="s">
        <v>24</v>
      </c>
      <c r="F232" s="2" t="s">
        <v>25</v>
      </c>
      <c r="G232" s="2" t="s">
        <v>25</v>
      </c>
      <c r="H232" s="2" t="s">
        <v>26</v>
      </c>
      <c r="I232" s="2" t="s">
        <v>139</v>
      </c>
      <c r="J232" s="2" t="s">
        <v>140</v>
      </c>
      <c r="K232" s="2" t="s">
        <v>133</v>
      </c>
      <c r="L232" s="2" t="s">
        <v>29</v>
      </c>
      <c r="M232" s="2"/>
      <c r="N232" s="2" t="s">
        <v>139</v>
      </c>
      <c r="O232" s="2" t="s">
        <v>141</v>
      </c>
      <c r="P232" s="3">
        <v>357</v>
      </c>
      <c r="Q232" s="3">
        <v>357</v>
      </c>
      <c r="R232" s="4">
        <f t="shared" si="3"/>
        <v>714</v>
      </c>
      <c r="S232" s="2" t="s">
        <v>31</v>
      </c>
      <c r="T232" s="2"/>
    </row>
    <row r="233" spans="1:20" x14ac:dyDescent="0.3">
      <c r="A233" s="2" t="s">
        <v>340</v>
      </c>
      <c r="B233" s="2" t="s">
        <v>21</v>
      </c>
      <c r="C233" s="2" t="s">
        <v>22</v>
      </c>
      <c r="D233" s="2" t="s">
        <v>42</v>
      </c>
      <c r="E233" s="2" t="s">
        <v>24</v>
      </c>
      <c r="F233" s="2" t="s">
        <v>25</v>
      </c>
      <c r="G233" s="2" t="s">
        <v>25</v>
      </c>
      <c r="H233" s="2" t="s">
        <v>26</v>
      </c>
      <c r="I233" s="2" t="s">
        <v>142</v>
      </c>
      <c r="J233" s="2" t="s">
        <v>143</v>
      </c>
      <c r="K233" s="2" t="s">
        <v>137</v>
      </c>
      <c r="L233" s="2" t="s">
        <v>29</v>
      </c>
      <c r="M233" s="2"/>
      <c r="N233" s="2" t="s">
        <v>142</v>
      </c>
      <c r="O233" s="2" t="s">
        <v>144</v>
      </c>
      <c r="P233" s="3">
        <v>442</v>
      </c>
      <c r="Q233" s="3">
        <v>442</v>
      </c>
      <c r="R233" s="4">
        <f t="shared" si="3"/>
        <v>884</v>
      </c>
      <c r="S233" s="2" t="s">
        <v>31</v>
      </c>
      <c r="T233" s="2"/>
    </row>
    <row r="234" spans="1:20" x14ac:dyDescent="0.3">
      <c r="A234" s="2" t="s">
        <v>340</v>
      </c>
      <c r="B234" s="2" t="s">
        <v>21</v>
      </c>
      <c r="C234" s="2" t="s">
        <v>22</v>
      </c>
      <c r="D234" s="2" t="s">
        <v>42</v>
      </c>
      <c r="E234" s="2" t="s">
        <v>24</v>
      </c>
      <c r="F234" s="2" t="s">
        <v>25</v>
      </c>
      <c r="G234" s="2" t="s">
        <v>25</v>
      </c>
      <c r="H234" s="2" t="s">
        <v>26</v>
      </c>
      <c r="I234" s="2" t="s">
        <v>145</v>
      </c>
      <c r="J234" s="2" t="s">
        <v>146</v>
      </c>
      <c r="K234" s="2" t="s">
        <v>137</v>
      </c>
      <c r="L234" s="2" t="s">
        <v>29</v>
      </c>
      <c r="M234" s="2"/>
      <c r="N234" s="2" t="s">
        <v>145</v>
      </c>
      <c r="O234" s="2" t="s">
        <v>147</v>
      </c>
      <c r="P234" s="3">
        <v>631</v>
      </c>
      <c r="Q234" s="3">
        <v>631</v>
      </c>
      <c r="R234" s="4">
        <f t="shared" si="3"/>
        <v>1262</v>
      </c>
      <c r="S234" s="2" t="s">
        <v>31</v>
      </c>
      <c r="T234" s="2"/>
    </row>
    <row r="235" spans="1:20" x14ac:dyDescent="0.3">
      <c r="A235" s="2" t="s">
        <v>340</v>
      </c>
      <c r="B235" s="2" t="s">
        <v>21</v>
      </c>
      <c r="C235" s="2" t="s">
        <v>22</v>
      </c>
      <c r="D235" s="2" t="s">
        <v>42</v>
      </c>
      <c r="E235" s="2" t="s">
        <v>24</v>
      </c>
      <c r="F235" s="2" t="s">
        <v>25</v>
      </c>
      <c r="G235" s="2" t="s">
        <v>25</v>
      </c>
      <c r="H235" s="2" t="s">
        <v>26</v>
      </c>
      <c r="I235" s="2" t="s">
        <v>148</v>
      </c>
      <c r="J235" s="2" t="s">
        <v>82</v>
      </c>
      <c r="K235" s="2" t="s">
        <v>45</v>
      </c>
      <c r="L235" s="2" t="s">
        <v>29</v>
      </c>
      <c r="M235" s="2"/>
      <c r="N235" s="2" t="s">
        <v>148</v>
      </c>
      <c r="O235" s="2" t="s">
        <v>149</v>
      </c>
      <c r="P235" s="3">
        <v>655</v>
      </c>
      <c r="Q235" s="3">
        <v>655</v>
      </c>
      <c r="R235" s="4">
        <f t="shared" si="3"/>
        <v>1310</v>
      </c>
      <c r="S235" s="2" t="s">
        <v>31</v>
      </c>
      <c r="T235" s="2"/>
    </row>
    <row r="236" spans="1:20" x14ac:dyDescent="0.3">
      <c r="A236" s="2" t="s">
        <v>341</v>
      </c>
      <c r="B236" s="2" t="s">
        <v>21</v>
      </c>
      <c r="C236" s="2" t="s">
        <v>22</v>
      </c>
      <c r="D236" s="2" t="s">
        <v>23</v>
      </c>
      <c r="E236" s="2" t="s">
        <v>342</v>
      </c>
      <c r="F236" s="2" t="s">
        <v>152</v>
      </c>
      <c r="G236" s="2" t="s">
        <v>343</v>
      </c>
      <c r="H236" s="2" t="s">
        <v>152</v>
      </c>
      <c r="I236" s="2" t="s">
        <v>344</v>
      </c>
      <c r="J236" s="2" t="s">
        <v>140</v>
      </c>
      <c r="K236" s="2" t="s">
        <v>133</v>
      </c>
      <c r="L236" s="2" t="s">
        <v>29</v>
      </c>
      <c r="M236" s="2"/>
      <c r="N236" s="2" t="s">
        <v>344</v>
      </c>
      <c r="O236" s="2" t="s">
        <v>345</v>
      </c>
      <c r="P236" s="3">
        <v>466</v>
      </c>
      <c r="Q236" s="3">
        <v>466</v>
      </c>
      <c r="R236" s="4">
        <f t="shared" si="3"/>
        <v>932</v>
      </c>
      <c r="S236" s="2" t="s">
        <v>31</v>
      </c>
      <c r="T236" s="2" t="s">
        <v>346</v>
      </c>
    </row>
    <row r="237" spans="1:20" x14ac:dyDescent="0.3">
      <c r="A237" s="2" t="s">
        <v>238</v>
      </c>
      <c r="B237" s="2" t="s">
        <v>21</v>
      </c>
      <c r="C237" s="2" t="s">
        <v>22</v>
      </c>
      <c r="D237" s="2" t="s">
        <v>23</v>
      </c>
      <c r="E237" s="2" t="s">
        <v>239</v>
      </c>
      <c r="F237" s="2" t="s">
        <v>152</v>
      </c>
      <c r="G237" s="2" t="s">
        <v>240</v>
      </c>
      <c r="H237" s="2" t="s">
        <v>152</v>
      </c>
      <c r="I237" s="2" t="s">
        <v>135</v>
      </c>
      <c r="J237" s="2" t="s">
        <v>136</v>
      </c>
      <c r="K237" s="2" t="s">
        <v>137</v>
      </c>
      <c r="L237" s="2" t="s">
        <v>29</v>
      </c>
      <c r="M237" s="2"/>
      <c r="N237" s="2" t="s">
        <v>135</v>
      </c>
      <c r="O237" s="2" t="s">
        <v>241</v>
      </c>
      <c r="P237" s="3">
        <v>619</v>
      </c>
      <c r="Q237" s="3">
        <v>619</v>
      </c>
      <c r="R237" s="4">
        <f t="shared" si="3"/>
        <v>1238</v>
      </c>
      <c r="S237" s="2" t="s">
        <v>31</v>
      </c>
      <c r="T237" s="2"/>
    </row>
    <row r="238" spans="1:20" x14ac:dyDescent="0.3">
      <c r="A238" s="2" t="s">
        <v>238</v>
      </c>
      <c r="B238" s="2" t="s">
        <v>21</v>
      </c>
      <c r="C238" s="2" t="s">
        <v>22</v>
      </c>
      <c r="D238" s="2" t="s">
        <v>23</v>
      </c>
      <c r="E238" s="2" t="s">
        <v>239</v>
      </c>
      <c r="F238" s="2" t="s">
        <v>152</v>
      </c>
      <c r="G238" s="2" t="s">
        <v>240</v>
      </c>
      <c r="H238" s="2" t="s">
        <v>152</v>
      </c>
      <c r="I238" s="2" t="s">
        <v>347</v>
      </c>
      <c r="J238" s="2" t="s">
        <v>348</v>
      </c>
      <c r="K238" s="2" t="s">
        <v>133</v>
      </c>
      <c r="L238" s="2" t="s">
        <v>29</v>
      </c>
      <c r="M238" s="2"/>
      <c r="N238" s="2" t="s">
        <v>347</v>
      </c>
      <c r="O238" s="2" t="s">
        <v>349</v>
      </c>
      <c r="P238" s="3">
        <v>656</v>
      </c>
      <c r="Q238" s="3">
        <v>656</v>
      </c>
      <c r="R238" s="4">
        <f t="shared" si="3"/>
        <v>1312</v>
      </c>
      <c r="S238" s="2" t="s">
        <v>31</v>
      </c>
      <c r="T238" s="2"/>
    </row>
    <row r="239" spans="1:20" x14ac:dyDescent="0.3">
      <c r="A239" s="2" t="s">
        <v>238</v>
      </c>
      <c r="B239" s="2" t="s">
        <v>21</v>
      </c>
      <c r="C239" s="2" t="s">
        <v>22</v>
      </c>
      <c r="D239" s="2" t="s">
        <v>23</v>
      </c>
      <c r="E239" s="2" t="s">
        <v>239</v>
      </c>
      <c r="F239" s="2" t="s">
        <v>152</v>
      </c>
      <c r="G239" s="2" t="s">
        <v>240</v>
      </c>
      <c r="H239" s="2" t="s">
        <v>152</v>
      </c>
      <c r="I239" s="2" t="s">
        <v>350</v>
      </c>
      <c r="J239" s="2" t="s">
        <v>348</v>
      </c>
      <c r="K239" s="2" t="s">
        <v>133</v>
      </c>
      <c r="L239" s="2" t="s">
        <v>29</v>
      </c>
      <c r="M239" s="2"/>
      <c r="N239" s="2" t="s">
        <v>350</v>
      </c>
      <c r="O239" s="2" t="s">
        <v>351</v>
      </c>
      <c r="P239" s="3">
        <v>745</v>
      </c>
      <c r="Q239" s="3">
        <v>745</v>
      </c>
      <c r="R239" s="4">
        <f t="shared" si="3"/>
        <v>1490</v>
      </c>
      <c r="S239" s="2" t="s">
        <v>31</v>
      </c>
      <c r="T239" s="2"/>
    </row>
    <row r="240" spans="1:20" x14ac:dyDescent="0.3">
      <c r="A240" s="2" t="s">
        <v>238</v>
      </c>
      <c r="B240" s="2" t="s">
        <v>21</v>
      </c>
      <c r="C240" s="2" t="s">
        <v>22</v>
      </c>
      <c r="D240" s="2" t="s">
        <v>23</v>
      </c>
      <c r="E240" s="2" t="s">
        <v>239</v>
      </c>
      <c r="F240" s="2" t="s">
        <v>152</v>
      </c>
      <c r="G240" s="2" t="s">
        <v>240</v>
      </c>
      <c r="H240" s="2" t="s">
        <v>152</v>
      </c>
      <c r="I240" s="2" t="s">
        <v>142</v>
      </c>
      <c r="J240" s="2" t="s">
        <v>143</v>
      </c>
      <c r="K240" s="2" t="s">
        <v>137</v>
      </c>
      <c r="L240" s="2" t="s">
        <v>29</v>
      </c>
      <c r="M240" s="2"/>
      <c r="N240" s="2" t="s">
        <v>142</v>
      </c>
      <c r="O240" s="2" t="s">
        <v>248</v>
      </c>
      <c r="P240" s="3">
        <v>481</v>
      </c>
      <c r="Q240" s="3">
        <v>481</v>
      </c>
      <c r="R240" s="4">
        <f t="shared" si="3"/>
        <v>962</v>
      </c>
      <c r="S240" s="2" t="s">
        <v>31</v>
      </c>
      <c r="T240" s="2"/>
    </row>
    <row r="241" spans="1:20" x14ac:dyDescent="0.3">
      <c r="A241" s="2" t="s">
        <v>238</v>
      </c>
      <c r="B241" s="2" t="s">
        <v>21</v>
      </c>
      <c r="C241" s="2" t="s">
        <v>22</v>
      </c>
      <c r="D241" s="2" t="s">
        <v>23</v>
      </c>
      <c r="E241" s="2" t="s">
        <v>239</v>
      </c>
      <c r="F241" s="2" t="s">
        <v>152</v>
      </c>
      <c r="G241" s="2" t="s">
        <v>240</v>
      </c>
      <c r="H241" s="2" t="s">
        <v>152</v>
      </c>
      <c r="I241" s="2" t="s">
        <v>352</v>
      </c>
      <c r="J241" s="2" t="s">
        <v>353</v>
      </c>
      <c r="K241" s="2" t="s">
        <v>133</v>
      </c>
      <c r="L241" s="2" t="s">
        <v>29</v>
      </c>
      <c r="M241" s="2"/>
      <c r="N241" s="2" t="s">
        <v>352</v>
      </c>
      <c r="O241" s="2" t="s">
        <v>354</v>
      </c>
      <c r="P241" s="3">
        <v>536</v>
      </c>
      <c r="Q241" s="3">
        <v>536</v>
      </c>
      <c r="R241" s="4">
        <f t="shared" si="3"/>
        <v>1072</v>
      </c>
      <c r="S241" s="2" t="s">
        <v>31</v>
      </c>
      <c r="T241" s="2"/>
    </row>
    <row r="242" spans="1:20" x14ac:dyDescent="0.3">
      <c r="A242" s="2" t="s">
        <v>238</v>
      </c>
      <c r="B242" s="2" t="s">
        <v>21</v>
      </c>
      <c r="C242" s="2" t="s">
        <v>22</v>
      </c>
      <c r="D242" s="2" t="s">
        <v>23</v>
      </c>
      <c r="E242" s="2" t="s">
        <v>239</v>
      </c>
      <c r="F242" s="2" t="s">
        <v>152</v>
      </c>
      <c r="G242" s="2" t="s">
        <v>240</v>
      </c>
      <c r="H242" s="2" t="s">
        <v>152</v>
      </c>
      <c r="I242" s="2" t="s">
        <v>81</v>
      </c>
      <c r="J242" s="2" t="s">
        <v>82</v>
      </c>
      <c r="K242" s="2" t="s">
        <v>45</v>
      </c>
      <c r="L242" s="2" t="s">
        <v>29</v>
      </c>
      <c r="M242" s="2"/>
      <c r="N242" s="2" t="s">
        <v>81</v>
      </c>
      <c r="O242" s="2" t="s">
        <v>355</v>
      </c>
      <c r="P242" s="3">
        <v>828</v>
      </c>
      <c r="Q242" s="3">
        <v>828</v>
      </c>
      <c r="R242" s="4">
        <f t="shared" si="3"/>
        <v>1656</v>
      </c>
      <c r="S242" s="2" t="s">
        <v>31</v>
      </c>
      <c r="T242" s="2"/>
    </row>
    <row r="243" spans="1:20" x14ac:dyDescent="0.3">
      <c r="A243" s="2" t="s">
        <v>238</v>
      </c>
      <c r="B243" s="2" t="s">
        <v>21</v>
      </c>
      <c r="C243" s="2" t="s">
        <v>22</v>
      </c>
      <c r="D243" s="2" t="s">
        <v>23</v>
      </c>
      <c r="E243" s="2" t="s">
        <v>239</v>
      </c>
      <c r="F243" s="2" t="s">
        <v>152</v>
      </c>
      <c r="G243" s="2" t="s">
        <v>240</v>
      </c>
      <c r="H243" s="2" t="s">
        <v>152</v>
      </c>
      <c r="I243" s="2" t="s">
        <v>235</v>
      </c>
      <c r="J243" s="2" t="s">
        <v>236</v>
      </c>
      <c r="K243" s="2" t="s">
        <v>133</v>
      </c>
      <c r="L243" s="2" t="s">
        <v>29</v>
      </c>
      <c r="M243" s="2"/>
      <c r="N243" s="2" t="s">
        <v>235</v>
      </c>
      <c r="O243" s="2" t="s">
        <v>356</v>
      </c>
      <c r="P243" s="3">
        <v>749</v>
      </c>
      <c r="Q243" s="3">
        <v>749</v>
      </c>
      <c r="R243" s="4">
        <f t="shared" si="3"/>
        <v>1498</v>
      </c>
      <c r="S243" s="2" t="s">
        <v>31</v>
      </c>
      <c r="T243" s="2"/>
    </row>
    <row r="244" spans="1:20" x14ac:dyDescent="0.3">
      <c r="A244" s="2" t="s">
        <v>238</v>
      </c>
      <c r="B244" s="2" t="s">
        <v>21</v>
      </c>
      <c r="C244" s="2" t="s">
        <v>22</v>
      </c>
      <c r="D244" s="2" t="s">
        <v>23</v>
      </c>
      <c r="E244" s="2" t="s">
        <v>239</v>
      </c>
      <c r="F244" s="2" t="s">
        <v>152</v>
      </c>
      <c r="G244" s="2" t="s">
        <v>240</v>
      </c>
      <c r="H244" s="2" t="s">
        <v>152</v>
      </c>
      <c r="I244" s="2" t="s">
        <v>145</v>
      </c>
      <c r="J244" s="2" t="s">
        <v>146</v>
      </c>
      <c r="K244" s="2" t="s">
        <v>137</v>
      </c>
      <c r="L244" s="2" t="s">
        <v>29</v>
      </c>
      <c r="M244" s="2"/>
      <c r="N244" s="2" t="s">
        <v>145</v>
      </c>
      <c r="O244" s="2" t="s">
        <v>357</v>
      </c>
      <c r="P244" s="3">
        <v>669</v>
      </c>
      <c r="Q244" s="3">
        <v>669</v>
      </c>
      <c r="R244" s="4">
        <f t="shared" si="3"/>
        <v>1338</v>
      </c>
      <c r="S244" s="2" t="s">
        <v>31</v>
      </c>
      <c r="T244" s="2"/>
    </row>
    <row r="245" spans="1:20" x14ac:dyDescent="0.3">
      <c r="A245" s="2" t="s">
        <v>238</v>
      </c>
      <c r="B245" s="2" t="s">
        <v>21</v>
      </c>
      <c r="C245" s="2" t="s">
        <v>22</v>
      </c>
      <c r="D245" s="2" t="s">
        <v>23</v>
      </c>
      <c r="E245" s="2" t="s">
        <v>239</v>
      </c>
      <c r="F245" s="2" t="s">
        <v>152</v>
      </c>
      <c r="G245" s="2" t="s">
        <v>240</v>
      </c>
      <c r="H245" s="2" t="s">
        <v>152</v>
      </c>
      <c r="I245" s="2" t="s">
        <v>358</v>
      </c>
      <c r="J245" s="2" t="s">
        <v>358</v>
      </c>
      <c r="K245" s="2" t="s">
        <v>137</v>
      </c>
      <c r="L245" s="2" t="s">
        <v>29</v>
      </c>
      <c r="M245" s="2"/>
      <c r="N245" s="2" t="s">
        <v>358</v>
      </c>
      <c r="O245" s="2" t="s">
        <v>359</v>
      </c>
      <c r="P245" s="3">
        <v>583</v>
      </c>
      <c r="Q245" s="3">
        <v>583</v>
      </c>
      <c r="R245" s="4">
        <f t="shared" si="3"/>
        <v>1166</v>
      </c>
      <c r="S245" s="2" t="s">
        <v>31</v>
      </c>
      <c r="T245" s="2"/>
    </row>
    <row r="246" spans="1:20" x14ac:dyDescent="0.3">
      <c r="A246" s="2" t="s">
        <v>238</v>
      </c>
      <c r="B246" s="2" t="s">
        <v>21</v>
      </c>
      <c r="C246" s="2" t="s">
        <v>22</v>
      </c>
      <c r="D246" s="2" t="s">
        <v>23</v>
      </c>
      <c r="E246" s="2" t="s">
        <v>239</v>
      </c>
      <c r="F246" s="2" t="s">
        <v>152</v>
      </c>
      <c r="G246" s="2" t="s">
        <v>240</v>
      </c>
      <c r="H246" s="2" t="s">
        <v>152</v>
      </c>
      <c r="I246" s="2" t="s">
        <v>360</v>
      </c>
      <c r="J246" s="2" t="s">
        <v>358</v>
      </c>
      <c r="K246" s="2" t="s">
        <v>137</v>
      </c>
      <c r="L246" s="2" t="s">
        <v>29</v>
      </c>
      <c r="M246" s="2"/>
      <c r="N246" s="2" t="s">
        <v>360</v>
      </c>
      <c r="O246" s="2" t="s">
        <v>361</v>
      </c>
      <c r="P246" s="3">
        <v>577</v>
      </c>
      <c r="Q246" s="3">
        <v>577</v>
      </c>
      <c r="R246" s="4">
        <f t="shared" si="3"/>
        <v>1154</v>
      </c>
      <c r="S246" s="2" t="s">
        <v>31</v>
      </c>
      <c r="T246" s="2"/>
    </row>
    <row r="247" spans="1:20" x14ac:dyDescent="0.3">
      <c r="A247" s="2" t="s">
        <v>238</v>
      </c>
      <c r="B247" s="2" t="s">
        <v>21</v>
      </c>
      <c r="C247" s="2" t="s">
        <v>22</v>
      </c>
      <c r="D247" s="2" t="s">
        <v>23</v>
      </c>
      <c r="E247" s="2" t="s">
        <v>239</v>
      </c>
      <c r="F247" s="2" t="s">
        <v>152</v>
      </c>
      <c r="G247" s="2" t="s">
        <v>240</v>
      </c>
      <c r="H247" s="2" t="s">
        <v>152</v>
      </c>
      <c r="I247" s="2" t="s">
        <v>362</v>
      </c>
      <c r="J247" s="2" t="s">
        <v>363</v>
      </c>
      <c r="K247" s="2" t="s">
        <v>137</v>
      </c>
      <c r="L247" s="2" t="s">
        <v>29</v>
      </c>
      <c r="M247" s="2"/>
      <c r="N247" s="2" t="s">
        <v>362</v>
      </c>
      <c r="O247" s="2" t="s">
        <v>364</v>
      </c>
      <c r="P247" s="3">
        <v>549</v>
      </c>
      <c r="Q247" s="3">
        <v>549</v>
      </c>
      <c r="R247" s="4">
        <f t="shared" si="3"/>
        <v>1098</v>
      </c>
      <c r="S247" s="2" t="s">
        <v>31</v>
      </c>
      <c r="T247" s="2"/>
    </row>
    <row r="248" spans="1:20" x14ac:dyDescent="0.3">
      <c r="A248" s="2" t="s">
        <v>238</v>
      </c>
      <c r="B248" s="2" t="s">
        <v>21</v>
      </c>
      <c r="C248" s="2" t="s">
        <v>22</v>
      </c>
      <c r="D248" s="2" t="s">
        <v>23</v>
      </c>
      <c r="E248" s="2" t="s">
        <v>239</v>
      </c>
      <c r="F248" s="2" t="s">
        <v>152</v>
      </c>
      <c r="G248" s="2" t="s">
        <v>240</v>
      </c>
      <c r="H248" s="2" t="s">
        <v>152</v>
      </c>
      <c r="I248" s="2" t="s">
        <v>160</v>
      </c>
      <c r="J248" s="2" t="s">
        <v>161</v>
      </c>
      <c r="K248" s="2" t="s">
        <v>133</v>
      </c>
      <c r="L248" s="2" t="s">
        <v>29</v>
      </c>
      <c r="M248" s="2"/>
      <c r="N248" s="2" t="s">
        <v>160</v>
      </c>
      <c r="O248" s="2" t="s">
        <v>242</v>
      </c>
      <c r="P248" s="3">
        <v>612</v>
      </c>
      <c r="Q248" s="3">
        <v>612</v>
      </c>
      <c r="R248" s="4">
        <f t="shared" si="3"/>
        <v>1224</v>
      </c>
      <c r="S248" s="2" t="s">
        <v>31</v>
      </c>
      <c r="T248" s="2"/>
    </row>
    <row r="249" spans="1:20" x14ac:dyDescent="0.3">
      <c r="A249" s="2" t="s">
        <v>238</v>
      </c>
      <c r="B249" s="2" t="s">
        <v>21</v>
      </c>
      <c r="C249" s="2" t="s">
        <v>22</v>
      </c>
      <c r="D249" s="2" t="s">
        <v>23</v>
      </c>
      <c r="E249" s="2" t="s">
        <v>239</v>
      </c>
      <c r="F249" s="2" t="s">
        <v>152</v>
      </c>
      <c r="G249" s="2" t="s">
        <v>240</v>
      </c>
      <c r="H249" s="2" t="s">
        <v>152</v>
      </c>
      <c r="I249" s="2" t="s">
        <v>365</v>
      </c>
      <c r="J249" s="2" t="s">
        <v>348</v>
      </c>
      <c r="K249" s="2" t="s">
        <v>133</v>
      </c>
      <c r="L249" s="2" t="s">
        <v>29</v>
      </c>
      <c r="M249" s="2"/>
      <c r="N249" s="2" t="s">
        <v>365</v>
      </c>
      <c r="O249" s="2" t="s">
        <v>366</v>
      </c>
      <c r="P249" s="3">
        <v>690</v>
      </c>
      <c r="Q249" s="3">
        <v>690</v>
      </c>
      <c r="R249" s="4">
        <f t="shared" si="3"/>
        <v>1380</v>
      </c>
      <c r="S249" s="2" t="s">
        <v>31</v>
      </c>
      <c r="T249" s="2"/>
    </row>
    <row r="250" spans="1:20" x14ac:dyDescent="0.3">
      <c r="A250" s="2" t="s">
        <v>238</v>
      </c>
      <c r="B250" s="2" t="s">
        <v>21</v>
      </c>
      <c r="C250" s="2" t="s">
        <v>22</v>
      </c>
      <c r="D250" s="2" t="s">
        <v>23</v>
      </c>
      <c r="E250" s="2" t="s">
        <v>239</v>
      </c>
      <c r="F250" s="2" t="s">
        <v>152</v>
      </c>
      <c r="G250" s="2" t="s">
        <v>240</v>
      </c>
      <c r="H250" s="2" t="s">
        <v>152</v>
      </c>
      <c r="I250" s="2" t="s">
        <v>367</v>
      </c>
      <c r="J250" s="2" t="s">
        <v>143</v>
      </c>
      <c r="K250" s="2" t="s">
        <v>137</v>
      </c>
      <c r="L250" s="2" t="s">
        <v>29</v>
      </c>
      <c r="M250" s="2"/>
      <c r="N250" s="2" t="s">
        <v>367</v>
      </c>
      <c r="O250" s="2" t="s">
        <v>368</v>
      </c>
      <c r="P250" s="3">
        <v>548</v>
      </c>
      <c r="Q250" s="3">
        <v>548</v>
      </c>
      <c r="R250" s="4">
        <f t="shared" si="3"/>
        <v>1096</v>
      </c>
      <c r="S250" s="2" t="s">
        <v>31</v>
      </c>
      <c r="T250" s="2"/>
    </row>
    <row r="251" spans="1:20" x14ac:dyDescent="0.3">
      <c r="A251" s="2" t="s">
        <v>238</v>
      </c>
      <c r="B251" s="2" t="s">
        <v>21</v>
      </c>
      <c r="C251" s="2" t="s">
        <v>22</v>
      </c>
      <c r="D251" s="2" t="s">
        <v>23</v>
      </c>
      <c r="E251" s="2" t="s">
        <v>239</v>
      </c>
      <c r="F251" s="2" t="s">
        <v>152</v>
      </c>
      <c r="G251" s="2" t="s">
        <v>240</v>
      </c>
      <c r="H251" s="2" t="s">
        <v>152</v>
      </c>
      <c r="I251" s="2" t="s">
        <v>369</v>
      </c>
      <c r="J251" s="2" t="s">
        <v>348</v>
      </c>
      <c r="K251" s="2" t="s">
        <v>133</v>
      </c>
      <c r="L251" s="2" t="s">
        <v>29</v>
      </c>
      <c r="M251" s="2"/>
      <c r="N251" s="2" t="s">
        <v>369</v>
      </c>
      <c r="O251" s="2" t="s">
        <v>370</v>
      </c>
      <c r="P251" s="3">
        <v>679</v>
      </c>
      <c r="Q251" s="3">
        <v>679</v>
      </c>
      <c r="R251" s="4">
        <f t="shared" si="3"/>
        <v>1358</v>
      </c>
      <c r="S251" s="2" t="s">
        <v>31</v>
      </c>
      <c r="T251" s="2"/>
    </row>
    <row r="252" spans="1:20" x14ac:dyDescent="0.3">
      <c r="A252" s="2" t="s">
        <v>238</v>
      </c>
      <c r="B252" s="2" t="s">
        <v>21</v>
      </c>
      <c r="C252" s="2" t="s">
        <v>22</v>
      </c>
      <c r="D252" s="2" t="s">
        <v>23</v>
      </c>
      <c r="E252" s="2" t="s">
        <v>239</v>
      </c>
      <c r="F252" s="2" t="s">
        <v>152</v>
      </c>
      <c r="G252" s="2" t="s">
        <v>240</v>
      </c>
      <c r="H252" s="2" t="s">
        <v>152</v>
      </c>
      <c r="I252" s="2" t="s">
        <v>371</v>
      </c>
      <c r="J252" s="2" t="s">
        <v>143</v>
      </c>
      <c r="K252" s="2" t="s">
        <v>137</v>
      </c>
      <c r="L252" s="2" t="s">
        <v>29</v>
      </c>
      <c r="M252" s="2"/>
      <c r="N252" s="2" t="s">
        <v>371</v>
      </c>
      <c r="O252" s="2" t="s">
        <v>372</v>
      </c>
      <c r="P252" s="3">
        <v>521</v>
      </c>
      <c r="Q252" s="3">
        <v>521</v>
      </c>
      <c r="R252" s="4">
        <f t="shared" si="3"/>
        <v>1042</v>
      </c>
      <c r="S252" s="2" t="s">
        <v>31</v>
      </c>
      <c r="T252" s="2"/>
    </row>
    <row r="253" spans="1:20" x14ac:dyDescent="0.3">
      <c r="A253" s="2" t="s">
        <v>238</v>
      </c>
      <c r="B253" s="2" t="s">
        <v>21</v>
      </c>
      <c r="C253" s="2" t="s">
        <v>22</v>
      </c>
      <c r="D253" s="2" t="s">
        <v>23</v>
      </c>
      <c r="E253" s="2" t="s">
        <v>239</v>
      </c>
      <c r="F253" s="2" t="s">
        <v>152</v>
      </c>
      <c r="G253" s="2" t="s">
        <v>240</v>
      </c>
      <c r="H253" s="2" t="s">
        <v>152</v>
      </c>
      <c r="I253" s="2" t="s">
        <v>373</v>
      </c>
      <c r="J253" s="2" t="s">
        <v>236</v>
      </c>
      <c r="K253" s="2" t="s">
        <v>133</v>
      </c>
      <c r="L253" s="2" t="s">
        <v>29</v>
      </c>
      <c r="M253" s="2"/>
      <c r="N253" s="2" t="s">
        <v>373</v>
      </c>
      <c r="O253" s="2" t="s">
        <v>374</v>
      </c>
      <c r="P253" s="3">
        <v>758</v>
      </c>
      <c r="Q253" s="3">
        <v>758</v>
      </c>
      <c r="R253" s="4">
        <f t="shared" si="3"/>
        <v>1516</v>
      </c>
      <c r="S253" s="2" t="s">
        <v>31</v>
      </c>
      <c r="T253" s="2"/>
    </row>
    <row r="254" spans="1:20" x14ac:dyDescent="0.3">
      <c r="A254" s="2" t="s">
        <v>238</v>
      </c>
      <c r="B254" s="2" t="s">
        <v>21</v>
      </c>
      <c r="C254" s="2" t="s">
        <v>22</v>
      </c>
      <c r="D254" s="2" t="s">
        <v>23</v>
      </c>
      <c r="E254" s="2" t="s">
        <v>239</v>
      </c>
      <c r="F254" s="2" t="s">
        <v>152</v>
      </c>
      <c r="G254" s="2" t="s">
        <v>240</v>
      </c>
      <c r="H254" s="2" t="s">
        <v>152</v>
      </c>
      <c r="I254" s="2" t="s">
        <v>375</v>
      </c>
      <c r="J254" s="2" t="s">
        <v>236</v>
      </c>
      <c r="K254" s="2" t="s">
        <v>133</v>
      </c>
      <c r="L254" s="2" t="s">
        <v>29</v>
      </c>
      <c r="M254" s="2"/>
      <c r="N254" s="2" t="s">
        <v>375</v>
      </c>
      <c r="O254" s="2" t="s">
        <v>376</v>
      </c>
      <c r="P254" s="3">
        <v>703</v>
      </c>
      <c r="Q254" s="3">
        <v>703</v>
      </c>
      <c r="R254" s="4">
        <f t="shared" si="3"/>
        <v>1406</v>
      </c>
      <c r="S254" s="2" t="s">
        <v>31</v>
      </c>
      <c r="T254" s="2"/>
    </row>
    <row r="255" spans="1:20" x14ac:dyDescent="0.3">
      <c r="A255" s="2" t="s">
        <v>238</v>
      </c>
      <c r="B255" s="2" t="s">
        <v>21</v>
      </c>
      <c r="C255" s="2" t="s">
        <v>22</v>
      </c>
      <c r="D255" s="2" t="s">
        <v>23</v>
      </c>
      <c r="E255" s="2" t="s">
        <v>239</v>
      </c>
      <c r="F255" s="2" t="s">
        <v>152</v>
      </c>
      <c r="G255" s="2" t="s">
        <v>240</v>
      </c>
      <c r="H255" s="2" t="s">
        <v>152</v>
      </c>
      <c r="I255" s="2" t="s">
        <v>377</v>
      </c>
      <c r="J255" s="2" t="s">
        <v>161</v>
      </c>
      <c r="K255" s="2" t="s">
        <v>133</v>
      </c>
      <c r="L255" s="2" t="s">
        <v>29</v>
      </c>
      <c r="M255" s="2"/>
      <c r="N255" s="2" t="s">
        <v>377</v>
      </c>
      <c r="O255" s="2" t="s">
        <v>378</v>
      </c>
      <c r="P255" s="3">
        <v>659</v>
      </c>
      <c r="Q255" s="3">
        <v>659</v>
      </c>
      <c r="R255" s="4">
        <f t="shared" si="3"/>
        <v>1318</v>
      </c>
      <c r="S255" s="2" t="s">
        <v>31</v>
      </c>
      <c r="T255" s="2"/>
    </row>
    <row r="256" spans="1:20" x14ac:dyDescent="0.3">
      <c r="A256" s="2" t="s">
        <v>238</v>
      </c>
      <c r="B256" s="2" t="s">
        <v>21</v>
      </c>
      <c r="C256" s="2" t="s">
        <v>22</v>
      </c>
      <c r="D256" s="2" t="s">
        <v>23</v>
      </c>
      <c r="E256" s="2" t="s">
        <v>239</v>
      </c>
      <c r="F256" s="2" t="s">
        <v>152</v>
      </c>
      <c r="G256" s="2" t="s">
        <v>240</v>
      </c>
      <c r="H256" s="2" t="s">
        <v>152</v>
      </c>
      <c r="I256" s="2" t="s">
        <v>379</v>
      </c>
      <c r="J256" s="2" t="s">
        <v>348</v>
      </c>
      <c r="K256" s="2" t="s">
        <v>133</v>
      </c>
      <c r="L256" s="2" t="s">
        <v>29</v>
      </c>
      <c r="M256" s="2"/>
      <c r="N256" s="2" t="s">
        <v>379</v>
      </c>
      <c r="O256" s="2" t="s">
        <v>380</v>
      </c>
      <c r="P256" s="3">
        <v>723</v>
      </c>
      <c r="Q256" s="3">
        <v>723</v>
      </c>
      <c r="R256" s="4">
        <f t="shared" si="3"/>
        <v>1446</v>
      </c>
      <c r="S256" s="2" t="s">
        <v>31</v>
      </c>
      <c r="T256" s="2"/>
    </row>
    <row r="257" spans="1:20" x14ac:dyDescent="0.3">
      <c r="A257" s="2" t="s">
        <v>238</v>
      </c>
      <c r="B257" s="2" t="s">
        <v>21</v>
      </c>
      <c r="C257" s="2" t="s">
        <v>22</v>
      </c>
      <c r="D257" s="2" t="s">
        <v>23</v>
      </c>
      <c r="E257" s="2" t="s">
        <v>239</v>
      </c>
      <c r="F257" s="2" t="s">
        <v>152</v>
      </c>
      <c r="G257" s="2" t="s">
        <v>240</v>
      </c>
      <c r="H257" s="2" t="s">
        <v>152</v>
      </c>
      <c r="I257" s="2" t="s">
        <v>70</v>
      </c>
      <c r="J257" s="2" t="s">
        <v>70</v>
      </c>
      <c r="K257" s="2" t="s">
        <v>54</v>
      </c>
      <c r="L257" s="2" t="s">
        <v>29</v>
      </c>
      <c r="M257" s="2"/>
      <c r="N257" s="2" t="s">
        <v>70</v>
      </c>
      <c r="O257" s="2" t="s">
        <v>381</v>
      </c>
      <c r="P257" s="3">
        <v>1086</v>
      </c>
      <c r="Q257" s="3">
        <v>1086</v>
      </c>
      <c r="R257" s="4">
        <f t="shared" si="3"/>
        <v>2172</v>
      </c>
      <c r="S257" s="2" t="s">
        <v>31</v>
      </c>
      <c r="T257" s="2"/>
    </row>
    <row r="258" spans="1:20" x14ac:dyDescent="0.3">
      <c r="A258" s="2" t="s">
        <v>238</v>
      </c>
      <c r="B258" s="2" t="s">
        <v>21</v>
      </c>
      <c r="C258" s="2" t="s">
        <v>22</v>
      </c>
      <c r="D258" s="2" t="s">
        <v>23</v>
      </c>
      <c r="E258" s="2" t="s">
        <v>239</v>
      </c>
      <c r="F258" s="2" t="s">
        <v>152</v>
      </c>
      <c r="G258" s="2" t="s">
        <v>240</v>
      </c>
      <c r="H258" s="2" t="s">
        <v>152</v>
      </c>
      <c r="I258" s="2" t="s">
        <v>119</v>
      </c>
      <c r="J258" s="2" t="s">
        <v>120</v>
      </c>
      <c r="K258" s="2" t="s">
        <v>54</v>
      </c>
      <c r="L258" s="2" t="s">
        <v>29</v>
      </c>
      <c r="M258" s="2"/>
      <c r="N258" s="2" t="s">
        <v>119</v>
      </c>
      <c r="O258" s="2" t="s">
        <v>382</v>
      </c>
      <c r="P258" s="3">
        <v>1605</v>
      </c>
      <c r="Q258" s="3">
        <v>1605</v>
      </c>
      <c r="R258" s="4">
        <f t="shared" ref="R258:R321" si="4">IF(P258="","",P258+Q258)</f>
        <v>3210</v>
      </c>
      <c r="S258" s="2" t="s">
        <v>31</v>
      </c>
      <c r="T258" s="2"/>
    </row>
    <row r="259" spans="1:20" x14ac:dyDescent="0.3">
      <c r="A259" s="2" t="s">
        <v>238</v>
      </c>
      <c r="B259" s="2" t="s">
        <v>21</v>
      </c>
      <c r="C259" s="2" t="s">
        <v>22</v>
      </c>
      <c r="D259" s="2" t="s">
        <v>23</v>
      </c>
      <c r="E259" s="2" t="s">
        <v>239</v>
      </c>
      <c r="F259" s="2" t="s">
        <v>152</v>
      </c>
      <c r="G259" s="2" t="s">
        <v>240</v>
      </c>
      <c r="H259" s="2" t="s">
        <v>152</v>
      </c>
      <c r="I259" s="2" t="s">
        <v>43</v>
      </c>
      <c r="J259" s="2" t="s">
        <v>44</v>
      </c>
      <c r="K259" s="2" t="s">
        <v>45</v>
      </c>
      <c r="L259" s="2" t="s">
        <v>29</v>
      </c>
      <c r="M259" s="2"/>
      <c r="N259" s="2" t="s">
        <v>43</v>
      </c>
      <c r="O259" s="2" t="s">
        <v>243</v>
      </c>
      <c r="P259" s="3">
        <v>761</v>
      </c>
      <c r="Q259" s="3">
        <v>761</v>
      </c>
      <c r="R259" s="4">
        <f t="shared" si="4"/>
        <v>1522</v>
      </c>
      <c r="S259" s="2" t="s">
        <v>31</v>
      </c>
      <c r="T259" s="2"/>
    </row>
    <row r="260" spans="1:20" x14ac:dyDescent="0.3">
      <c r="A260" s="2" t="s">
        <v>238</v>
      </c>
      <c r="B260" s="2" t="s">
        <v>21</v>
      </c>
      <c r="C260" s="2" t="s">
        <v>22</v>
      </c>
      <c r="D260" s="2" t="s">
        <v>23</v>
      </c>
      <c r="E260" s="2" t="s">
        <v>239</v>
      </c>
      <c r="F260" s="2" t="s">
        <v>152</v>
      </c>
      <c r="G260" s="2" t="s">
        <v>240</v>
      </c>
      <c r="H260" s="2" t="s">
        <v>152</v>
      </c>
      <c r="I260" s="2" t="s">
        <v>60</v>
      </c>
      <c r="J260" s="2" t="s">
        <v>60</v>
      </c>
      <c r="K260" s="2" t="s">
        <v>54</v>
      </c>
      <c r="L260" s="2" t="s">
        <v>29</v>
      </c>
      <c r="M260" s="2"/>
      <c r="N260" s="2" t="s">
        <v>60</v>
      </c>
      <c r="O260" s="2" t="s">
        <v>383</v>
      </c>
      <c r="P260" s="3">
        <v>1251</v>
      </c>
      <c r="Q260" s="3">
        <v>1251</v>
      </c>
      <c r="R260" s="4">
        <f t="shared" si="4"/>
        <v>2502</v>
      </c>
      <c r="S260" s="2" t="s">
        <v>31</v>
      </c>
      <c r="T260" s="2"/>
    </row>
    <row r="261" spans="1:20" x14ac:dyDescent="0.3">
      <c r="A261" s="2" t="s">
        <v>238</v>
      </c>
      <c r="B261" s="2" t="s">
        <v>21</v>
      </c>
      <c r="C261" s="2" t="s">
        <v>22</v>
      </c>
      <c r="D261" s="2" t="s">
        <v>23</v>
      </c>
      <c r="E261" s="2" t="s">
        <v>239</v>
      </c>
      <c r="F261" s="2" t="s">
        <v>152</v>
      </c>
      <c r="G261" s="2" t="s">
        <v>240</v>
      </c>
      <c r="H261" s="2" t="s">
        <v>152</v>
      </c>
      <c r="I261" s="2" t="s">
        <v>65</v>
      </c>
      <c r="J261" s="2" t="s">
        <v>65</v>
      </c>
      <c r="K261" s="2" t="s">
        <v>28</v>
      </c>
      <c r="L261" s="2" t="s">
        <v>29</v>
      </c>
      <c r="M261" s="2"/>
      <c r="N261" s="2" t="s">
        <v>65</v>
      </c>
      <c r="O261" s="2" t="s">
        <v>384</v>
      </c>
      <c r="P261" s="3">
        <v>777</v>
      </c>
      <c r="Q261" s="3">
        <v>777</v>
      </c>
      <c r="R261" s="4">
        <f t="shared" si="4"/>
        <v>1554</v>
      </c>
      <c r="S261" s="2" t="s">
        <v>31</v>
      </c>
      <c r="T261" s="2"/>
    </row>
    <row r="262" spans="1:20" x14ac:dyDescent="0.3">
      <c r="A262" s="2" t="s">
        <v>238</v>
      </c>
      <c r="B262" s="2" t="s">
        <v>21</v>
      </c>
      <c r="C262" s="2" t="s">
        <v>22</v>
      </c>
      <c r="D262" s="2" t="s">
        <v>23</v>
      </c>
      <c r="E262" s="2" t="s">
        <v>239</v>
      </c>
      <c r="F262" s="2" t="s">
        <v>152</v>
      </c>
      <c r="G262" s="2" t="s">
        <v>240</v>
      </c>
      <c r="H262" s="2" t="s">
        <v>152</v>
      </c>
      <c r="I262" s="2" t="s">
        <v>64</v>
      </c>
      <c r="J262" s="2" t="s">
        <v>65</v>
      </c>
      <c r="K262" s="2" t="s">
        <v>28</v>
      </c>
      <c r="L262" s="2" t="s">
        <v>29</v>
      </c>
      <c r="M262" s="2"/>
      <c r="N262" s="2" t="s">
        <v>64</v>
      </c>
      <c r="O262" s="2" t="s">
        <v>385</v>
      </c>
      <c r="P262" s="3">
        <v>856</v>
      </c>
      <c r="Q262" s="3">
        <v>856</v>
      </c>
      <c r="R262" s="4">
        <f t="shared" si="4"/>
        <v>1712</v>
      </c>
      <c r="S262" s="2" t="s">
        <v>31</v>
      </c>
      <c r="T262" s="2"/>
    </row>
    <row r="263" spans="1:20" x14ac:dyDescent="0.3">
      <c r="A263" s="2" t="s">
        <v>238</v>
      </c>
      <c r="B263" s="2" t="s">
        <v>21</v>
      </c>
      <c r="C263" s="2" t="s">
        <v>22</v>
      </c>
      <c r="D263" s="2" t="s">
        <v>23</v>
      </c>
      <c r="E263" s="2" t="s">
        <v>239</v>
      </c>
      <c r="F263" s="2" t="s">
        <v>152</v>
      </c>
      <c r="G263" s="2" t="s">
        <v>240</v>
      </c>
      <c r="H263" s="2" t="s">
        <v>152</v>
      </c>
      <c r="I263" s="2" t="s">
        <v>27</v>
      </c>
      <c r="J263" s="2" t="s">
        <v>27</v>
      </c>
      <c r="K263" s="2" t="s">
        <v>28</v>
      </c>
      <c r="L263" s="2" t="s">
        <v>29</v>
      </c>
      <c r="M263" s="2"/>
      <c r="N263" s="2" t="s">
        <v>27</v>
      </c>
      <c r="O263" s="2" t="s">
        <v>244</v>
      </c>
      <c r="P263" s="3">
        <v>1020</v>
      </c>
      <c r="Q263" s="3">
        <v>1020</v>
      </c>
      <c r="R263" s="4">
        <f t="shared" si="4"/>
        <v>2040</v>
      </c>
      <c r="S263" s="2" t="s">
        <v>31</v>
      </c>
      <c r="T263" s="2"/>
    </row>
    <row r="264" spans="1:20" x14ac:dyDescent="0.3">
      <c r="A264" s="2" t="s">
        <v>238</v>
      </c>
      <c r="B264" s="2" t="s">
        <v>21</v>
      </c>
      <c r="C264" s="2" t="s">
        <v>22</v>
      </c>
      <c r="D264" s="2" t="s">
        <v>23</v>
      </c>
      <c r="E264" s="2" t="s">
        <v>239</v>
      </c>
      <c r="F264" s="2" t="s">
        <v>152</v>
      </c>
      <c r="G264" s="2" t="s">
        <v>240</v>
      </c>
      <c r="H264" s="2" t="s">
        <v>152</v>
      </c>
      <c r="I264" s="2" t="s">
        <v>386</v>
      </c>
      <c r="J264" s="2" t="s">
        <v>90</v>
      </c>
      <c r="K264" s="2" t="s">
        <v>45</v>
      </c>
      <c r="L264" s="2" t="s">
        <v>29</v>
      </c>
      <c r="M264" s="2"/>
      <c r="N264" s="2" t="s">
        <v>386</v>
      </c>
      <c r="O264" s="2" t="s">
        <v>387</v>
      </c>
      <c r="P264" s="3">
        <v>543</v>
      </c>
      <c r="Q264" s="3">
        <v>543</v>
      </c>
      <c r="R264" s="4">
        <f t="shared" si="4"/>
        <v>1086</v>
      </c>
      <c r="S264" s="2" t="s">
        <v>31</v>
      </c>
      <c r="T264" s="2"/>
    </row>
    <row r="265" spans="1:20" x14ac:dyDescent="0.3">
      <c r="A265" s="2" t="s">
        <v>238</v>
      </c>
      <c r="B265" s="2" t="s">
        <v>21</v>
      </c>
      <c r="C265" s="2" t="s">
        <v>22</v>
      </c>
      <c r="D265" s="2" t="s">
        <v>23</v>
      </c>
      <c r="E265" s="2" t="s">
        <v>239</v>
      </c>
      <c r="F265" s="2" t="s">
        <v>152</v>
      </c>
      <c r="G265" s="2" t="s">
        <v>240</v>
      </c>
      <c r="H265" s="2" t="s">
        <v>152</v>
      </c>
      <c r="I265" s="2" t="s">
        <v>99</v>
      </c>
      <c r="J265" s="2" t="s">
        <v>90</v>
      </c>
      <c r="K265" s="2" t="s">
        <v>45</v>
      </c>
      <c r="L265" s="2" t="s">
        <v>29</v>
      </c>
      <c r="M265" s="2"/>
      <c r="N265" s="2" t="s">
        <v>99</v>
      </c>
      <c r="O265" s="2" t="s">
        <v>388</v>
      </c>
      <c r="P265" s="3">
        <v>569</v>
      </c>
      <c r="Q265" s="3">
        <v>569</v>
      </c>
      <c r="R265" s="4">
        <f t="shared" si="4"/>
        <v>1138</v>
      </c>
      <c r="S265" s="2" t="s">
        <v>31</v>
      </c>
      <c r="T265" s="2"/>
    </row>
    <row r="266" spans="1:20" x14ac:dyDescent="0.3">
      <c r="A266" s="2" t="s">
        <v>238</v>
      </c>
      <c r="B266" s="2" t="s">
        <v>21</v>
      </c>
      <c r="C266" s="2" t="s">
        <v>22</v>
      </c>
      <c r="D266" s="2" t="s">
        <v>23</v>
      </c>
      <c r="E266" s="2" t="s">
        <v>239</v>
      </c>
      <c r="F266" s="2" t="s">
        <v>152</v>
      </c>
      <c r="G266" s="2" t="s">
        <v>240</v>
      </c>
      <c r="H266" s="2" t="s">
        <v>152</v>
      </c>
      <c r="I266" s="2" t="s">
        <v>101</v>
      </c>
      <c r="J266" s="2" t="s">
        <v>90</v>
      </c>
      <c r="K266" s="2" t="s">
        <v>45</v>
      </c>
      <c r="L266" s="2" t="s">
        <v>29</v>
      </c>
      <c r="M266" s="2"/>
      <c r="N266" s="2" t="s">
        <v>101</v>
      </c>
      <c r="O266" s="2" t="s">
        <v>389</v>
      </c>
      <c r="P266" s="3">
        <v>612</v>
      </c>
      <c r="Q266" s="3">
        <v>612</v>
      </c>
      <c r="R266" s="4">
        <f t="shared" si="4"/>
        <v>1224</v>
      </c>
      <c r="S266" s="2" t="s">
        <v>31</v>
      </c>
      <c r="T266" s="2"/>
    </row>
    <row r="267" spans="1:20" x14ac:dyDescent="0.3">
      <c r="A267" s="2" t="s">
        <v>238</v>
      </c>
      <c r="B267" s="2" t="s">
        <v>21</v>
      </c>
      <c r="C267" s="2" t="s">
        <v>22</v>
      </c>
      <c r="D267" s="2" t="s">
        <v>23</v>
      </c>
      <c r="E267" s="2" t="s">
        <v>239</v>
      </c>
      <c r="F267" s="2" t="s">
        <v>152</v>
      </c>
      <c r="G267" s="2" t="s">
        <v>240</v>
      </c>
      <c r="H267" s="2" t="s">
        <v>152</v>
      </c>
      <c r="I267" s="2" t="s">
        <v>390</v>
      </c>
      <c r="J267" s="2" t="s">
        <v>90</v>
      </c>
      <c r="K267" s="2" t="s">
        <v>45</v>
      </c>
      <c r="L267" s="2" t="s">
        <v>29</v>
      </c>
      <c r="M267" s="2"/>
      <c r="N267" s="2" t="s">
        <v>390</v>
      </c>
      <c r="O267" s="2" t="s">
        <v>391</v>
      </c>
      <c r="P267" s="3">
        <v>482</v>
      </c>
      <c r="Q267" s="3">
        <v>482</v>
      </c>
      <c r="R267" s="4">
        <f t="shared" si="4"/>
        <v>964</v>
      </c>
      <c r="S267" s="2" t="s">
        <v>31</v>
      </c>
      <c r="T267" s="2"/>
    </row>
    <row r="268" spans="1:20" x14ac:dyDescent="0.3">
      <c r="A268" s="2" t="s">
        <v>238</v>
      </c>
      <c r="B268" s="2" t="s">
        <v>21</v>
      </c>
      <c r="C268" s="2" t="s">
        <v>22</v>
      </c>
      <c r="D268" s="2" t="s">
        <v>23</v>
      </c>
      <c r="E268" s="2" t="s">
        <v>239</v>
      </c>
      <c r="F268" s="2" t="s">
        <v>152</v>
      </c>
      <c r="G268" s="2" t="s">
        <v>240</v>
      </c>
      <c r="H268" s="2" t="s">
        <v>152</v>
      </c>
      <c r="I268" s="2" t="s">
        <v>392</v>
      </c>
      <c r="J268" s="2" t="s">
        <v>35</v>
      </c>
      <c r="K268" s="2" t="s">
        <v>45</v>
      </c>
      <c r="L268" s="2" t="s">
        <v>29</v>
      </c>
      <c r="M268" s="2"/>
      <c r="N268" s="2" t="s">
        <v>392</v>
      </c>
      <c r="O268" s="2" t="s">
        <v>393</v>
      </c>
      <c r="P268" s="3">
        <v>872</v>
      </c>
      <c r="Q268" s="3">
        <v>872</v>
      </c>
      <c r="R268" s="4">
        <f t="shared" si="4"/>
        <v>1744</v>
      </c>
      <c r="S268" s="2" t="s">
        <v>31</v>
      </c>
      <c r="T268" s="2"/>
    </row>
    <row r="269" spans="1:20" x14ac:dyDescent="0.3">
      <c r="A269" s="2" t="s">
        <v>238</v>
      </c>
      <c r="B269" s="2" t="s">
        <v>21</v>
      </c>
      <c r="C269" s="2" t="s">
        <v>22</v>
      </c>
      <c r="D269" s="2" t="s">
        <v>23</v>
      </c>
      <c r="E269" s="2" t="s">
        <v>239</v>
      </c>
      <c r="F269" s="2" t="s">
        <v>152</v>
      </c>
      <c r="G269" s="2" t="s">
        <v>240</v>
      </c>
      <c r="H269" s="2" t="s">
        <v>152</v>
      </c>
      <c r="I269" s="2" t="s">
        <v>34</v>
      </c>
      <c r="J269" s="2" t="s">
        <v>35</v>
      </c>
      <c r="K269" s="2" t="s">
        <v>45</v>
      </c>
      <c r="L269" s="2" t="s">
        <v>29</v>
      </c>
      <c r="M269" s="2"/>
      <c r="N269" s="2" t="s">
        <v>34</v>
      </c>
      <c r="O269" s="2" t="s">
        <v>394</v>
      </c>
      <c r="P269" s="3">
        <v>795</v>
      </c>
      <c r="Q269" s="3">
        <v>795</v>
      </c>
      <c r="R269" s="4">
        <f t="shared" si="4"/>
        <v>1590</v>
      </c>
      <c r="S269" s="2" t="s">
        <v>31</v>
      </c>
      <c r="T269" s="2"/>
    </row>
    <row r="270" spans="1:20" x14ac:dyDescent="0.3">
      <c r="A270" s="2" t="s">
        <v>238</v>
      </c>
      <c r="B270" s="2" t="s">
        <v>21</v>
      </c>
      <c r="C270" s="2" t="s">
        <v>22</v>
      </c>
      <c r="D270" s="2" t="s">
        <v>23</v>
      </c>
      <c r="E270" s="2" t="s">
        <v>239</v>
      </c>
      <c r="F270" s="2" t="s">
        <v>152</v>
      </c>
      <c r="G270" s="2" t="s">
        <v>240</v>
      </c>
      <c r="H270" s="2" t="s">
        <v>152</v>
      </c>
      <c r="I270" s="2" t="s">
        <v>84</v>
      </c>
      <c r="J270" s="2" t="s">
        <v>35</v>
      </c>
      <c r="K270" s="2" t="s">
        <v>45</v>
      </c>
      <c r="L270" s="2" t="s">
        <v>29</v>
      </c>
      <c r="M270" s="2"/>
      <c r="N270" s="2" t="s">
        <v>84</v>
      </c>
      <c r="O270" s="2" t="s">
        <v>395</v>
      </c>
      <c r="P270" s="3">
        <v>863</v>
      </c>
      <c r="Q270" s="3">
        <v>863</v>
      </c>
      <c r="R270" s="4">
        <f t="shared" si="4"/>
        <v>1726</v>
      </c>
      <c r="S270" s="2" t="s">
        <v>31</v>
      </c>
      <c r="T270" s="2"/>
    </row>
    <row r="271" spans="1:20" x14ac:dyDescent="0.3">
      <c r="A271" s="2" t="s">
        <v>238</v>
      </c>
      <c r="B271" s="2" t="s">
        <v>21</v>
      </c>
      <c r="C271" s="2" t="s">
        <v>22</v>
      </c>
      <c r="D271" s="2" t="s">
        <v>23</v>
      </c>
      <c r="E271" s="2" t="s">
        <v>239</v>
      </c>
      <c r="F271" s="2" t="s">
        <v>152</v>
      </c>
      <c r="G271" s="2" t="s">
        <v>240</v>
      </c>
      <c r="H271" s="2" t="s">
        <v>152</v>
      </c>
      <c r="I271" s="2" t="s">
        <v>58</v>
      </c>
      <c r="J271" s="2" t="s">
        <v>48</v>
      </c>
      <c r="K271" s="2" t="s">
        <v>45</v>
      </c>
      <c r="L271" s="2" t="s">
        <v>29</v>
      </c>
      <c r="M271" s="2"/>
      <c r="N271" s="2" t="s">
        <v>58</v>
      </c>
      <c r="O271" s="2" t="s">
        <v>396</v>
      </c>
      <c r="P271" s="3">
        <v>696</v>
      </c>
      <c r="Q271" s="3">
        <v>696</v>
      </c>
      <c r="R271" s="4">
        <f t="shared" si="4"/>
        <v>1392</v>
      </c>
      <c r="S271" s="2" t="s">
        <v>31</v>
      </c>
      <c r="T271" s="2"/>
    </row>
    <row r="272" spans="1:20" x14ac:dyDescent="0.3">
      <c r="A272" s="2" t="s">
        <v>238</v>
      </c>
      <c r="B272" s="2" t="s">
        <v>21</v>
      </c>
      <c r="C272" s="2" t="s">
        <v>22</v>
      </c>
      <c r="D272" s="2" t="s">
        <v>23</v>
      </c>
      <c r="E272" s="2" t="s">
        <v>239</v>
      </c>
      <c r="F272" s="2" t="s">
        <v>152</v>
      </c>
      <c r="G272" s="2" t="s">
        <v>240</v>
      </c>
      <c r="H272" s="2" t="s">
        <v>152</v>
      </c>
      <c r="I272" s="2" t="s">
        <v>62</v>
      </c>
      <c r="J272" s="2" t="s">
        <v>48</v>
      </c>
      <c r="K272" s="2" t="s">
        <v>45</v>
      </c>
      <c r="L272" s="2" t="s">
        <v>29</v>
      </c>
      <c r="M272" s="2"/>
      <c r="N272" s="2" t="s">
        <v>62</v>
      </c>
      <c r="O272" s="2" t="s">
        <v>397</v>
      </c>
      <c r="P272" s="3">
        <v>699</v>
      </c>
      <c r="Q272" s="3">
        <v>699</v>
      </c>
      <c r="R272" s="4">
        <f t="shared" si="4"/>
        <v>1398</v>
      </c>
      <c r="S272" s="2" t="s">
        <v>31</v>
      </c>
      <c r="T272" s="2"/>
    </row>
    <row r="273" spans="1:20" x14ac:dyDescent="0.3">
      <c r="A273" s="2" t="s">
        <v>238</v>
      </c>
      <c r="B273" s="2" t="s">
        <v>21</v>
      </c>
      <c r="C273" s="2" t="s">
        <v>22</v>
      </c>
      <c r="D273" s="2" t="s">
        <v>23</v>
      </c>
      <c r="E273" s="2" t="s">
        <v>239</v>
      </c>
      <c r="F273" s="2" t="s">
        <v>152</v>
      </c>
      <c r="G273" s="2" t="s">
        <v>240</v>
      </c>
      <c r="H273" s="2" t="s">
        <v>152</v>
      </c>
      <c r="I273" s="2" t="s">
        <v>76</v>
      </c>
      <c r="J273" s="2" t="s">
        <v>77</v>
      </c>
      <c r="K273" s="2" t="s">
        <v>45</v>
      </c>
      <c r="L273" s="2" t="s">
        <v>29</v>
      </c>
      <c r="M273" s="2"/>
      <c r="N273" s="2" t="s">
        <v>76</v>
      </c>
      <c r="O273" s="2" t="s">
        <v>398</v>
      </c>
      <c r="P273" s="3">
        <v>1007</v>
      </c>
      <c r="Q273" s="3">
        <v>1007</v>
      </c>
      <c r="R273" s="4">
        <f t="shared" si="4"/>
        <v>2014</v>
      </c>
      <c r="S273" s="2" t="s">
        <v>31</v>
      </c>
      <c r="T273" s="2"/>
    </row>
    <row r="274" spans="1:20" x14ac:dyDescent="0.3">
      <c r="A274" s="2" t="s">
        <v>238</v>
      </c>
      <c r="B274" s="2" t="s">
        <v>21</v>
      </c>
      <c r="C274" s="2" t="s">
        <v>22</v>
      </c>
      <c r="D274" s="2" t="s">
        <v>23</v>
      </c>
      <c r="E274" s="2" t="s">
        <v>239</v>
      </c>
      <c r="F274" s="2" t="s">
        <v>152</v>
      </c>
      <c r="G274" s="2" t="s">
        <v>240</v>
      </c>
      <c r="H274" s="2" t="s">
        <v>152</v>
      </c>
      <c r="I274" s="2" t="s">
        <v>122</v>
      </c>
      <c r="J274" s="2" t="s">
        <v>77</v>
      </c>
      <c r="K274" s="2" t="s">
        <v>45</v>
      </c>
      <c r="L274" s="2" t="s">
        <v>29</v>
      </c>
      <c r="M274" s="2"/>
      <c r="N274" s="2" t="s">
        <v>122</v>
      </c>
      <c r="O274" s="2" t="s">
        <v>399</v>
      </c>
      <c r="P274" s="3">
        <v>1030</v>
      </c>
      <c r="Q274" s="3">
        <v>1030</v>
      </c>
      <c r="R274" s="4">
        <f t="shared" si="4"/>
        <v>2060</v>
      </c>
      <c r="S274" s="2" t="s">
        <v>31</v>
      </c>
      <c r="T274" s="2"/>
    </row>
    <row r="275" spans="1:20" x14ac:dyDescent="0.3">
      <c r="A275" s="2" t="s">
        <v>238</v>
      </c>
      <c r="B275" s="2" t="s">
        <v>21</v>
      </c>
      <c r="C275" s="2" t="s">
        <v>22</v>
      </c>
      <c r="D275" s="2" t="s">
        <v>23</v>
      </c>
      <c r="E275" s="2" t="s">
        <v>239</v>
      </c>
      <c r="F275" s="2" t="s">
        <v>152</v>
      </c>
      <c r="G275" s="2" t="s">
        <v>240</v>
      </c>
      <c r="H275" s="2" t="s">
        <v>152</v>
      </c>
      <c r="I275" s="2" t="s">
        <v>50</v>
      </c>
      <c r="J275" s="2" t="s">
        <v>50</v>
      </c>
      <c r="K275" s="2" t="s">
        <v>28</v>
      </c>
      <c r="L275" s="2" t="s">
        <v>29</v>
      </c>
      <c r="M275" s="2"/>
      <c r="N275" s="2" t="s">
        <v>50</v>
      </c>
      <c r="O275" s="2" t="s">
        <v>400</v>
      </c>
      <c r="P275" s="3">
        <v>927</v>
      </c>
      <c r="Q275" s="3">
        <v>927</v>
      </c>
      <c r="R275" s="4">
        <f t="shared" si="4"/>
        <v>1854</v>
      </c>
      <c r="S275" s="2" t="s">
        <v>31</v>
      </c>
      <c r="T275" s="2"/>
    </row>
    <row r="276" spans="1:20" x14ac:dyDescent="0.3">
      <c r="A276" s="2" t="s">
        <v>238</v>
      </c>
      <c r="B276" s="2" t="s">
        <v>21</v>
      </c>
      <c r="C276" s="2" t="s">
        <v>22</v>
      </c>
      <c r="D276" s="2" t="s">
        <v>23</v>
      </c>
      <c r="E276" s="2" t="s">
        <v>239</v>
      </c>
      <c r="F276" s="2" t="s">
        <v>152</v>
      </c>
      <c r="G276" s="2" t="s">
        <v>240</v>
      </c>
      <c r="H276" s="2" t="s">
        <v>152</v>
      </c>
      <c r="I276" s="2" t="s">
        <v>401</v>
      </c>
      <c r="J276" s="2" t="s">
        <v>104</v>
      </c>
      <c r="K276" s="2" t="s">
        <v>28</v>
      </c>
      <c r="L276" s="2" t="s">
        <v>29</v>
      </c>
      <c r="M276" s="2"/>
      <c r="N276" s="2" t="s">
        <v>401</v>
      </c>
      <c r="O276" s="2" t="s">
        <v>402</v>
      </c>
      <c r="P276" s="3">
        <v>817</v>
      </c>
      <c r="Q276" s="3">
        <v>817</v>
      </c>
      <c r="R276" s="4">
        <f t="shared" si="4"/>
        <v>1634</v>
      </c>
      <c r="S276" s="2" t="s">
        <v>31</v>
      </c>
      <c r="T276" s="2"/>
    </row>
    <row r="277" spans="1:20" x14ac:dyDescent="0.3">
      <c r="A277" s="2" t="s">
        <v>238</v>
      </c>
      <c r="B277" s="2" t="s">
        <v>21</v>
      </c>
      <c r="C277" s="2" t="s">
        <v>22</v>
      </c>
      <c r="D277" s="2" t="s">
        <v>23</v>
      </c>
      <c r="E277" s="2" t="s">
        <v>239</v>
      </c>
      <c r="F277" s="2" t="s">
        <v>152</v>
      </c>
      <c r="G277" s="2" t="s">
        <v>240</v>
      </c>
      <c r="H277" s="2" t="s">
        <v>152</v>
      </c>
      <c r="I277" s="2" t="s">
        <v>403</v>
      </c>
      <c r="J277" s="2" t="s">
        <v>50</v>
      </c>
      <c r="K277" s="2" t="s">
        <v>28</v>
      </c>
      <c r="L277" s="2" t="s">
        <v>29</v>
      </c>
      <c r="M277" s="2"/>
      <c r="N277" s="2" t="s">
        <v>403</v>
      </c>
      <c r="O277" s="2" t="s">
        <v>404</v>
      </c>
      <c r="P277" s="3">
        <v>1016</v>
      </c>
      <c r="Q277" s="3">
        <v>1016</v>
      </c>
      <c r="R277" s="4">
        <f t="shared" si="4"/>
        <v>2032</v>
      </c>
      <c r="S277" s="2" t="s">
        <v>31</v>
      </c>
      <c r="T277" s="2"/>
    </row>
    <row r="278" spans="1:20" x14ac:dyDescent="0.3">
      <c r="A278" s="2" t="s">
        <v>238</v>
      </c>
      <c r="B278" s="2" t="s">
        <v>21</v>
      </c>
      <c r="C278" s="2" t="s">
        <v>22</v>
      </c>
      <c r="D278" s="2" t="s">
        <v>23</v>
      </c>
      <c r="E278" s="2" t="s">
        <v>239</v>
      </c>
      <c r="F278" s="2" t="s">
        <v>152</v>
      </c>
      <c r="G278" s="2" t="s">
        <v>240</v>
      </c>
      <c r="H278" s="2" t="s">
        <v>152</v>
      </c>
      <c r="I278" s="2" t="s">
        <v>56</v>
      </c>
      <c r="J278" s="2" t="s">
        <v>53</v>
      </c>
      <c r="K278" s="2" t="s">
        <v>54</v>
      </c>
      <c r="L278" s="2" t="s">
        <v>29</v>
      </c>
      <c r="M278" s="2"/>
      <c r="N278" s="2" t="s">
        <v>56</v>
      </c>
      <c r="O278" s="2" t="s">
        <v>405</v>
      </c>
      <c r="P278" s="3">
        <v>1205</v>
      </c>
      <c r="Q278" s="3">
        <v>1205</v>
      </c>
      <c r="R278" s="4">
        <f t="shared" si="4"/>
        <v>2410</v>
      </c>
      <c r="S278" s="2" t="s">
        <v>31</v>
      </c>
      <c r="T278" s="2"/>
    </row>
    <row r="279" spans="1:20" x14ac:dyDescent="0.3">
      <c r="A279" s="2" t="s">
        <v>238</v>
      </c>
      <c r="B279" s="2" t="s">
        <v>21</v>
      </c>
      <c r="C279" s="2" t="s">
        <v>22</v>
      </c>
      <c r="D279" s="2" t="s">
        <v>23</v>
      </c>
      <c r="E279" s="2" t="s">
        <v>239</v>
      </c>
      <c r="F279" s="2" t="s">
        <v>152</v>
      </c>
      <c r="G279" s="2" t="s">
        <v>240</v>
      </c>
      <c r="H279" s="2" t="s">
        <v>152</v>
      </c>
      <c r="I279" s="2" t="s">
        <v>52</v>
      </c>
      <c r="J279" s="2" t="s">
        <v>53</v>
      </c>
      <c r="K279" s="2" t="s">
        <v>54</v>
      </c>
      <c r="L279" s="2" t="s">
        <v>29</v>
      </c>
      <c r="M279" s="2"/>
      <c r="N279" s="2" t="s">
        <v>52</v>
      </c>
      <c r="O279" s="2" t="s">
        <v>406</v>
      </c>
      <c r="P279" s="3">
        <v>949</v>
      </c>
      <c r="Q279" s="3">
        <v>949</v>
      </c>
      <c r="R279" s="4">
        <f t="shared" si="4"/>
        <v>1898</v>
      </c>
      <c r="S279" s="2" t="s">
        <v>31</v>
      </c>
      <c r="T279" s="2"/>
    </row>
    <row r="280" spans="1:20" x14ac:dyDescent="0.3">
      <c r="A280" s="2" t="s">
        <v>238</v>
      </c>
      <c r="B280" s="2" t="s">
        <v>21</v>
      </c>
      <c r="C280" s="2" t="s">
        <v>22</v>
      </c>
      <c r="D280" s="2" t="s">
        <v>23</v>
      </c>
      <c r="E280" s="2" t="s">
        <v>239</v>
      </c>
      <c r="F280" s="2" t="s">
        <v>152</v>
      </c>
      <c r="G280" s="2" t="s">
        <v>240</v>
      </c>
      <c r="H280" s="2" t="s">
        <v>152</v>
      </c>
      <c r="I280" s="2" t="s">
        <v>92</v>
      </c>
      <c r="J280" s="2" t="s">
        <v>93</v>
      </c>
      <c r="K280" s="2" t="s">
        <v>28</v>
      </c>
      <c r="L280" s="2" t="s">
        <v>29</v>
      </c>
      <c r="M280" s="2"/>
      <c r="N280" s="2" t="s">
        <v>92</v>
      </c>
      <c r="O280" s="2" t="s">
        <v>407</v>
      </c>
      <c r="P280" s="3">
        <v>891</v>
      </c>
      <c r="Q280" s="3">
        <v>891</v>
      </c>
      <c r="R280" s="4">
        <f t="shared" si="4"/>
        <v>1782</v>
      </c>
      <c r="S280" s="2" t="s">
        <v>31</v>
      </c>
      <c r="T280" s="2"/>
    </row>
    <row r="281" spans="1:20" x14ac:dyDescent="0.3">
      <c r="A281" s="2" t="s">
        <v>238</v>
      </c>
      <c r="B281" s="2" t="s">
        <v>21</v>
      </c>
      <c r="C281" s="2" t="s">
        <v>22</v>
      </c>
      <c r="D281" s="2" t="s">
        <v>23</v>
      </c>
      <c r="E281" s="2" t="s">
        <v>239</v>
      </c>
      <c r="F281" s="2" t="s">
        <v>152</v>
      </c>
      <c r="G281" s="2" t="s">
        <v>240</v>
      </c>
      <c r="H281" s="2" t="s">
        <v>152</v>
      </c>
      <c r="I281" s="2" t="s">
        <v>72</v>
      </c>
      <c r="J281" s="2" t="s">
        <v>73</v>
      </c>
      <c r="K281" s="2" t="s">
        <v>54</v>
      </c>
      <c r="L281" s="2" t="s">
        <v>29</v>
      </c>
      <c r="M281" s="2"/>
      <c r="N281" s="2" t="s">
        <v>72</v>
      </c>
      <c r="O281" s="2" t="s">
        <v>408</v>
      </c>
      <c r="P281" s="3">
        <v>1373</v>
      </c>
      <c r="Q281" s="3">
        <v>1373</v>
      </c>
      <c r="R281" s="4">
        <f t="shared" si="4"/>
        <v>2746</v>
      </c>
      <c r="S281" s="2" t="s">
        <v>31</v>
      </c>
      <c r="T281" s="2"/>
    </row>
    <row r="282" spans="1:20" x14ac:dyDescent="0.3">
      <c r="A282" s="2" t="s">
        <v>238</v>
      </c>
      <c r="B282" s="2" t="s">
        <v>21</v>
      </c>
      <c r="C282" s="2" t="s">
        <v>22</v>
      </c>
      <c r="D282" s="2" t="s">
        <v>23</v>
      </c>
      <c r="E282" s="2" t="s">
        <v>239</v>
      </c>
      <c r="F282" s="2" t="s">
        <v>152</v>
      </c>
      <c r="G282" s="2" t="s">
        <v>240</v>
      </c>
      <c r="H282" s="2" t="s">
        <v>152</v>
      </c>
      <c r="I282" s="2" t="s">
        <v>113</v>
      </c>
      <c r="J282" s="2" t="s">
        <v>73</v>
      </c>
      <c r="K282" s="2" t="s">
        <v>54</v>
      </c>
      <c r="L282" s="2" t="s">
        <v>29</v>
      </c>
      <c r="M282" s="2"/>
      <c r="N282" s="2" t="s">
        <v>113</v>
      </c>
      <c r="O282" s="2" t="s">
        <v>409</v>
      </c>
      <c r="P282" s="3">
        <v>1525</v>
      </c>
      <c r="Q282" s="3">
        <v>1525</v>
      </c>
      <c r="R282" s="4">
        <f t="shared" si="4"/>
        <v>3050</v>
      </c>
      <c r="S282" s="2" t="s">
        <v>31</v>
      </c>
      <c r="T282" s="2"/>
    </row>
    <row r="283" spans="1:20" x14ac:dyDescent="0.3">
      <c r="A283" s="2" t="s">
        <v>238</v>
      </c>
      <c r="B283" s="2" t="s">
        <v>21</v>
      </c>
      <c r="C283" s="2" t="s">
        <v>22</v>
      </c>
      <c r="D283" s="2" t="s">
        <v>23</v>
      </c>
      <c r="E283" s="2" t="s">
        <v>239</v>
      </c>
      <c r="F283" s="2" t="s">
        <v>152</v>
      </c>
      <c r="G283" s="2" t="s">
        <v>240</v>
      </c>
      <c r="H283" s="2" t="s">
        <v>152</v>
      </c>
      <c r="I283" s="2" t="s">
        <v>410</v>
      </c>
      <c r="J283" s="2" t="s">
        <v>73</v>
      </c>
      <c r="K283" s="2" t="s">
        <v>54</v>
      </c>
      <c r="L283" s="2" t="s">
        <v>29</v>
      </c>
      <c r="M283" s="2"/>
      <c r="N283" s="2" t="s">
        <v>410</v>
      </c>
      <c r="O283" s="2" t="s">
        <v>411</v>
      </c>
      <c r="P283" s="3">
        <v>1606</v>
      </c>
      <c r="Q283" s="3">
        <v>1606</v>
      </c>
      <c r="R283" s="4">
        <f t="shared" si="4"/>
        <v>3212</v>
      </c>
      <c r="S283" s="2" t="s">
        <v>31</v>
      </c>
      <c r="T283" s="2"/>
    </row>
    <row r="284" spans="1:20" x14ac:dyDescent="0.3">
      <c r="A284" s="2" t="s">
        <v>238</v>
      </c>
      <c r="B284" s="2" t="s">
        <v>21</v>
      </c>
      <c r="C284" s="2" t="s">
        <v>22</v>
      </c>
      <c r="D284" s="2" t="s">
        <v>23</v>
      </c>
      <c r="E284" s="2" t="s">
        <v>239</v>
      </c>
      <c r="F284" s="2" t="s">
        <v>152</v>
      </c>
      <c r="G284" s="2" t="s">
        <v>240</v>
      </c>
      <c r="H284" s="2" t="s">
        <v>152</v>
      </c>
      <c r="I284" s="2" t="s">
        <v>87</v>
      </c>
      <c r="J284" s="2" t="s">
        <v>48</v>
      </c>
      <c r="K284" s="2" t="s">
        <v>45</v>
      </c>
      <c r="L284" s="2" t="s">
        <v>29</v>
      </c>
      <c r="M284" s="2"/>
      <c r="N284" s="2" t="s">
        <v>87</v>
      </c>
      <c r="O284" s="2" t="s">
        <v>412</v>
      </c>
      <c r="P284" s="3">
        <v>583</v>
      </c>
      <c r="Q284" s="3">
        <v>583</v>
      </c>
      <c r="R284" s="4">
        <f t="shared" si="4"/>
        <v>1166</v>
      </c>
      <c r="S284" s="2" t="s">
        <v>31</v>
      </c>
      <c r="T284" s="2"/>
    </row>
    <row r="285" spans="1:20" x14ac:dyDescent="0.3">
      <c r="A285" s="2" t="s">
        <v>238</v>
      </c>
      <c r="B285" s="2" t="s">
        <v>21</v>
      </c>
      <c r="C285" s="2" t="s">
        <v>22</v>
      </c>
      <c r="D285" s="2" t="s">
        <v>23</v>
      </c>
      <c r="E285" s="2" t="s">
        <v>239</v>
      </c>
      <c r="F285" s="2" t="s">
        <v>152</v>
      </c>
      <c r="G285" s="2" t="s">
        <v>240</v>
      </c>
      <c r="H285" s="2" t="s">
        <v>152</v>
      </c>
      <c r="I285" s="2" t="s">
        <v>68</v>
      </c>
      <c r="J285" s="2" t="s">
        <v>68</v>
      </c>
      <c r="K285" s="2" t="s">
        <v>28</v>
      </c>
      <c r="L285" s="2" t="s">
        <v>29</v>
      </c>
      <c r="M285" s="2"/>
      <c r="N285" s="2" t="s">
        <v>68</v>
      </c>
      <c r="O285" s="2" t="s">
        <v>413</v>
      </c>
      <c r="P285" s="3">
        <v>1050</v>
      </c>
      <c r="Q285" s="3">
        <v>1050</v>
      </c>
      <c r="R285" s="4">
        <f t="shared" si="4"/>
        <v>2100</v>
      </c>
      <c r="S285" s="2" t="s">
        <v>31</v>
      </c>
      <c r="T285" s="2"/>
    </row>
    <row r="286" spans="1:20" x14ac:dyDescent="0.3">
      <c r="A286" s="2" t="s">
        <v>238</v>
      </c>
      <c r="B286" s="2" t="s">
        <v>21</v>
      </c>
      <c r="C286" s="2" t="s">
        <v>22</v>
      </c>
      <c r="D286" s="2" t="s">
        <v>23</v>
      </c>
      <c r="E286" s="2" t="s">
        <v>239</v>
      </c>
      <c r="F286" s="2" t="s">
        <v>152</v>
      </c>
      <c r="G286" s="2" t="s">
        <v>240</v>
      </c>
      <c r="H286" s="2" t="s">
        <v>152</v>
      </c>
      <c r="I286" s="2" t="s">
        <v>414</v>
      </c>
      <c r="J286" s="2" t="s">
        <v>230</v>
      </c>
      <c r="K286" s="2" t="s">
        <v>45</v>
      </c>
      <c r="L286" s="2" t="s">
        <v>29</v>
      </c>
      <c r="M286" s="2"/>
      <c r="N286" s="2" t="s">
        <v>414</v>
      </c>
      <c r="O286" s="2" t="s">
        <v>415</v>
      </c>
      <c r="P286" s="3">
        <v>477</v>
      </c>
      <c r="Q286" s="3">
        <v>477</v>
      </c>
      <c r="R286" s="4">
        <f t="shared" si="4"/>
        <v>954</v>
      </c>
      <c r="S286" s="2" t="s">
        <v>31</v>
      </c>
      <c r="T286" s="2"/>
    </row>
    <row r="287" spans="1:20" x14ac:dyDescent="0.3">
      <c r="A287" s="2" t="s">
        <v>238</v>
      </c>
      <c r="B287" s="2" t="s">
        <v>21</v>
      </c>
      <c r="C287" s="2" t="s">
        <v>22</v>
      </c>
      <c r="D287" s="2" t="s">
        <v>23</v>
      </c>
      <c r="E287" s="2" t="s">
        <v>239</v>
      </c>
      <c r="F287" s="2" t="s">
        <v>152</v>
      </c>
      <c r="G287" s="2" t="s">
        <v>240</v>
      </c>
      <c r="H287" s="2" t="s">
        <v>152</v>
      </c>
      <c r="I287" s="2" t="s">
        <v>229</v>
      </c>
      <c r="J287" s="2" t="s">
        <v>230</v>
      </c>
      <c r="K287" s="2" t="s">
        <v>45</v>
      </c>
      <c r="L287" s="2" t="s">
        <v>29</v>
      </c>
      <c r="M287" s="2"/>
      <c r="N287" s="2" t="s">
        <v>229</v>
      </c>
      <c r="O287" s="2" t="s">
        <v>416</v>
      </c>
      <c r="P287" s="3">
        <v>369</v>
      </c>
      <c r="Q287" s="3">
        <v>369</v>
      </c>
      <c r="R287" s="4">
        <f t="shared" si="4"/>
        <v>738</v>
      </c>
      <c r="S287" s="2" t="s">
        <v>31</v>
      </c>
      <c r="T287" s="2"/>
    </row>
    <row r="288" spans="1:20" x14ac:dyDescent="0.3">
      <c r="A288" s="2" t="s">
        <v>238</v>
      </c>
      <c r="B288" s="2" t="s">
        <v>21</v>
      </c>
      <c r="C288" s="2" t="s">
        <v>22</v>
      </c>
      <c r="D288" s="2" t="s">
        <v>23</v>
      </c>
      <c r="E288" s="2" t="s">
        <v>239</v>
      </c>
      <c r="F288" s="2" t="s">
        <v>152</v>
      </c>
      <c r="G288" s="2" t="s">
        <v>240</v>
      </c>
      <c r="H288" s="2" t="s">
        <v>152</v>
      </c>
      <c r="I288" s="2" t="s">
        <v>417</v>
      </c>
      <c r="J288" s="2" t="s">
        <v>230</v>
      </c>
      <c r="K288" s="2" t="s">
        <v>45</v>
      </c>
      <c r="L288" s="2" t="s">
        <v>29</v>
      </c>
      <c r="M288" s="2"/>
      <c r="N288" s="2" t="s">
        <v>417</v>
      </c>
      <c r="O288" s="2" t="s">
        <v>418</v>
      </c>
      <c r="P288" s="3">
        <v>316</v>
      </c>
      <c r="Q288" s="3">
        <v>316</v>
      </c>
      <c r="R288" s="4">
        <f t="shared" si="4"/>
        <v>632</v>
      </c>
      <c r="S288" s="2" t="s">
        <v>31</v>
      </c>
      <c r="T288" s="2"/>
    </row>
    <row r="289" spans="1:20" x14ac:dyDescent="0.3">
      <c r="A289" s="2" t="s">
        <v>238</v>
      </c>
      <c r="B289" s="2" t="s">
        <v>21</v>
      </c>
      <c r="C289" s="2" t="s">
        <v>22</v>
      </c>
      <c r="D289" s="2" t="s">
        <v>23</v>
      </c>
      <c r="E289" s="2" t="s">
        <v>239</v>
      </c>
      <c r="F289" s="2" t="s">
        <v>152</v>
      </c>
      <c r="G289" s="2" t="s">
        <v>240</v>
      </c>
      <c r="H289" s="2" t="s">
        <v>152</v>
      </c>
      <c r="I289" s="2" t="s">
        <v>282</v>
      </c>
      <c r="J289" s="2" t="s">
        <v>281</v>
      </c>
      <c r="K289" s="2" t="s">
        <v>38</v>
      </c>
      <c r="L289" s="2" t="s">
        <v>29</v>
      </c>
      <c r="M289" s="2"/>
      <c r="N289" s="2" t="s">
        <v>282</v>
      </c>
      <c r="O289" s="2" t="s">
        <v>419</v>
      </c>
      <c r="P289" s="3">
        <v>293</v>
      </c>
      <c r="Q289" s="3">
        <v>293</v>
      </c>
      <c r="R289" s="4">
        <f t="shared" si="4"/>
        <v>586</v>
      </c>
      <c r="S289" s="2" t="s">
        <v>31</v>
      </c>
      <c r="T289" s="2"/>
    </row>
    <row r="290" spans="1:20" x14ac:dyDescent="0.3">
      <c r="A290" s="2" t="s">
        <v>238</v>
      </c>
      <c r="B290" s="2" t="s">
        <v>21</v>
      </c>
      <c r="C290" s="2" t="s">
        <v>22</v>
      </c>
      <c r="D290" s="2" t="s">
        <v>23</v>
      </c>
      <c r="E290" s="2" t="s">
        <v>239</v>
      </c>
      <c r="F290" s="2" t="s">
        <v>152</v>
      </c>
      <c r="G290" s="2" t="s">
        <v>240</v>
      </c>
      <c r="H290" s="2" t="s">
        <v>152</v>
      </c>
      <c r="I290" s="2" t="s">
        <v>25</v>
      </c>
      <c r="J290" s="2" t="s">
        <v>26</v>
      </c>
      <c r="K290" s="2" t="s">
        <v>38</v>
      </c>
      <c r="L290" s="2" t="s">
        <v>29</v>
      </c>
      <c r="M290" s="2"/>
      <c r="N290" s="2" t="s">
        <v>25</v>
      </c>
      <c r="O290" s="2" t="s">
        <v>245</v>
      </c>
      <c r="P290" s="3">
        <v>157</v>
      </c>
      <c r="Q290" s="3">
        <v>157</v>
      </c>
      <c r="R290" s="4">
        <f t="shared" si="4"/>
        <v>314</v>
      </c>
      <c r="S290" s="2" t="s">
        <v>31</v>
      </c>
      <c r="T290" s="2"/>
    </row>
    <row r="291" spans="1:20" x14ac:dyDescent="0.3">
      <c r="A291" s="2" t="s">
        <v>238</v>
      </c>
      <c r="B291" s="2" t="s">
        <v>21</v>
      </c>
      <c r="C291" s="2" t="s">
        <v>22</v>
      </c>
      <c r="D291" s="2" t="s">
        <v>23</v>
      </c>
      <c r="E291" s="2" t="s">
        <v>239</v>
      </c>
      <c r="F291" s="2" t="s">
        <v>152</v>
      </c>
      <c r="G291" s="2" t="s">
        <v>240</v>
      </c>
      <c r="H291" s="2" t="s">
        <v>152</v>
      </c>
      <c r="I291" s="2" t="s">
        <v>420</v>
      </c>
      <c r="J291" s="2" t="s">
        <v>26</v>
      </c>
      <c r="K291" s="2" t="s">
        <v>38</v>
      </c>
      <c r="L291" s="2" t="s">
        <v>29</v>
      </c>
      <c r="M291" s="2"/>
      <c r="N291" s="2" t="s">
        <v>420</v>
      </c>
      <c r="O291" s="2" t="s">
        <v>421</v>
      </c>
      <c r="P291" s="3">
        <v>221</v>
      </c>
      <c r="Q291" s="3">
        <v>221</v>
      </c>
      <c r="R291" s="4">
        <f t="shared" si="4"/>
        <v>442</v>
      </c>
      <c r="S291" s="2" t="s">
        <v>31</v>
      </c>
      <c r="T291" s="2"/>
    </row>
    <row r="292" spans="1:20" x14ac:dyDescent="0.3">
      <c r="A292" s="2" t="s">
        <v>238</v>
      </c>
      <c r="B292" s="2" t="s">
        <v>21</v>
      </c>
      <c r="C292" s="2" t="s">
        <v>22</v>
      </c>
      <c r="D292" s="2" t="s">
        <v>23</v>
      </c>
      <c r="E292" s="2" t="s">
        <v>239</v>
      </c>
      <c r="F292" s="2" t="s">
        <v>152</v>
      </c>
      <c r="G292" s="2" t="s">
        <v>240</v>
      </c>
      <c r="H292" s="2" t="s">
        <v>152</v>
      </c>
      <c r="I292" s="2" t="s">
        <v>422</v>
      </c>
      <c r="J292" s="2" t="s">
        <v>37</v>
      </c>
      <c r="K292" s="2" t="s">
        <v>38</v>
      </c>
      <c r="L292" s="2" t="s">
        <v>29</v>
      </c>
      <c r="M292" s="2"/>
      <c r="N292" s="2" t="s">
        <v>422</v>
      </c>
      <c r="O292" s="2" t="s">
        <v>423</v>
      </c>
      <c r="P292" s="3">
        <v>135</v>
      </c>
      <c r="Q292" s="3">
        <v>135</v>
      </c>
      <c r="R292" s="4">
        <f t="shared" si="4"/>
        <v>270</v>
      </c>
      <c r="S292" s="2" t="s">
        <v>31</v>
      </c>
      <c r="T292" s="2"/>
    </row>
    <row r="293" spans="1:20" x14ac:dyDescent="0.3">
      <c r="A293" s="2" t="s">
        <v>238</v>
      </c>
      <c r="B293" s="2" t="s">
        <v>21</v>
      </c>
      <c r="C293" s="2" t="s">
        <v>22</v>
      </c>
      <c r="D293" s="2" t="s">
        <v>23</v>
      </c>
      <c r="E293" s="2" t="s">
        <v>239</v>
      </c>
      <c r="F293" s="2" t="s">
        <v>152</v>
      </c>
      <c r="G293" s="2" t="s">
        <v>240</v>
      </c>
      <c r="H293" s="2" t="s">
        <v>152</v>
      </c>
      <c r="I293" s="2" t="s">
        <v>286</v>
      </c>
      <c r="J293" s="2" t="s">
        <v>285</v>
      </c>
      <c r="K293" s="2" t="s">
        <v>38</v>
      </c>
      <c r="L293" s="2" t="s">
        <v>29</v>
      </c>
      <c r="M293" s="2"/>
      <c r="N293" s="2" t="s">
        <v>286</v>
      </c>
      <c r="O293" s="2" t="s">
        <v>424</v>
      </c>
      <c r="P293" s="3">
        <v>259</v>
      </c>
      <c r="Q293" s="3">
        <v>259</v>
      </c>
      <c r="R293" s="4">
        <f t="shared" si="4"/>
        <v>518</v>
      </c>
      <c r="S293" s="2" t="s">
        <v>31</v>
      </c>
      <c r="T293" s="2"/>
    </row>
    <row r="294" spans="1:20" x14ac:dyDescent="0.3">
      <c r="A294" s="2" t="s">
        <v>238</v>
      </c>
      <c r="B294" s="2" t="s">
        <v>21</v>
      </c>
      <c r="C294" s="2" t="s">
        <v>22</v>
      </c>
      <c r="D294" s="2" t="s">
        <v>23</v>
      </c>
      <c r="E294" s="2" t="s">
        <v>239</v>
      </c>
      <c r="F294" s="2" t="s">
        <v>152</v>
      </c>
      <c r="G294" s="2" t="s">
        <v>240</v>
      </c>
      <c r="H294" s="2" t="s">
        <v>152</v>
      </c>
      <c r="I294" s="2" t="s">
        <v>278</v>
      </c>
      <c r="J294" s="2" t="s">
        <v>277</v>
      </c>
      <c r="K294" s="2" t="s">
        <v>38</v>
      </c>
      <c r="L294" s="2" t="s">
        <v>29</v>
      </c>
      <c r="M294" s="2"/>
      <c r="N294" s="2" t="s">
        <v>278</v>
      </c>
      <c r="O294" s="2" t="s">
        <v>425</v>
      </c>
      <c r="P294" s="3">
        <v>320</v>
      </c>
      <c r="Q294" s="3">
        <v>320</v>
      </c>
      <c r="R294" s="4">
        <f t="shared" si="4"/>
        <v>640</v>
      </c>
      <c r="S294" s="2" t="s">
        <v>31</v>
      </c>
      <c r="T294" s="2"/>
    </row>
    <row r="295" spans="1:20" x14ac:dyDescent="0.3">
      <c r="A295" s="2" t="s">
        <v>238</v>
      </c>
      <c r="B295" s="2" t="s">
        <v>21</v>
      </c>
      <c r="C295" s="2" t="s">
        <v>22</v>
      </c>
      <c r="D295" s="2" t="s">
        <v>23</v>
      </c>
      <c r="E295" s="2" t="s">
        <v>239</v>
      </c>
      <c r="F295" s="2" t="s">
        <v>152</v>
      </c>
      <c r="G295" s="2" t="s">
        <v>240</v>
      </c>
      <c r="H295" s="2" t="s">
        <v>152</v>
      </c>
      <c r="I295" s="2" t="s">
        <v>426</v>
      </c>
      <c r="J295" s="2" t="s">
        <v>132</v>
      </c>
      <c r="K295" s="2" t="s">
        <v>133</v>
      </c>
      <c r="L295" s="2" t="s">
        <v>29</v>
      </c>
      <c r="M295" s="2"/>
      <c r="N295" s="2" t="s">
        <v>426</v>
      </c>
      <c r="O295" s="2" t="s">
        <v>427</v>
      </c>
      <c r="P295" s="3">
        <v>406</v>
      </c>
      <c r="Q295" s="3">
        <v>406</v>
      </c>
      <c r="R295" s="4">
        <f t="shared" si="4"/>
        <v>812</v>
      </c>
      <c r="S295" s="2" t="s">
        <v>31</v>
      </c>
      <c r="T295" s="2"/>
    </row>
    <row r="296" spans="1:20" x14ac:dyDescent="0.3">
      <c r="A296" s="2" t="s">
        <v>238</v>
      </c>
      <c r="B296" s="2" t="s">
        <v>21</v>
      </c>
      <c r="C296" s="2" t="s">
        <v>22</v>
      </c>
      <c r="D296" s="2" t="s">
        <v>23</v>
      </c>
      <c r="E296" s="2" t="s">
        <v>239</v>
      </c>
      <c r="F296" s="2" t="s">
        <v>152</v>
      </c>
      <c r="G296" s="2" t="s">
        <v>240</v>
      </c>
      <c r="H296" s="2" t="s">
        <v>152</v>
      </c>
      <c r="I296" s="2" t="s">
        <v>428</v>
      </c>
      <c r="J296" s="2" t="s">
        <v>37</v>
      </c>
      <c r="K296" s="2" t="s">
        <v>38</v>
      </c>
      <c r="L296" s="2" t="s">
        <v>29</v>
      </c>
      <c r="M296" s="2"/>
      <c r="N296" s="2" t="s">
        <v>428</v>
      </c>
      <c r="O296" s="2" t="s">
        <v>429</v>
      </c>
      <c r="P296" s="3">
        <v>90</v>
      </c>
      <c r="Q296" s="3">
        <v>90</v>
      </c>
      <c r="R296" s="4">
        <f t="shared" si="4"/>
        <v>180</v>
      </c>
      <c r="S296" s="2" t="s">
        <v>31</v>
      </c>
      <c r="T296" s="2"/>
    </row>
    <row r="297" spans="1:20" x14ac:dyDescent="0.3">
      <c r="A297" s="2" t="s">
        <v>238</v>
      </c>
      <c r="B297" s="2" t="s">
        <v>21</v>
      </c>
      <c r="C297" s="2" t="s">
        <v>22</v>
      </c>
      <c r="D297" s="2" t="s">
        <v>23</v>
      </c>
      <c r="E297" s="2" t="s">
        <v>239</v>
      </c>
      <c r="F297" s="2" t="s">
        <v>152</v>
      </c>
      <c r="G297" s="2" t="s">
        <v>240</v>
      </c>
      <c r="H297" s="2" t="s">
        <v>152</v>
      </c>
      <c r="I297" s="2" t="s">
        <v>430</v>
      </c>
      <c r="J297" s="2" t="s">
        <v>230</v>
      </c>
      <c r="K297" s="2" t="s">
        <v>45</v>
      </c>
      <c r="L297" s="2" t="s">
        <v>29</v>
      </c>
      <c r="M297" s="2"/>
      <c r="N297" s="2" t="s">
        <v>430</v>
      </c>
      <c r="O297" s="2" t="s">
        <v>431</v>
      </c>
      <c r="P297" s="3">
        <v>500</v>
      </c>
      <c r="Q297" s="3">
        <v>500</v>
      </c>
      <c r="R297" s="4">
        <f t="shared" si="4"/>
        <v>1000</v>
      </c>
      <c r="S297" s="2" t="s">
        <v>31</v>
      </c>
      <c r="T297" s="2"/>
    </row>
    <row r="298" spans="1:20" x14ac:dyDescent="0.3">
      <c r="A298" s="2" t="s">
        <v>238</v>
      </c>
      <c r="B298" s="2" t="s">
        <v>21</v>
      </c>
      <c r="C298" s="2" t="s">
        <v>22</v>
      </c>
      <c r="D298" s="2" t="s">
        <v>23</v>
      </c>
      <c r="E298" s="2" t="s">
        <v>239</v>
      </c>
      <c r="F298" s="2" t="s">
        <v>152</v>
      </c>
      <c r="G298" s="2" t="s">
        <v>240</v>
      </c>
      <c r="H298" s="2" t="s">
        <v>152</v>
      </c>
      <c r="I298" s="2" t="s">
        <v>432</v>
      </c>
      <c r="J298" s="2" t="s">
        <v>37</v>
      </c>
      <c r="K298" s="2" t="s">
        <v>38</v>
      </c>
      <c r="L298" s="2" t="s">
        <v>29</v>
      </c>
      <c r="M298" s="2"/>
      <c r="N298" s="2" t="s">
        <v>432</v>
      </c>
      <c r="O298" s="2" t="s">
        <v>433</v>
      </c>
      <c r="P298" s="3">
        <v>157</v>
      </c>
      <c r="Q298" s="3">
        <v>157</v>
      </c>
      <c r="R298" s="4">
        <f t="shared" si="4"/>
        <v>314</v>
      </c>
      <c r="S298" s="2" t="s">
        <v>31</v>
      </c>
      <c r="T298" s="2"/>
    </row>
    <row r="299" spans="1:20" x14ac:dyDescent="0.3">
      <c r="A299" s="2" t="s">
        <v>238</v>
      </c>
      <c r="B299" s="2" t="s">
        <v>21</v>
      </c>
      <c r="C299" s="2" t="s">
        <v>22</v>
      </c>
      <c r="D299" s="2" t="s">
        <v>23</v>
      </c>
      <c r="E299" s="2" t="s">
        <v>239</v>
      </c>
      <c r="F299" s="2" t="s">
        <v>152</v>
      </c>
      <c r="G299" s="2" t="s">
        <v>240</v>
      </c>
      <c r="H299" s="2" t="s">
        <v>152</v>
      </c>
      <c r="I299" s="2" t="s">
        <v>246</v>
      </c>
      <c r="J299" s="2" t="s">
        <v>132</v>
      </c>
      <c r="K299" s="2" t="s">
        <v>133</v>
      </c>
      <c r="L299" s="2" t="s">
        <v>29</v>
      </c>
      <c r="M299" s="2"/>
      <c r="N299" s="2" t="s">
        <v>246</v>
      </c>
      <c r="O299" s="2" t="s">
        <v>247</v>
      </c>
      <c r="P299" s="3">
        <v>312</v>
      </c>
      <c r="Q299" s="3">
        <v>312</v>
      </c>
      <c r="R299" s="4">
        <f t="shared" si="4"/>
        <v>624</v>
      </c>
      <c r="S299" s="2" t="s">
        <v>31</v>
      </c>
      <c r="T299" s="2"/>
    </row>
    <row r="300" spans="1:20" x14ac:dyDescent="0.3">
      <c r="A300" s="2" t="s">
        <v>238</v>
      </c>
      <c r="B300" s="2" t="s">
        <v>21</v>
      </c>
      <c r="C300" s="2" t="s">
        <v>22</v>
      </c>
      <c r="D300" s="2" t="s">
        <v>23</v>
      </c>
      <c r="E300" s="2" t="s">
        <v>239</v>
      </c>
      <c r="F300" s="2" t="s">
        <v>152</v>
      </c>
      <c r="G300" s="2" t="s">
        <v>240</v>
      </c>
      <c r="H300" s="2" t="s">
        <v>152</v>
      </c>
      <c r="I300" s="2" t="s">
        <v>434</v>
      </c>
      <c r="J300" s="2" t="s">
        <v>132</v>
      </c>
      <c r="K300" s="2" t="s">
        <v>133</v>
      </c>
      <c r="L300" s="2" t="s">
        <v>29</v>
      </c>
      <c r="M300" s="2"/>
      <c r="N300" s="2" t="s">
        <v>434</v>
      </c>
      <c r="O300" s="2" t="s">
        <v>435</v>
      </c>
      <c r="P300" s="3">
        <v>408</v>
      </c>
      <c r="Q300" s="3">
        <v>408</v>
      </c>
      <c r="R300" s="4">
        <f t="shared" si="4"/>
        <v>816</v>
      </c>
      <c r="S300" s="2" t="s">
        <v>31</v>
      </c>
      <c r="T300" s="2"/>
    </row>
    <row r="301" spans="1:20" x14ac:dyDescent="0.3">
      <c r="A301" s="2" t="s">
        <v>238</v>
      </c>
      <c r="B301" s="2" t="s">
        <v>21</v>
      </c>
      <c r="C301" s="2" t="s">
        <v>22</v>
      </c>
      <c r="D301" s="2" t="s">
        <v>23</v>
      </c>
      <c r="E301" s="2" t="s">
        <v>239</v>
      </c>
      <c r="F301" s="2" t="s">
        <v>152</v>
      </c>
      <c r="G301" s="2" t="s">
        <v>240</v>
      </c>
      <c r="H301" s="2" t="s">
        <v>152</v>
      </c>
      <c r="I301" s="2" t="s">
        <v>174</v>
      </c>
      <c r="J301" s="2" t="s">
        <v>140</v>
      </c>
      <c r="K301" s="2" t="s">
        <v>133</v>
      </c>
      <c r="L301" s="2" t="s">
        <v>29</v>
      </c>
      <c r="M301" s="2"/>
      <c r="N301" s="2" t="s">
        <v>174</v>
      </c>
      <c r="O301" s="2" t="s">
        <v>436</v>
      </c>
      <c r="P301" s="3">
        <v>432</v>
      </c>
      <c r="Q301" s="3">
        <v>432</v>
      </c>
      <c r="R301" s="4">
        <f t="shared" si="4"/>
        <v>864</v>
      </c>
      <c r="S301" s="2" t="s">
        <v>31</v>
      </c>
      <c r="T301" s="2"/>
    </row>
    <row r="302" spans="1:20" x14ac:dyDescent="0.3">
      <c r="A302" s="2" t="s">
        <v>238</v>
      </c>
      <c r="B302" s="2" t="s">
        <v>21</v>
      </c>
      <c r="C302" s="2" t="s">
        <v>22</v>
      </c>
      <c r="D302" s="2" t="s">
        <v>23</v>
      </c>
      <c r="E302" s="2" t="s">
        <v>239</v>
      </c>
      <c r="F302" s="2" t="s">
        <v>152</v>
      </c>
      <c r="G302" s="2" t="s">
        <v>240</v>
      </c>
      <c r="H302" s="2" t="s">
        <v>152</v>
      </c>
      <c r="I302" s="2" t="s">
        <v>437</v>
      </c>
      <c r="J302" s="2" t="s">
        <v>82</v>
      </c>
      <c r="K302" s="2" t="s">
        <v>45</v>
      </c>
      <c r="L302" s="2" t="s">
        <v>29</v>
      </c>
      <c r="M302" s="2"/>
      <c r="N302" s="2" t="s">
        <v>437</v>
      </c>
      <c r="O302" s="2" t="s">
        <v>438</v>
      </c>
      <c r="P302" s="3">
        <v>987</v>
      </c>
      <c r="Q302" s="3">
        <v>987</v>
      </c>
      <c r="R302" s="4">
        <f t="shared" si="4"/>
        <v>1974</v>
      </c>
      <c r="S302" s="2" t="s">
        <v>31</v>
      </c>
      <c r="T302" s="2"/>
    </row>
    <row r="303" spans="1:20" x14ac:dyDescent="0.3">
      <c r="A303" s="2" t="s">
        <v>238</v>
      </c>
      <c r="B303" s="2" t="s">
        <v>21</v>
      </c>
      <c r="C303" s="2" t="s">
        <v>22</v>
      </c>
      <c r="D303" s="2" t="s">
        <v>23</v>
      </c>
      <c r="E303" s="2" t="s">
        <v>239</v>
      </c>
      <c r="F303" s="2" t="s">
        <v>152</v>
      </c>
      <c r="G303" s="2" t="s">
        <v>240</v>
      </c>
      <c r="H303" s="2" t="s">
        <v>152</v>
      </c>
      <c r="I303" s="2" t="s">
        <v>439</v>
      </c>
      <c r="J303" s="2" t="s">
        <v>82</v>
      </c>
      <c r="K303" s="2" t="s">
        <v>45</v>
      </c>
      <c r="L303" s="2" t="s">
        <v>29</v>
      </c>
      <c r="M303" s="2"/>
      <c r="N303" s="2" t="s">
        <v>439</v>
      </c>
      <c r="O303" s="2" t="s">
        <v>440</v>
      </c>
      <c r="P303" s="3">
        <v>929</v>
      </c>
      <c r="Q303" s="3">
        <v>929</v>
      </c>
      <c r="R303" s="4">
        <f t="shared" si="4"/>
        <v>1858</v>
      </c>
      <c r="S303" s="2" t="s">
        <v>31</v>
      </c>
      <c r="T303" s="2"/>
    </row>
    <row r="304" spans="1:20" x14ac:dyDescent="0.3">
      <c r="A304" s="2" t="s">
        <v>238</v>
      </c>
      <c r="B304" s="2" t="s">
        <v>21</v>
      </c>
      <c r="C304" s="2" t="s">
        <v>22</v>
      </c>
      <c r="D304" s="2" t="s">
        <v>23</v>
      </c>
      <c r="E304" s="2" t="s">
        <v>239</v>
      </c>
      <c r="F304" s="2" t="s">
        <v>152</v>
      </c>
      <c r="G304" s="2" t="s">
        <v>240</v>
      </c>
      <c r="H304" s="2" t="s">
        <v>152</v>
      </c>
      <c r="I304" s="2" t="s">
        <v>441</v>
      </c>
      <c r="J304" s="2" t="s">
        <v>82</v>
      </c>
      <c r="K304" s="2" t="s">
        <v>45</v>
      </c>
      <c r="L304" s="2" t="s">
        <v>29</v>
      </c>
      <c r="M304" s="2"/>
      <c r="N304" s="2" t="s">
        <v>441</v>
      </c>
      <c r="O304" s="2" t="s">
        <v>442</v>
      </c>
      <c r="P304" s="3">
        <v>917</v>
      </c>
      <c r="Q304" s="3">
        <v>917</v>
      </c>
      <c r="R304" s="4">
        <f t="shared" si="4"/>
        <v>1834</v>
      </c>
      <c r="S304" s="2" t="s">
        <v>31</v>
      </c>
      <c r="T304" s="2"/>
    </row>
    <row r="305" spans="1:20" x14ac:dyDescent="0.3">
      <c r="A305" s="2" t="s">
        <v>238</v>
      </c>
      <c r="B305" s="2" t="s">
        <v>21</v>
      </c>
      <c r="C305" s="2" t="s">
        <v>22</v>
      </c>
      <c r="D305" s="2" t="s">
        <v>23</v>
      </c>
      <c r="E305" s="2" t="s">
        <v>239</v>
      </c>
      <c r="F305" s="2" t="s">
        <v>152</v>
      </c>
      <c r="G305" s="2" t="s">
        <v>240</v>
      </c>
      <c r="H305" s="2" t="s">
        <v>152</v>
      </c>
      <c r="I305" s="2" t="s">
        <v>97</v>
      </c>
      <c r="J305" s="2" t="s">
        <v>53</v>
      </c>
      <c r="K305" s="2" t="s">
        <v>54</v>
      </c>
      <c r="L305" s="2" t="s">
        <v>29</v>
      </c>
      <c r="M305" s="2"/>
      <c r="N305" s="2" t="s">
        <v>97</v>
      </c>
      <c r="O305" s="2" t="s">
        <v>443</v>
      </c>
      <c r="P305" s="3">
        <v>964</v>
      </c>
      <c r="Q305" s="3">
        <v>964</v>
      </c>
      <c r="R305" s="4">
        <f t="shared" si="4"/>
        <v>1928</v>
      </c>
      <c r="S305" s="2" t="s">
        <v>31</v>
      </c>
      <c r="T305" s="2"/>
    </row>
    <row r="306" spans="1:20" x14ac:dyDescent="0.3">
      <c r="A306" s="2" t="s">
        <v>238</v>
      </c>
      <c r="B306" s="2" t="s">
        <v>21</v>
      </c>
      <c r="C306" s="2" t="s">
        <v>22</v>
      </c>
      <c r="D306" s="2" t="s">
        <v>23</v>
      </c>
      <c r="E306" s="2" t="s">
        <v>239</v>
      </c>
      <c r="F306" s="2" t="s">
        <v>152</v>
      </c>
      <c r="G306" s="2" t="s">
        <v>240</v>
      </c>
      <c r="H306" s="2" t="s">
        <v>152</v>
      </c>
      <c r="I306" s="2" t="s">
        <v>444</v>
      </c>
      <c r="J306" s="2" t="s">
        <v>53</v>
      </c>
      <c r="K306" s="2" t="s">
        <v>54</v>
      </c>
      <c r="L306" s="2" t="s">
        <v>29</v>
      </c>
      <c r="M306" s="2"/>
      <c r="N306" s="2" t="s">
        <v>444</v>
      </c>
      <c r="O306" s="2" t="s">
        <v>445</v>
      </c>
      <c r="P306" s="3">
        <v>1116</v>
      </c>
      <c r="Q306" s="3">
        <v>1116</v>
      </c>
      <c r="R306" s="4">
        <f t="shared" si="4"/>
        <v>2232</v>
      </c>
      <c r="S306" s="2" t="s">
        <v>31</v>
      </c>
      <c r="T306" s="2"/>
    </row>
    <row r="307" spans="1:20" x14ac:dyDescent="0.3">
      <c r="A307" s="2" t="s">
        <v>238</v>
      </c>
      <c r="B307" s="2" t="s">
        <v>21</v>
      </c>
      <c r="C307" s="2" t="s">
        <v>22</v>
      </c>
      <c r="D307" s="2" t="s">
        <v>23</v>
      </c>
      <c r="E307" s="2" t="s">
        <v>239</v>
      </c>
      <c r="F307" s="2" t="s">
        <v>152</v>
      </c>
      <c r="G307" s="2" t="s">
        <v>240</v>
      </c>
      <c r="H307" s="2" t="s">
        <v>152</v>
      </c>
      <c r="I307" s="2" t="s">
        <v>446</v>
      </c>
      <c r="J307" s="2" t="s">
        <v>230</v>
      </c>
      <c r="K307" s="2" t="s">
        <v>45</v>
      </c>
      <c r="L307" s="2" t="s">
        <v>29</v>
      </c>
      <c r="M307" s="2"/>
      <c r="N307" s="2" t="s">
        <v>446</v>
      </c>
      <c r="O307" s="2" t="s">
        <v>447</v>
      </c>
      <c r="P307" s="3">
        <v>408</v>
      </c>
      <c r="Q307" s="3">
        <v>408</v>
      </c>
      <c r="R307" s="4">
        <f t="shared" si="4"/>
        <v>816</v>
      </c>
      <c r="S307" s="2" t="s">
        <v>31</v>
      </c>
      <c r="T307" s="2"/>
    </row>
    <row r="308" spans="1:20" x14ac:dyDescent="0.3">
      <c r="A308" s="2" t="s">
        <v>238</v>
      </c>
      <c r="B308" s="2" t="s">
        <v>21</v>
      </c>
      <c r="C308" s="2" t="s">
        <v>22</v>
      </c>
      <c r="D308" s="2" t="s">
        <v>23</v>
      </c>
      <c r="E308" s="2" t="s">
        <v>239</v>
      </c>
      <c r="F308" s="2" t="s">
        <v>152</v>
      </c>
      <c r="G308" s="2" t="s">
        <v>240</v>
      </c>
      <c r="H308" s="2" t="s">
        <v>152</v>
      </c>
      <c r="I308" s="2" t="s">
        <v>448</v>
      </c>
      <c r="J308" s="2" t="s">
        <v>281</v>
      </c>
      <c r="K308" s="2" t="s">
        <v>38</v>
      </c>
      <c r="L308" s="2" t="s">
        <v>29</v>
      </c>
      <c r="M308" s="2"/>
      <c r="N308" s="2" t="s">
        <v>448</v>
      </c>
      <c r="O308" s="2" t="s">
        <v>449</v>
      </c>
      <c r="P308" s="3">
        <v>366</v>
      </c>
      <c r="Q308" s="3">
        <v>366</v>
      </c>
      <c r="R308" s="4">
        <f t="shared" si="4"/>
        <v>732</v>
      </c>
      <c r="S308" s="2" t="s">
        <v>31</v>
      </c>
      <c r="T308" s="2"/>
    </row>
    <row r="309" spans="1:20" x14ac:dyDescent="0.3">
      <c r="A309" s="2" t="s">
        <v>450</v>
      </c>
      <c r="B309" s="2" t="s">
        <v>21</v>
      </c>
      <c r="C309" s="2" t="s">
        <v>22</v>
      </c>
      <c r="D309" s="2" t="s">
        <v>42</v>
      </c>
      <c r="E309" s="2" t="s">
        <v>451</v>
      </c>
      <c r="F309" s="2" t="s">
        <v>152</v>
      </c>
      <c r="G309" s="2" t="s">
        <v>172</v>
      </c>
      <c r="H309" s="2" t="s">
        <v>152</v>
      </c>
      <c r="I309" s="2" t="s">
        <v>160</v>
      </c>
      <c r="J309" s="2" t="s">
        <v>161</v>
      </c>
      <c r="K309" s="2" t="s">
        <v>133</v>
      </c>
      <c r="L309" s="2" t="s">
        <v>29</v>
      </c>
      <c r="M309" s="2"/>
      <c r="N309" s="2" t="s">
        <v>160</v>
      </c>
      <c r="O309" s="2" t="s">
        <v>452</v>
      </c>
      <c r="P309" s="3">
        <v>606</v>
      </c>
      <c r="Q309" s="3">
        <v>606</v>
      </c>
      <c r="R309" s="4">
        <f t="shared" si="4"/>
        <v>1212</v>
      </c>
      <c r="S309" s="2" t="s">
        <v>31</v>
      </c>
      <c r="T309" s="2"/>
    </row>
    <row r="310" spans="1:20" x14ac:dyDescent="0.3">
      <c r="A310" s="2" t="s">
        <v>450</v>
      </c>
      <c r="B310" s="2" t="s">
        <v>21</v>
      </c>
      <c r="C310" s="2" t="s">
        <v>22</v>
      </c>
      <c r="D310" s="2" t="s">
        <v>42</v>
      </c>
      <c r="E310" s="2" t="s">
        <v>451</v>
      </c>
      <c r="F310" s="2" t="s">
        <v>152</v>
      </c>
      <c r="G310" s="2" t="s">
        <v>172</v>
      </c>
      <c r="H310" s="2" t="s">
        <v>152</v>
      </c>
      <c r="I310" s="2" t="s">
        <v>99</v>
      </c>
      <c r="J310" s="2" t="s">
        <v>90</v>
      </c>
      <c r="K310" s="2" t="s">
        <v>45</v>
      </c>
      <c r="L310" s="2" t="s">
        <v>29</v>
      </c>
      <c r="M310" s="2"/>
      <c r="N310" s="2" t="s">
        <v>99</v>
      </c>
      <c r="O310" s="2" t="s">
        <v>453</v>
      </c>
      <c r="P310" s="3">
        <v>563</v>
      </c>
      <c r="Q310" s="3">
        <v>563</v>
      </c>
      <c r="R310" s="4">
        <f t="shared" si="4"/>
        <v>1126</v>
      </c>
      <c r="S310" s="2" t="s">
        <v>31</v>
      </c>
      <c r="T310" s="2"/>
    </row>
    <row r="311" spans="1:20" x14ac:dyDescent="0.3">
      <c r="A311" s="2" t="s">
        <v>450</v>
      </c>
      <c r="B311" s="2" t="s">
        <v>21</v>
      </c>
      <c r="C311" s="2" t="s">
        <v>22</v>
      </c>
      <c r="D311" s="2" t="s">
        <v>42</v>
      </c>
      <c r="E311" s="2" t="s">
        <v>451</v>
      </c>
      <c r="F311" s="2" t="s">
        <v>152</v>
      </c>
      <c r="G311" s="2" t="s">
        <v>172</v>
      </c>
      <c r="H311" s="2" t="s">
        <v>152</v>
      </c>
      <c r="I311" s="2" t="s">
        <v>135</v>
      </c>
      <c r="J311" s="2" t="s">
        <v>136</v>
      </c>
      <c r="K311" s="2" t="s">
        <v>137</v>
      </c>
      <c r="L311" s="2" t="s">
        <v>29</v>
      </c>
      <c r="M311" s="2"/>
      <c r="N311" s="2" t="s">
        <v>135</v>
      </c>
      <c r="O311" s="2" t="s">
        <v>179</v>
      </c>
      <c r="P311" s="3">
        <v>612</v>
      </c>
      <c r="Q311" s="3">
        <v>612</v>
      </c>
      <c r="R311" s="4">
        <f t="shared" si="4"/>
        <v>1224</v>
      </c>
      <c r="S311" s="2" t="s">
        <v>31</v>
      </c>
      <c r="T311" s="2"/>
    </row>
    <row r="312" spans="1:20" x14ac:dyDescent="0.3">
      <c r="A312" s="2" t="s">
        <v>450</v>
      </c>
      <c r="B312" s="2" t="s">
        <v>21</v>
      </c>
      <c r="C312" s="2" t="s">
        <v>22</v>
      </c>
      <c r="D312" s="2" t="s">
        <v>42</v>
      </c>
      <c r="E312" s="2" t="s">
        <v>451</v>
      </c>
      <c r="F312" s="2" t="s">
        <v>152</v>
      </c>
      <c r="G312" s="2" t="s">
        <v>172</v>
      </c>
      <c r="H312" s="2" t="s">
        <v>152</v>
      </c>
      <c r="I312" s="2" t="s">
        <v>347</v>
      </c>
      <c r="J312" s="2" t="s">
        <v>348</v>
      </c>
      <c r="K312" s="2" t="s">
        <v>133</v>
      </c>
      <c r="L312" s="2" t="s">
        <v>29</v>
      </c>
      <c r="M312" s="2"/>
      <c r="N312" s="2" t="s">
        <v>347</v>
      </c>
      <c r="O312" s="2" t="s">
        <v>454</v>
      </c>
      <c r="P312" s="3">
        <v>649</v>
      </c>
      <c r="Q312" s="3">
        <v>649</v>
      </c>
      <c r="R312" s="4">
        <f t="shared" si="4"/>
        <v>1298</v>
      </c>
      <c r="S312" s="2" t="s">
        <v>31</v>
      </c>
      <c r="T312" s="2"/>
    </row>
    <row r="313" spans="1:20" x14ac:dyDescent="0.3">
      <c r="A313" s="2" t="s">
        <v>450</v>
      </c>
      <c r="B313" s="2" t="s">
        <v>21</v>
      </c>
      <c r="C313" s="2" t="s">
        <v>22</v>
      </c>
      <c r="D313" s="2" t="s">
        <v>42</v>
      </c>
      <c r="E313" s="2" t="s">
        <v>451</v>
      </c>
      <c r="F313" s="2" t="s">
        <v>152</v>
      </c>
      <c r="G313" s="2" t="s">
        <v>172</v>
      </c>
      <c r="H313" s="2" t="s">
        <v>152</v>
      </c>
      <c r="I313" s="2" t="s">
        <v>43</v>
      </c>
      <c r="J313" s="2" t="s">
        <v>44</v>
      </c>
      <c r="K313" s="2" t="s">
        <v>45</v>
      </c>
      <c r="L313" s="2" t="s">
        <v>29</v>
      </c>
      <c r="M313" s="2"/>
      <c r="N313" s="2" t="s">
        <v>43</v>
      </c>
      <c r="O313" s="2" t="s">
        <v>173</v>
      </c>
      <c r="P313" s="3">
        <v>756</v>
      </c>
      <c r="Q313" s="3">
        <v>756</v>
      </c>
      <c r="R313" s="4">
        <f t="shared" si="4"/>
        <v>1512</v>
      </c>
      <c r="S313" s="2" t="s">
        <v>31</v>
      </c>
      <c r="T313" s="2"/>
    </row>
    <row r="314" spans="1:20" x14ac:dyDescent="0.3">
      <c r="A314" s="2" t="s">
        <v>450</v>
      </c>
      <c r="B314" s="2" t="s">
        <v>21</v>
      </c>
      <c r="C314" s="2" t="s">
        <v>22</v>
      </c>
      <c r="D314" s="2" t="s">
        <v>42</v>
      </c>
      <c r="E314" s="2" t="s">
        <v>451</v>
      </c>
      <c r="F314" s="2" t="s">
        <v>152</v>
      </c>
      <c r="G314" s="2" t="s">
        <v>172</v>
      </c>
      <c r="H314" s="2" t="s">
        <v>152</v>
      </c>
      <c r="I314" s="2" t="s">
        <v>84</v>
      </c>
      <c r="J314" s="2" t="s">
        <v>35</v>
      </c>
      <c r="K314" s="2" t="s">
        <v>45</v>
      </c>
      <c r="L314" s="2" t="s">
        <v>29</v>
      </c>
      <c r="M314" s="2"/>
      <c r="N314" s="2" t="s">
        <v>84</v>
      </c>
      <c r="O314" s="2" t="s">
        <v>455</v>
      </c>
      <c r="P314" s="3">
        <v>857</v>
      </c>
      <c r="Q314" s="3">
        <v>857</v>
      </c>
      <c r="R314" s="4">
        <f t="shared" si="4"/>
        <v>1714</v>
      </c>
      <c r="S314" s="2" t="s">
        <v>31</v>
      </c>
      <c r="T314" s="2"/>
    </row>
    <row r="315" spans="1:20" x14ac:dyDescent="0.3">
      <c r="A315" s="2" t="s">
        <v>450</v>
      </c>
      <c r="B315" s="2" t="s">
        <v>21</v>
      </c>
      <c r="C315" s="2" t="s">
        <v>22</v>
      </c>
      <c r="D315" s="2" t="s">
        <v>42</v>
      </c>
      <c r="E315" s="2" t="s">
        <v>451</v>
      </c>
      <c r="F315" s="2" t="s">
        <v>152</v>
      </c>
      <c r="G315" s="2" t="s">
        <v>172</v>
      </c>
      <c r="H315" s="2" t="s">
        <v>152</v>
      </c>
      <c r="I315" s="2" t="s">
        <v>358</v>
      </c>
      <c r="J315" s="2" t="s">
        <v>358</v>
      </c>
      <c r="K315" s="2" t="s">
        <v>137</v>
      </c>
      <c r="L315" s="2" t="s">
        <v>29</v>
      </c>
      <c r="M315" s="2"/>
      <c r="N315" s="2" t="s">
        <v>358</v>
      </c>
      <c r="O315" s="2" t="s">
        <v>456</v>
      </c>
      <c r="P315" s="3">
        <v>577</v>
      </c>
      <c r="Q315" s="3">
        <v>577</v>
      </c>
      <c r="R315" s="4">
        <f t="shared" si="4"/>
        <v>1154</v>
      </c>
      <c r="S315" s="2" t="s">
        <v>31</v>
      </c>
      <c r="T315" s="2"/>
    </row>
    <row r="316" spans="1:20" x14ac:dyDescent="0.3">
      <c r="A316" s="2" t="s">
        <v>450</v>
      </c>
      <c r="B316" s="2" t="s">
        <v>21</v>
      </c>
      <c r="C316" s="2" t="s">
        <v>22</v>
      </c>
      <c r="D316" s="2" t="s">
        <v>42</v>
      </c>
      <c r="E316" s="2" t="s">
        <v>451</v>
      </c>
      <c r="F316" s="2" t="s">
        <v>152</v>
      </c>
      <c r="G316" s="2" t="s">
        <v>172</v>
      </c>
      <c r="H316" s="2" t="s">
        <v>152</v>
      </c>
      <c r="I316" s="2" t="s">
        <v>142</v>
      </c>
      <c r="J316" s="2" t="s">
        <v>143</v>
      </c>
      <c r="K316" s="2" t="s">
        <v>137</v>
      </c>
      <c r="L316" s="2" t="s">
        <v>29</v>
      </c>
      <c r="M316" s="2"/>
      <c r="N316" s="2" t="s">
        <v>142</v>
      </c>
      <c r="O316" s="2" t="s">
        <v>178</v>
      </c>
      <c r="P316" s="3">
        <v>475</v>
      </c>
      <c r="Q316" s="3">
        <v>475</v>
      </c>
      <c r="R316" s="4">
        <f t="shared" si="4"/>
        <v>950</v>
      </c>
      <c r="S316" s="2" t="s">
        <v>31</v>
      </c>
      <c r="T316" s="2"/>
    </row>
    <row r="317" spans="1:20" x14ac:dyDescent="0.3">
      <c r="A317" s="2" t="s">
        <v>450</v>
      </c>
      <c r="B317" s="2" t="s">
        <v>21</v>
      </c>
      <c r="C317" s="2" t="s">
        <v>22</v>
      </c>
      <c r="D317" s="2" t="s">
        <v>42</v>
      </c>
      <c r="E317" s="2" t="s">
        <v>451</v>
      </c>
      <c r="F317" s="2" t="s">
        <v>152</v>
      </c>
      <c r="G317" s="2" t="s">
        <v>172</v>
      </c>
      <c r="H317" s="2" t="s">
        <v>152</v>
      </c>
      <c r="I317" s="2" t="s">
        <v>362</v>
      </c>
      <c r="J317" s="2" t="s">
        <v>363</v>
      </c>
      <c r="K317" s="2" t="s">
        <v>137</v>
      </c>
      <c r="L317" s="2" t="s">
        <v>29</v>
      </c>
      <c r="M317" s="2"/>
      <c r="N317" s="2" t="s">
        <v>362</v>
      </c>
      <c r="O317" s="2" t="s">
        <v>457</v>
      </c>
      <c r="P317" s="3">
        <v>542</v>
      </c>
      <c r="Q317" s="3">
        <v>542</v>
      </c>
      <c r="R317" s="4">
        <f t="shared" si="4"/>
        <v>1084</v>
      </c>
      <c r="S317" s="2" t="s">
        <v>31</v>
      </c>
      <c r="T317" s="2"/>
    </row>
    <row r="318" spans="1:20" x14ac:dyDescent="0.3">
      <c r="A318" s="2" t="s">
        <v>450</v>
      </c>
      <c r="B318" s="2" t="s">
        <v>21</v>
      </c>
      <c r="C318" s="2" t="s">
        <v>22</v>
      </c>
      <c r="D318" s="2" t="s">
        <v>42</v>
      </c>
      <c r="E318" s="2" t="s">
        <v>451</v>
      </c>
      <c r="F318" s="2" t="s">
        <v>152</v>
      </c>
      <c r="G318" s="2" t="s">
        <v>172</v>
      </c>
      <c r="H318" s="2" t="s">
        <v>152</v>
      </c>
      <c r="I318" s="2" t="s">
        <v>174</v>
      </c>
      <c r="J318" s="2" t="s">
        <v>140</v>
      </c>
      <c r="K318" s="2" t="s">
        <v>133</v>
      </c>
      <c r="L318" s="2" t="s">
        <v>29</v>
      </c>
      <c r="M318" s="2"/>
      <c r="N318" s="2" t="s">
        <v>174</v>
      </c>
      <c r="O318" s="2" t="s">
        <v>175</v>
      </c>
      <c r="P318" s="3">
        <v>425</v>
      </c>
      <c r="Q318" s="3">
        <v>425</v>
      </c>
      <c r="R318" s="4">
        <f t="shared" si="4"/>
        <v>850</v>
      </c>
      <c r="S318" s="2" t="s">
        <v>31</v>
      </c>
      <c r="T318" s="2"/>
    </row>
    <row r="319" spans="1:20" x14ac:dyDescent="0.3">
      <c r="A319" s="2" t="s">
        <v>450</v>
      </c>
      <c r="B319" s="2" t="s">
        <v>21</v>
      </c>
      <c r="C319" s="2" t="s">
        <v>22</v>
      </c>
      <c r="D319" s="2" t="s">
        <v>42</v>
      </c>
      <c r="E319" s="2" t="s">
        <v>451</v>
      </c>
      <c r="F319" s="2" t="s">
        <v>152</v>
      </c>
      <c r="G319" s="2" t="s">
        <v>172</v>
      </c>
      <c r="H319" s="2" t="s">
        <v>152</v>
      </c>
      <c r="I319" s="2" t="s">
        <v>458</v>
      </c>
      <c r="J319" s="2" t="s">
        <v>140</v>
      </c>
      <c r="K319" s="2" t="s">
        <v>133</v>
      </c>
      <c r="L319" s="2" t="s">
        <v>29</v>
      </c>
      <c r="M319" s="2"/>
      <c r="N319" s="2" t="s">
        <v>458</v>
      </c>
      <c r="O319" s="2" t="s">
        <v>459</v>
      </c>
      <c r="P319" s="3">
        <v>453</v>
      </c>
      <c r="Q319" s="3">
        <v>453</v>
      </c>
      <c r="R319" s="4">
        <f t="shared" si="4"/>
        <v>906</v>
      </c>
      <c r="S319" s="2" t="s">
        <v>31</v>
      </c>
      <c r="T319" s="2"/>
    </row>
    <row r="320" spans="1:20" x14ac:dyDescent="0.3">
      <c r="A320" s="2" t="s">
        <v>450</v>
      </c>
      <c r="B320" s="2" t="s">
        <v>21</v>
      </c>
      <c r="C320" s="2" t="s">
        <v>22</v>
      </c>
      <c r="D320" s="2" t="s">
        <v>42</v>
      </c>
      <c r="E320" s="2" t="s">
        <v>451</v>
      </c>
      <c r="F320" s="2" t="s">
        <v>152</v>
      </c>
      <c r="G320" s="2" t="s">
        <v>172</v>
      </c>
      <c r="H320" s="2" t="s">
        <v>152</v>
      </c>
      <c r="I320" s="2" t="s">
        <v>145</v>
      </c>
      <c r="J320" s="2" t="s">
        <v>146</v>
      </c>
      <c r="K320" s="2" t="s">
        <v>137</v>
      </c>
      <c r="L320" s="2" t="s">
        <v>29</v>
      </c>
      <c r="M320" s="2"/>
      <c r="N320" s="2" t="s">
        <v>145</v>
      </c>
      <c r="O320" s="2" t="s">
        <v>460</v>
      </c>
      <c r="P320" s="3">
        <v>663</v>
      </c>
      <c r="Q320" s="3">
        <v>663</v>
      </c>
      <c r="R320" s="4">
        <f t="shared" si="4"/>
        <v>1326</v>
      </c>
      <c r="S320" s="2" t="s">
        <v>31</v>
      </c>
      <c r="T320" s="2"/>
    </row>
    <row r="321" spans="1:20" x14ac:dyDescent="0.3">
      <c r="A321" s="2" t="s">
        <v>450</v>
      </c>
      <c r="B321" s="2" t="s">
        <v>21</v>
      </c>
      <c r="C321" s="2" t="s">
        <v>22</v>
      </c>
      <c r="D321" s="2" t="s">
        <v>42</v>
      </c>
      <c r="E321" s="2" t="s">
        <v>451</v>
      </c>
      <c r="F321" s="2" t="s">
        <v>152</v>
      </c>
      <c r="G321" s="2" t="s">
        <v>172</v>
      </c>
      <c r="H321" s="2" t="s">
        <v>152</v>
      </c>
      <c r="I321" s="2" t="s">
        <v>365</v>
      </c>
      <c r="J321" s="2" t="s">
        <v>348</v>
      </c>
      <c r="K321" s="2" t="s">
        <v>133</v>
      </c>
      <c r="L321" s="2" t="s">
        <v>29</v>
      </c>
      <c r="M321" s="2"/>
      <c r="N321" s="2" t="s">
        <v>365</v>
      </c>
      <c r="O321" s="2" t="s">
        <v>461</v>
      </c>
      <c r="P321" s="3">
        <v>683</v>
      </c>
      <c r="Q321" s="3">
        <v>683</v>
      </c>
      <c r="R321" s="4">
        <f t="shared" si="4"/>
        <v>1366</v>
      </c>
      <c r="S321" s="2" t="s">
        <v>31</v>
      </c>
      <c r="T321" s="2"/>
    </row>
    <row r="322" spans="1:20" x14ac:dyDescent="0.3">
      <c r="A322" s="2" t="s">
        <v>450</v>
      </c>
      <c r="B322" s="2" t="s">
        <v>21</v>
      </c>
      <c r="C322" s="2" t="s">
        <v>22</v>
      </c>
      <c r="D322" s="2" t="s">
        <v>42</v>
      </c>
      <c r="E322" s="2" t="s">
        <v>451</v>
      </c>
      <c r="F322" s="2" t="s">
        <v>152</v>
      </c>
      <c r="G322" s="2" t="s">
        <v>172</v>
      </c>
      <c r="H322" s="2" t="s">
        <v>152</v>
      </c>
      <c r="I322" s="2" t="s">
        <v>119</v>
      </c>
      <c r="J322" s="2" t="s">
        <v>120</v>
      </c>
      <c r="K322" s="2" t="s">
        <v>54</v>
      </c>
      <c r="L322" s="2" t="s">
        <v>29</v>
      </c>
      <c r="M322" s="2"/>
      <c r="N322" s="2" t="s">
        <v>119</v>
      </c>
      <c r="O322" s="2" t="s">
        <v>462</v>
      </c>
      <c r="P322" s="3">
        <v>1600</v>
      </c>
      <c r="Q322" s="3">
        <v>1600</v>
      </c>
      <c r="R322" s="4">
        <f t="shared" ref="R322:R385" si="5">IF(P322="","",P322+Q322)</f>
        <v>3200</v>
      </c>
      <c r="S322" s="2" t="s">
        <v>31</v>
      </c>
      <c r="T322" s="2"/>
    </row>
    <row r="323" spans="1:20" x14ac:dyDescent="0.3">
      <c r="A323" s="2" t="s">
        <v>450</v>
      </c>
      <c r="B323" s="2" t="s">
        <v>21</v>
      </c>
      <c r="C323" s="2" t="s">
        <v>22</v>
      </c>
      <c r="D323" s="2" t="s">
        <v>42</v>
      </c>
      <c r="E323" s="2" t="s">
        <v>451</v>
      </c>
      <c r="F323" s="2" t="s">
        <v>152</v>
      </c>
      <c r="G323" s="2" t="s">
        <v>172</v>
      </c>
      <c r="H323" s="2" t="s">
        <v>152</v>
      </c>
      <c r="I323" s="2" t="s">
        <v>352</v>
      </c>
      <c r="J323" s="2" t="s">
        <v>353</v>
      </c>
      <c r="K323" s="2" t="s">
        <v>133</v>
      </c>
      <c r="L323" s="2" t="s">
        <v>29</v>
      </c>
      <c r="M323" s="2"/>
      <c r="N323" s="2" t="s">
        <v>352</v>
      </c>
      <c r="O323" s="2" t="s">
        <v>463</v>
      </c>
      <c r="P323" s="3">
        <v>529</v>
      </c>
      <c r="Q323" s="3">
        <v>529</v>
      </c>
      <c r="R323" s="4">
        <f t="shared" si="5"/>
        <v>1058</v>
      </c>
      <c r="S323" s="2" t="s">
        <v>31</v>
      </c>
      <c r="T323" s="2"/>
    </row>
    <row r="324" spans="1:20" x14ac:dyDescent="0.3">
      <c r="A324" s="2" t="s">
        <v>32</v>
      </c>
      <c r="B324" s="2" t="s">
        <v>21</v>
      </c>
      <c r="C324" s="2" t="s">
        <v>22</v>
      </c>
      <c r="D324" s="2" t="s">
        <v>23</v>
      </c>
      <c r="E324" s="2" t="s">
        <v>33</v>
      </c>
      <c r="F324" s="2" t="s">
        <v>36</v>
      </c>
      <c r="G324" s="2" t="s">
        <v>34</v>
      </c>
      <c r="H324" s="2" t="s">
        <v>35</v>
      </c>
      <c r="I324" s="2" t="s">
        <v>84</v>
      </c>
      <c r="J324" s="2" t="s">
        <v>35</v>
      </c>
      <c r="K324" s="2" t="s">
        <v>45</v>
      </c>
      <c r="L324" s="2" t="s">
        <v>127</v>
      </c>
      <c r="M324" s="2" t="s">
        <v>128</v>
      </c>
      <c r="N324" s="2" t="s">
        <v>84</v>
      </c>
      <c r="O324" s="2" t="s">
        <v>464</v>
      </c>
      <c r="P324" s="3">
        <v>127</v>
      </c>
      <c r="Q324" s="3">
        <v>127</v>
      </c>
      <c r="R324" s="4">
        <f t="shared" si="5"/>
        <v>254</v>
      </c>
      <c r="S324" s="2" t="s">
        <v>40</v>
      </c>
      <c r="T324" s="2" t="s">
        <v>465</v>
      </c>
    </row>
    <row r="325" spans="1:20" x14ac:dyDescent="0.3">
      <c r="A325" s="2" t="s">
        <v>466</v>
      </c>
      <c r="B325" s="2" t="s">
        <v>21</v>
      </c>
      <c r="C325" s="2" t="s">
        <v>22</v>
      </c>
      <c r="D325" s="2" t="s">
        <v>42</v>
      </c>
      <c r="E325" s="2" t="s">
        <v>467</v>
      </c>
      <c r="F325" s="2" t="s">
        <v>160</v>
      </c>
      <c r="G325" s="2" t="s">
        <v>160</v>
      </c>
      <c r="H325" s="2" t="s">
        <v>161</v>
      </c>
      <c r="I325" s="2" t="s">
        <v>246</v>
      </c>
      <c r="J325" s="2" t="s">
        <v>132</v>
      </c>
      <c r="K325" s="2" t="s">
        <v>133</v>
      </c>
      <c r="L325" s="2" t="s">
        <v>29</v>
      </c>
      <c r="M325" s="2"/>
      <c r="N325" s="2" t="s">
        <v>246</v>
      </c>
      <c r="O325" s="2" t="s">
        <v>468</v>
      </c>
      <c r="P325" s="3">
        <v>300</v>
      </c>
      <c r="Q325" s="3">
        <v>300</v>
      </c>
      <c r="R325" s="4">
        <f t="shared" si="5"/>
        <v>600</v>
      </c>
      <c r="S325" s="2" t="s">
        <v>31</v>
      </c>
      <c r="T325" s="2"/>
    </row>
    <row r="326" spans="1:20" x14ac:dyDescent="0.3">
      <c r="A326" s="2" t="s">
        <v>469</v>
      </c>
      <c r="B326" s="2" t="s">
        <v>21</v>
      </c>
      <c r="C326" s="2" t="s">
        <v>22</v>
      </c>
      <c r="D326" s="2" t="s">
        <v>42</v>
      </c>
      <c r="E326" s="2" t="s">
        <v>470</v>
      </c>
      <c r="F326" s="2" t="s">
        <v>25</v>
      </c>
      <c r="G326" s="2" t="s">
        <v>25</v>
      </c>
      <c r="H326" s="2" t="s">
        <v>26</v>
      </c>
      <c r="I326" s="2" t="s">
        <v>27</v>
      </c>
      <c r="J326" s="2" t="s">
        <v>27</v>
      </c>
      <c r="K326" s="2" t="s">
        <v>28</v>
      </c>
      <c r="L326" s="2" t="s">
        <v>29</v>
      </c>
      <c r="M326" s="2"/>
      <c r="N326" s="2" t="s">
        <v>27</v>
      </c>
      <c r="O326" s="2" t="s">
        <v>30</v>
      </c>
      <c r="P326" s="3">
        <v>876</v>
      </c>
      <c r="Q326" s="3">
        <v>876</v>
      </c>
      <c r="R326" s="4">
        <f t="shared" si="5"/>
        <v>1752</v>
      </c>
      <c r="S326" s="2" t="s">
        <v>31</v>
      </c>
      <c r="T326" s="2"/>
    </row>
    <row r="327" spans="1:20" x14ac:dyDescent="0.3">
      <c r="A327" s="2" t="s">
        <v>469</v>
      </c>
      <c r="B327" s="2" t="s">
        <v>21</v>
      </c>
      <c r="C327" s="2" t="s">
        <v>22</v>
      </c>
      <c r="D327" s="2" t="s">
        <v>42</v>
      </c>
      <c r="E327" s="2" t="s">
        <v>470</v>
      </c>
      <c r="F327" s="2" t="s">
        <v>25</v>
      </c>
      <c r="G327" s="2" t="s">
        <v>25</v>
      </c>
      <c r="H327" s="2" t="s">
        <v>26</v>
      </c>
      <c r="I327" s="2" t="s">
        <v>43</v>
      </c>
      <c r="J327" s="2" t="s">
        <v>44</v>
      </c>
      <c r="K327" s="2" t="s">
        <v>45</v>
      </c>
      <c r="L327" s="2" t="s">
        <v>29</v>
      </c>
      <c r="M327" s="2"/>
      <c r="N327" s="2" t="s">
        <v>43</v>
      </c>
      <c r="O327" s="2" t="s">
        <v>46</v>
      </c>
      <c r="P327" s="3">
        <v>612</v>
      </c>
      <c r="Q327" s="3">
        <v>612</v>
      </c>
      <c r="R327" s="4">
        <f t="shared" si="5"/>
        <v>1224</v>
      </c>
      <c r="S327" s="2" t="s">
        <v>31</v>
      </c>
      <c r="T327" s="2"/>
    </row>
    <row r="328" spans="1:20" x14ac:dyDescent="0.3">
      <c r="A328" s="2" t="s">
        <v>469</v>
      </c>
      <c r="B328" s="2" t="s">
        <v>21</v>
      </c>
      <c r="C328" s="2" t="s">
        <v>22</v>
      </c>
      <c r="D328" s="2" t="s">
        <v>42</v>
      </c>
      <c r="E328" s="2" t="s">
        <v>470</v>
      </c>
      <c r="F328" s="2" t="s">
        <v>25</v>
      </c>
      <c r="G328" s="2" t="s">
        <v>25</v>
      </c>
      <c r="H328" s="2" t="s">
        <v>26</v>
      </c>
      <c r="I328" s="2" t="s">
        <v>246</v>
      </c>
      <c r="J328" s="2" t="s">
        <v>132</v>
      </c>
      <c r="K328" s="2" t="s">
        <v>133</v>
      </c>
      <c r="L328" s="2" t="s">
        <v>29</v>
      </c>
      <c r="M328" s="2"/>
      <c r="N328" s="2" t="s">
        <v>246</v>
      </c>
      <c r="O328" s="2" t="s">
        <v>471</v>
      </c>
      <c r="P328" s="3">
        <v>273</v>
      </c>
      <c r="Q328" s="3">
        <v>273</v>
      </c>
      <c r="R328" s="4">
        <f t="shared" si="5"/>
        <v>546</v>
      </c>
      <c r="S328" s="2" t="s">
        <v>31</v>
      </c>
      <c r="T328" s="2"/>
    </row>
    <row r="329" spans="1:20" x14ac:dyDescent="0.3">
      <c r="A329" s="2" t="s">
        <v>469</v>
      </c>
      <c r="B329" s="2" t="s">
        <v>21</v>
      </c>
      <c r="C329" s="2" t="s">
        <v>22</v>
      </c>
      <c r="D329" s="2" t="s">
        <v>42</v>
      </c>
      <c r="E329" s="2" t="s">
        <v>470</v>
      </c>
      <c r="F329" s="2" t="s">
        <v>25</v>
      </c>
      <c r="G329" s="2" t="s">
        <v>25</v>
      </c>
      <c r="H329" s="2" t="s">
        <v>26</v>
      </c>
      <c r="I329" s="2" t="s">
        <v>160</v>
      </c>
      <c r="J329" s="2" t="s">
        <v>161</v>
      </c>
      <c r="K329" s="2" t="s">
        <v>133</v>
      </c>
      <c r="L329" s="2" t="s">
        <v>29</v>
      </c>
      <c r="M329" s="2"/>
      <c r="N329" s="2" t="s">
        <v>160</v>
      </c>
      <c r="O329" s="2" t="s">
        <v>472</v>
      </c>
      <c r="P329" s="3">
        <v>574</v>
      </c>
      <c r="Q329" s="3">
        <v>574</v>
      </c>
      <c r="R329" s="4">
        <f t="shared" si="5"/>
        <v>1148</v>
      </c>
      <c r="S329" s="2" t="s">
        <v>31</v>
      </c>
      <c r="T329" s="2"/>
    </row>
    <row r="330" spans="1:20" x14ac:dyDescent="0.3">
      <c r="A330" s="2" t="s">
        <v>469</v>
      </c>
      <c r="B330" s="2" t="s">
        <v>21</v>
      </c>
      <c r="C330" s="2" t="s">
        <v>22</v>
      </c>
      <c r="D330" s="2" t="s">
        <v>42</v>
      </c>
      <c r="E330" s="2" t="s">
        <v>470</v>
      </c>
      <c r="F330" s="2" t="s">
        <v>25</v>
      </c>
      <c r="G330" s="2" t="s">
        <v>25</v>
      </c>
      <c r="H330" s="2" t="s">
        <v>26</v>
      </c>
      <c r="I330" s="2" t="s">
        <v>174</v>
      </c>
      <c r="J330" s="2" t="s">
        <v>140</v>
      </c>
      <c r="K330" s="2" t="s">
        <v>133</v>
      </c>
      <c r="L330" s="2" t="s">
        <v>29</v>
      </c>
      <c r="M330" s="2"/>
      <c r="N330" s="2" t="s">
        <v>174</v>
      </c>
      <c r="O330" s="2" t="s">
        <v>473</v>
      </c>
      <c r="P330" s="3">
        <v>393</v>
      </c>
      <c r="Q330" s="3">
        <v>393</v>
      </c>
      <c r="R330" s="4">
        <f t="shared" si="5"/>
        <v>786</v>
      </c>
      <c r="S330" s="2" t="s">
        <v>31</v>
      </c>
      <c r="T330" s="2"/>
    </row>
    <row r="331" spans="1:20" x14ac:dyDescent="0.3">
      <c r="A331" s="2" t="s">
        <v>469</v>
      </c>
      <c r="B331" s="2" t="s">
        <v>21</v>
      </c>
      <c r="C331" s="2" t="s">
        <v>22</v>
      </c>
      <c r="D331" s="2" t="s">
        <v>42</v>
      </c>
      <c r="E331" s="2" t="s">
        <v>470</v>
      </c>
      <c r="F331" s="2" t="s">
        <v>25</v>
      </c>
      <c r="G331" s="2" t="s">
        <v>25</v>
      </c>
      <c r="H331" s="2" t="s">
        <v>26</v>
      </c>
      <c r="I331" s="2" t="s">
        <v>474</v>
      </c>
      <c r="J331" s="2" t="s">
        <v>363</v>
      </c>
      <c r="K331" s="2" t="s">
        <v>137</v>
      </c>
      <c r="L331" s="2" t="s">
        <v>29</v>
      </c>
      <c r="M331" s="2"/>
      <c r="N331" s="2" t="s">
        <v>362</v>
      </c>
      <c r="O331" s="2" t="s">
        <v>475</v>
      </c>
      <c r="P331" s="3">
        <v>510</v>
      </c>
      <c r="Q331" s="3">
        <v>510</v>
      </c>
      <c r="R331" s="4">
        <f t="shared" si="5"/>
        <v>1020</v>
      </c>
      <c r="S331" s="2" t="s">
        <v>31</v>
      </c>
      <c r="T331" s="2"/>
    </row>
    <row r="332" spans="1:20" x14ac:dyDescent="0.3">
      <c r="A332" s="2" t="s">
        <v>469</v>
      </c>
      <c r="B332" s="2" t="s">
        <v>21</v>
      </c>
      <c r="C332" s="2" t="s">
        <v>22</v>
      </c>
      <c r="D332" s="2" t="s">
        <v>42</v>
      </c>
      <c r="E332" s="2" t="s">
        <v>470</v>
      </c>
      <c r="F332" s="2" t="s">
        <v>25</v>
      </c>
      <c r="G332" s="2" t="s">
        <v>25</v>
      </c>
      <c r="H332" s="2" t="s">
        <v>26</v>
      </c>
      <c r="I332" s="2" t="s">
        <v>135</v>
      </c>
      <c r="J332" s="2" t="s">
        <v>136</v>
      </c>
      <c r="K332" s="2" t="s">
        <v>137</v>
      </c>
      <c r="L332" s="2" t="s">
        <v>29</v>
      </c>
      <c r="M332" s="2"/>
      <c r="N332" s="2" t="s">
        <v>135</v>
      </c>
      <c r="O332" s="2" t="s">
        <v>138</v>
      </c>
      <c r="P332" s="3">
        <v>580</v>
      </c>
      <c r="Q332" s="3">
        <v>580</v>
      </c>
      <c r="R332" s="4">
        <f t="shared" si="5"/>
        <v>1160</v>
      </c>
      <c r="S332" s="2" t="s">
        <v>31</v>
      </c>
      <c r="T332" s="2"/>
    </row>
    <row r="333" spans="1:20" x14ac:dyDescent="0.3">
      <c r="A333" s="2" t="s">
        <v>469</v>
      </c>
      <c r="B333" s="2" t="s">
        <v>21</v>
      </c>
      <c r="C333" s="2" t="s">
        <v>22</v>
      </c>
      <c r="D333" s="2" t="s">
        <v>42</v>
      </c>
      <c r="E333" s="2" t="s">
        <v>470</v>
      </c>
      <c r="F333" s="2" t="s">
        <v>25</v>
      </c>
      <c r="G333" s="2" t="s">
        <v>25</v>
      </c>
      <c r="H333" s="2" t="s">
        <v>26</v>
      </c>
      <c r="I333" s="2" t="s">
        <v>282</v>
      </c>
      <c r="J333" s="2" t="s">
        <v>281</v>
      </c>
      <c r="K333" s="2" t="s">
        <v>38</v>
      </c>
      <c r="L333" s="2" t="s">
        <v>29</v>
      </c>
      <c r="M333" s="2"/>
      <c r="N333" s="2" t="s">
        <v>282</v>
      </c>
      <c r="O333" s="2" t="s">
        <v>476</v>
      </c>
      <c r="P333" s="3">
        <v>187</v>
      </c>
      <c r="Q333" s="3">
        <v>187</v>
      </c>
      <c r="R333" s="4">
        <f t="shared" si="5"/>
        <v>374</v>
      </c>
      <c r="S333" s="2" t="s">
        <v>31</v>
      </c>
      <c r="T333" s="2"/>
    </row>
    <row r="334" spans="1:20" x14ac:dyDescent="0.3">
      <c r="A334" s="2" t="s">
        <v>469</v>
      </c>
      <c r="B334" s="2" t="s">
        <v>21</v>
      </c>
      <c r="C334" s="2" t="s">
        <v>22</v>
      </c>
      <c r="D334" s="2" t="s">
        <v>42</v>
      </c>
      <c r="E334" s="2" t="s">
        <v>470</v>
      </c>
      <c r="F334" s="2" t="s">
        <v>25</v>
      </c>
      <c r="G334" s="2" t="s">
        <v>25</v>
      </c>
      <c r="H334" s="2" t="s">
        <v>26</v>
      </c>
      <c r="I334" s="2" t="s">
        <v>373</v>
      </c>
      <c r="J334" s="2" t="s">
        <v>236</v>
      </c>
      <c r="K334" s="2" t="s">
        <v>133</v>
      </c>
      <c r="L334" s="2" t="s">
        <v>29</v>
      </c>
      <c r="M334" s="2"/>
      <c r="N334" s="2" t="s">
        <v>373</v>
      </c>
      <c r="O334" s="2" t="s">
        <v>477</v>
      </c>
      <c r="P334" s="3">
        <v>719</v>
      </c>
      <c r="Q334" s="3">
        <v>719</v>
      </c>
      <c r="R334" s="4">
        <f t="shared" si="5"/>
        <v>1438</v>
      </c>
      <c r="S334" s="2" t="s">
        <v>31</v>
      </c>
      <c r="T334" s="2"/>
    </row>
    <row r="335" spans="1:20" x14ac:dyDescent="0.3">
      <c r="A335" s="2" t="s">
        <v>469</v>
      </c>
      <c r="B335" s="2" t="s">
        <v>21</v>
      </c>
      <c r="C335" s="2" t="s">
        <v>22</v>
      </c>
      <c r="D335" s="2" t="s">
        <v>42</v>
      </c>
      <c r="E335" s="2" t="s">
        <v>470</v>
      </c>
      <c r="F335" s="2" t="s">
        <v>25</v>
      </c>
      <c r="G335" s="2" t="s">
        <v>25</v>
      </c>
      <c r="H335" s="2" t="s">
        <v>26</v>
      </c>
      <c r="I335" s="2" t="s">
        <v>292</v>
      </c>
      <c r="J335" s="2" t="s">
        <v>37</v>
      </c>
      <c r="K335" s="2" t="s">
        <v>38</v>
      </c>
      <c r="L335" s="2" t="s">
        <v>29</v>
      </c>
      <c r="M335" s="2"/>
      <c r="N335" s="2" t="s">
        <v>292</v>
      </c>
      <c r="O335" s="2" t="s">
        <v>478</v>
      </c>
      <c r="P335" s="3">
        <v>84</v>
      </c>
      <c r="Q335" s="3">
        <v>84</v>
      </c>
      <c r="R335" s="4">
        <f t="shared" si="5"/>
        <v>168</v>
      </c>
      <c r="S335" s="2" t="s">
        <v>31</v>
      </c>
      <c r="T335" s="2"/>
    </row>
    <row r="336" spans="1:20" x14ac:dyDescent="0.3">
      <c r="A336" s="2" t="s">
        <v>469</v>
      </c>
      <c r="B336" s="2" t="s">
        <v>21</v>
      </c>
      <c r="C336" s="2" t="s">
        <v>22</v>
      </c>
      <c r="D336" s="2" t="s">
        <v>42</v>
      </c>
      <c r="E336" s="2" t="s">
        <v>470</v>
      </c>
      <c r="F336" s="2" t="s">
        <v>25</v>
      </c>
      <c r="G336" s="2" t="s">
        <v>25</v>
      </c>
      <c r="H336" s="2" t="s">
        <v>26</v>
      </c>
      <c r="I336" s="2" t="s">
        <v>479</v>
      </c>
      <c r="J336" s="2" t="s">
        <v>37</v>
      </c>
      <c r="K336" s="2" t="s">
        <v>38</v>
      </c>
      <c r="L336" s="2" t="s">
        <v>29</v>
      </c>
      <c r="M336" s="2"/>
      <c r="N336" s="2" t="s">
        <v>479</v>
      </c>
      <c r="O336" s="2" t="s">
        <v>480</v>
      </c>
      <c r="P336" s="3">
        <v>201</v>
      </c>
      <c r="Q336" s="3">
        <v>201</v>
      </c>
      <c r="R336" s="4">
        <f t="shared" si="5"/>
        <v>402</v>
      </c>
      <c r="S336" s="2" t="s">
        <v>31</v>
      </c>
      <c r="T336" s="2"/>
    </row>
    <row r="337" spans="1:20" x14ac:dyDescent="0.3">
      <c r="A337" s="2" t="s">
        <v>469</v>
      </c>
      <c r="B337" s="2" t="s">
        <v>21</v>
      </c>
      <c r="C337" s="2" t="s">
        <v>22</v>
      </c>
      <c r="D337" s="2" t="s">
        <v>42</v>
      </c>
      <c r="E337" s="2" t="s">
        <v>470</v>
      </c>
      <c r="F337" s="2" t="s">
        <v>25</v>
      </c>
      <c r="G337" s="2" t="s">
        <v>25</v>
      </c>
      <c r="H337" s="2" t="s">
        <v>26</v>
      </c>
      <c r="I337" s="2" t="s">
        <v>481</v>
      </c>
      <c r="J337" s="2" t="s">
        <v>37</v>
      </c>
      <c r="K337" s="2" t="s">
        <v>38</v>
      </c>
      <c r="L337" s="2" t="s">
        <v>29</v>
      </c>
      <c r="M337" s="2"/>
      <c r="N337" s="2" t="s">
        <v>481</v>
      </c>
      <c r="O337" s="2" t="s">
        <v>482</v>
      </c>
      <c r="P337" s="3">
        <v>116</v>
      </c>
      <c r="Q337" s="3">
        <v>116</v>
      </c>
      <c r="R337" s="4">
        <f t="shared" si="5"/>
        <v>232</v>
      </c>
      <c r="S337" s="2" t="s">
        <v>31</v>
      </c>
      <c r="T337" s="2"/>
    </row>
    <row r="338" spans="1:20" x14ac:dyDescent="0.3">
      <c r="A338" s="2" t="s">
        <v>469</v>
      </c>
      <c r="B338" s="2" t="s">
        <v>21</v>
      </c>
      <c r="C338" s="2" t="s">
        <v>22</v>
      </c>
      <c r="D338" s="2" t="s">
        <v>42</v>
      </c>
      <c r="E338" s="2" t="s">
        <v>470</v>
      </c>
      <c r="F338" s="2" t="s">
        <v>25</v>
      </c>
      <c r="G338" s="2" t="s">
        <v>25</v>
      </c>
      <c r="H338" s="2" t="s">
        <v>26</v>
      </c>
      <c r="I338" s="2" t="s">
        <v>192</v>
      </c>
      <c r="J338" s="2" t="s">
        <v>37</v>
      </c>
      <c r="K338" s="2" t="s">
        <v>38</v>
      </c>
      <c r="L338" s="2" t="s">
        <v>29</v>
      </c>
      <c r="M338" s="2"/>
      <c r="N338" s="2" t="s">
        <v>192</v>
      </c>
      <c r="O338" s="2" t="s">
        <v>483</v>
      </c>
      <c r="P338" s="3">
        <v>138</v>
      </c>
      <c r="Q338" s="3">
        <v>138</v>
      </c>
      <c r="R338" s="4">
        <f t="shared" si="5"/>
        <v>276</v>
      </c>
      <c r="S338" s="2" t="s">
        <v>31</v>
      </c>
      <c r="T338" s="2"/>
    </row>
    <row r="339" spans="1:20" x14ac:dyDescent="0.3">
      <c r="A339" s="2" t="s">
        <v>469</v>
      </c>
      <c r="B339" s="2" t="s">
        <v>21</v>
      </c>
      <c r="C339" s="2" t="s">
        <v>22</v>
      </c>
      <c r="D339" s="2" t="s">
        <v>42</v>
      </c>
      <c r="E339" s="2" t="s">
        <v>470</v>
      </c>
      <c r="F339" s="2" t="s">
        <v>25</v>
      </c>
      <c r="G339" s="2" t="s">
        <v>25</v>
      </c>
      <c r="H339" s="2" t="s">
        <v>26</v>
      </c>
      <c r="I339" s="2" t="s">
        <v>204</v>
      </c>
      <c r="J339" s="2" t="s">
        <v>37</v>
      </c>
      <c r="K339" s="2" t="s">
        <v>38</v>
      </c>
      <c r="L339" s="2" t="s">
        <v>29</v>
      </c>
      <c r="M339" s="2"/>
      <c r="N339" s="2" t="s">
        <v>204</v>
      </c>
      <c r="O339" s="2" t="s">
        <v>484</v>
      </c>
      <c r="P339" s="3">
        <v>87</v>
      </c>
      <c r="Q339" s="3">
        <v>87</v>
      </c>
      <c r="R339" s="4">
        <f t="shared" si="5"/>
        <v>174</v>
      </c>
      <c r="S339" s="2" t="s">
        <v>31</v>
      </c>
      <c r="T339" s="2"/>
    </row>
    <row r="340" spans="1:20" x14ac:dyDescent="0.3">
      <c r="A340" s="2" t="s">
        <v>469</v>
      </c>
      <c r="B340" s="2" t="s">
        <v>21</v>
      </c>
      <c r="C340" s="2" t="s">
        <v>22</v>
      </c>
      <c r="D340" s="2" t="s">
        <v>42</v>
      </c>
      <c r="E340" s="2" t="s">
        <v>470</v>
      </c>
      <c r="F340" s="2" t="s">
        <v>25</v>
      </c>
      <c r="G340" s="2" t="s">
        <v>25</v>
      </c>
      <c r="H340" s="2" t="s">
        <v>26</v>
      </c>
      <c r="I340" s="2" t="s">
        <v>229</v>
      </c>
      <c r="J340" s="2" t="s">
        <v>230</v>
      </c>
      <c r="K340" s="2" t="s">
        <v>45</v>
      </c>
      <c r="L340" s="2" t="s">
        <v>29</v>
      </c>
      <c r="M340" s="2"/>
      <c r="N340" s="2" t="s">
        <v>229</v>
      </c>
      <c r="O340" s="2" t="s">
        <v>485</v>
      </c>
      <c r="P340" s="3">
        <v>185</v>
      </c>
      <c r="Q340" s="3">
        <v>185</v>
      </c>
      <c r="R340" s="4">
        <f t="shared" si="5"/>
        <v>370</v>
      </c>
      <c r="S340" s="2" t="s">
        <v>31</v>
      </c>
      <c r="T340" s="2"/>
    </row>
    <row r="341" spans="1:20" x14ac:dyDescent="0.3">
      <c r="A341" s="2" t="s">
        <v>469</v>
      </c>
      <c r="B341" s="2" t="s">
        <v>21</v>
      </c>
      <c r="C341" s="2" t="s">
        <v>22</v>
      </c>
      <c r="D341" s="2" t="s">
        <v>42</v>
      </c>
      <c r="E341" s="2" t="s">
        <v>470</v>
      </c>
      <c r="F341" s="2" t="s">
        <v>25</v>
      </c>
      <c r="G341" s="2" t="s">
        <v>25</v>
      </c>
      <c r="H341" s="2" t="s">
        <v>26</v>
      </c>
      <c r="I341" s="2" t="s">
        <v>139</v>
      </c>
      <c r="J341" s="2" t="s">
        <v>140</v>
      </c>
      <c r="K341" s="2" t="s">
        <v>133</v>
      </c>
      <c r="L341" s="2" t="s">
        <v>29</v>
      </c>
      <c r="M341" s="2"/>
      <c r="N341" s="2" t="s">
        <v>139</v>
      </c>
      <c r="O341" s="2" t="s">
        <v>141</v>
      </c>
      <c r="P341" s="3">
        <v>357</v>
      </c>
      <c r="Q341" s="3">
        <v>357</v>
      </c>
      <c r="R341" s="4">
        <f t="shared" si="5"/>
        <v>714</v>
      </c>
      <c r="S341" s="2" t="s">
        <v>31</v>
      </c>
      <c r="T341" s="2"/>
    </row>
    <row r="342" spans="1:20" x14ac:dyDescent="0.3">
      <c r="A342" s="2" t="s">
        <v>469</v>
      </c>
      <c r="B342" s="2" t="s">
        <v>21</v>
      </c>
      <c r="C342" s="2" t="s">
        <v>22</v>
      </c>
      <c r="D342" s="2" t="s">
        <v>42</v>
      </c>
      <c r="E342" s="2" t="s">
        <v>470</v>
      </c>
      <c r="F342" s="2" t="s">
        <v>25</v>
      </c>
      <c r="G342" s="2" t="s">
        <v>25</v>
      </c>
      <c r="H342" s="2" t="s">
        <v>26</v>
      </c>
      <c r="I342" s="2" t="s">
        <v>371</v>
      </c>
      <c r="J342" s="2" t="s">
        <v>143</v>
      </c>
      <c r="K342" s="2" t="s">
        <v>137</v>
      </c>
      <c r="L342" s="2" t="s">
        <v>29</v>
      </c>
      <c r="M342" s="2"/>
      <c r="N342" s="2" t="s">
        <v>371</v>
      </c>
      <c r="O342" s="2" t="s">
        <v>486</v>
      </c>
      <c r="P342" s="3">
        <v>482</v>
      </c>
      <c r="Q342" s="3">
        <v>482</v>
      </c>
      <c r="R342" s="4">
        <f t="shared" si="5"/>
        <v>964</v>
      </c>
      <c r="S342" s="2" t="s">
        <v>31</v>
      </c>
      <c r="T342" s="2"/>
    </row>
    <row r="343" spans="1:20" x14ac:dyDescent="0.3">
      <c r="A343" s="2" t="s">
        <v>469</v>
      </c>
      <c r="B343" s="2" t="s">
        <v>21</v>
      </c>
      <c r="C343" s="2" t="s">
        <v>22</v>
      </c>
      <c r="D343" s="2" t="s">
        <v>42</v>
      </c>
      <c r="E343" s="2" t="s">
        <v>470</v>
      </c>
      <c r="F343" s="2" t="s">
        <v>25</v>
      </c>
      <c r="G343" s="2" t="s">
        <v>25</v>
      </c>
      <c r="H343" s="2" t="s">
        <v>26</v>
      </c>
      <c r="I343" s="2" t="s">
        <v>235</v>
      </c>
      <c r="J343" s="2" t="s">
        <v>236</v>
      </c>
      <c r="K343" s="2" t="s">
        <v>133</v>
      </c>
      <c r="L343" s="2" t="s">
        <v>29</v>
      </c>
      <c r="M343" s="2"/>
      <c r="N343" s="2" t="s">
        <v>235</v>
      </c>
      <c r="O343" s="2" t="s">
        <v>487</v>
      </c>
      <c r="P343" s="3">
        <v>710</v>
      </c>
      <c r="Q343" s="3">
        <v>710</v>
      </c>
      <c r="R343" s="4">
        <f t="shared" si="5"/>
        <v>1420</v>
      </c>
      <c r="S343" s="2" t="s">
        <v>31</v>
      </c>
      <c r="T343" s="2"/>
    </row>
    <row r="344" spans="1:20" x14ac:dyDescent="0.3">
      <c r="A344" s="2" t="s">
        <v>469</v>
      </c>
      <c r="B344" s="2" t="s">
        <v>21</v>
      </c>
      <c r="C344" s="2" t="s">
        <v>22</v>
      </c>
      <c r="D344" s="2" t="s">
        <v>42</v>
      </c>
      <c r="E344" s="2" t="s">
        <v>470</v>
      </c>
      <c r="F344" s="2" t="s">
        <v>25</v>
      </c>
      <c r="G344" s="2" t="s">
        <v>25</v>
      </c>
      <c r="H344" s="2" t="s">
        <v>26</v>
      </c>
      <c r="I344" s="2" t="s">
        <v>358</v>
      </c>
      <c r="J344" s="2" t="s">
        <v>358</v>
      </c>
      <c r="K344" s="2" t="s">
        <v>137</v>
      </c>
      <c r="L344" s="2" t="s">
        <v>29</v>
      </c>
      <c r="M344" s="2"/>
      <c r="N344" s="2" t="s">
        <v>358</v>
      </c>
      <c r="O344" s="2" t="s">
        <v>488</v>
      </c>
      <c r="P344" s="3">
        <v>544</v>
      </c>
      <c r="Q344" s="3">
        <v>544</v>
      </c>
      <c r="R344" s="4">
        <f t="shared" si="5"/>
        <v>1088</v>
      </c>
      <c r="S344" s="2" t="s">
        <v>31</v>
      </c>
      <c r="T344" s="2"/>
    </row>
    <row r="345" spans="1:20" x14ac:dyDescent="0.3">
      <c r="A345" s="2" t="s">
        <v>469</v>
      </c>
      <c r="B345" s="2" t="s">
        <v>21</v>
      </c>
      <c r="C345" s="2" t="s">
        <v>22</v>
      </c>
      <c r="D345" s="2" t="s">
        <v>42</v>
      </c>
      <c r="E345" s="2" t="s">
        <v>470</v>
      </c>
      <c r="F345" s="2" t="s">
        <v>25</v>
      </c>
      <c r="G345" s="2" t="s">
        <v>25</v>
      </c>
      <c r="H345" s="2" t="s">
        <v>26</v>
      </c>
      <c r="I345" s="2" t="s">
        <v>108</v>
      </c>
      <c r="J345" s="2" t="s">
        <v>82</v>
      </c>
      <c r="K345" s="2" t="s">
        <v>45</v>
      </c>
      <c r="L345" s="2" t="s">
        <v>29</v>
      </c>
      <c r="M345" s="2"/>
      <c r="N345" s="2" t="s">
        <v>108</v>
      </c>
      <c r="O345" s="2" t="s">
        <v>109</v>
      </c>
      <c r="P345" s="3">
        <v>788</v>
      </c>
      <c r="Q345" s="3">
        <v>788</v>
      </c>
      <c r="R345" s="4">
        <f t="shared" si="5"/>
        <v>1576</v>
      </c>
      <c r="S345" s="2" t="s">
        <v>31</v>
      </c>
      <c r="T345" s="2"/>
    </row>
    <row r="346" spans="1:20" x14ac:dyDescent="0.3">
      <c r="A346" s="2" t="s">
        <v>469</v>
      </c>
      <c r="B346" s="2" t="s">
        <v>21</v>
      </c>
      <c r="C346" s="2" t="s">
        <v>22</v>
      </c>
      <c r="D346" s="2" t="s">
        <v>42</v>
      </c>
      <c r="E346" s="2" t="s">
        <v>470</v>
      </c>
      <c r="F346" s="2" t="s">
        <v>25</v>
      </c>
      <c r="G346" s="2" t="s">
        <v>25</v>
      </c>
      <c r="H346" s="2" t="s">
        <v>26</v>
      </c>
      <c r="I346" s="2" t="s">
        <v>489</v>
      </c>
      <c r="J346" s="2" t="s">
        <v>26</v>
      </c>
      <c r="K346" s="2" t="s">
        <v>38</v>
      </c>
      <c r="L346" s="2" t="s">
        <v>127</v>
      </c>
      <c r="M346" s="2" t="s">
        <v>128</v>
      </c>
      <c r="N346" s="2" t="s">
        <v>490</v>
      </c>
      <c r="O346" s="2" t="s">
        <v>491</v>
      </c>
      <c r="P346" s="3">
        <v>12</v>
      </c>
      <c r="Q346" s="3">
        <v>12</v>
      </c>
      <c r="R346" s="4">
        <f t="shared" si="5"/>
        <v>24</v>
      </c>
      <c r="S346" s="2" t="s">
        <v>31</v>
      </c>
      <c r="T346" s="2"/>
    </row>
    <row r="347" spans="1:20" x14ac:dyDescent="0.3">
      <c r="A347" s="2" t="s">
        <v>469</v>
      </c>
      <c r="B347" s="2" t="s">
        <v>21</v>
      </c>
      <c r="C347" s="2" t="s">
        <v>22</v>
      </c>
      <c r="D347" s="2" t="s">
        <v>42</v>
      </c>
      <c r="E347" s="2" t="s">
        <v>470</v>
      </c>
      <c r="F347" s="2" t="s">
        <v>25</v>
      </c>
      <c r="G347" s="2" t="s">
        <v>25</v>
      </c>
      <c r="H347" s="2" t="s">
        <v>26</v>
      </c>
      <c r="I347" s="2" t="s">
        <v>492</v>
      </c>
      <c r="J347" s="2" t="s">
        <v>26</v>
      </c>
      <c r="K347" s="2" t="s">
        <v>38</v>
      </c>
      <c r="L347" s="2" t="s">
        <v>127</v>
      </c>
      <c r="M347" s="2" t="s">
        <v>128</v>
      </c>
      <c r="N347" s="2" t="s">
        <v>25</v>
      </c>
      <c r="O347" s="2" t="s">
        <v>129</v>
      </c>
      <c r="P347" s="3">
        <v>10</v>
      </c>
      <c r="Q347" s="3">
        <v>10</v>
      </c>
      <c r="R347" s="4">
        <f t="shared" si="5"/>
        <v>20</v>
      </c>
      <c r="S347" s="2" t="s">
        <v>31</v>
      </c>
      <c r="T347" s="2" t="s">
        <v>130</v>
      </c>
    </row>
    <row r="348" spans="1:20" x14ac:dyDescent="0.3">
      <c r="A348" s="2" t="s">
        <v>469</v>
      </c>
      <c r="B348" s="2" t="s">
        <v>21</v>
      </c>
      <c r="C348" s="2" t="s">
        <v>22</v>
      </c>
      <c r="D348" s="2" t="s">
        <v>42</v>
      </c>
      <c r="E348" s="2" t="s">
        <v>470</v>
      </c>
      <c r="F348" s="2" t="s">
        <v>25</v>
      </c>
      <c r="G348" s="2" t="s">
        <v>25</v>
      </c>
      <c r="H348" s="2" t="s">
        <v>26</v>
      </c>
      <c r="I348" s="2" t="s">
        <v>493</v>
      </c>
      <c r="J348" s="2" t="s">
        <v>26</v>
      </c>
      <c r="K348" s="2" t="s">
        <v>38</v>
      </c>
      <c r="L348" s="2" t="s">
        <v>127</v>
      </c>
      <c r="M348" s="2" t="s">
        <v>128</v>
      </c>
      <c r="N348" s="2" t="s">
        <v>493</v>
      </c>
      <c r="O348" s="2" t="s">
        <v>494</v>
      </c>
      <c r="P348" s="3">
        <v>119</v>
      </c>
      <c r="Q348" s="3">
        <v>119</v>
      </c>
      <c r="R348" s="4">
        <f t="shared" si="5"/>
        <v>238</v>
      </c>
      <c r="S348" s="2" t="s">
        <v>31</v>
      </c>
      <c r="T348" s="2"/>
    </row>
    <row r="349" spans="1:20" x14ac:dyDescent="0.3">
      <c r="A349" s="2" t="s">
        <v>469</v>
      </c>
      <c r="B349" s="2" t="s">
        <v>21</v>
      </c>
      <c r="C349" s="2" t="s">
        <v>22</v>
      </c>
      <c r="D349" s="2" t="s">
        <v>42</v>
      </c>
      <c r="E349" s="2" t="s">
        <v>470</v>
      </c>
      <c r="F349" s="2" t="s">
        <v>25</v>
      </c>
      <c r="G349" s="2" t="s">
        <v>25</v>
      </c>
      <c r="H349" s="2" t="s">
        <v>26</v>
      </c>
      <c r="I349" s="2" t="s">
        <v>76</v>
      </c>
      <c r="J349" s="2" t="s">
        <v>77</v>
      </c>
      <c r="K349" s="2" t="s">
        <v>45</v>
      </c>
      <c r="L349" s="2" t="s">
        <v>29</v>
      </c>
      <c r="M349" s="2"/>
      <c r="N349" s="2" t="s">
        <v>76</v>
      </c>
      <c r="O349" s="2" t="s">
        <v>78</v>
      </c>
      <c r="P349" s="3">
        <v>858</v>
      </c>
      <c r="Q349" s="3">
        <v>858</v>
      </c>
      <c r="R349" s="4">
        <f t="shared" si="5"/>
        <v>1716</v>
      </c>
      <c r="S349" s="2" t="s">
        <v>31</v>
      </c>
      <c r="T349" s="2"/>
    </row>
    <row r="350" spans="1:20" x14ac:dyDescent="0.3">
      <c r="A350" s="2" t="s">
        <v>469</v>
      </c>
      <c r="B350" s="2" t="s">
        <v>21</v>
      </c>
      <c r="C350" s="2" t="s">
        <v>22</v>
      </c>
      <c r="D350" s="2" t="s">
        <v>42</v>
      </c>
      <c r="E350" s="2" t="s">
        <v>470</v>
      </c>
      <c r="F350" s="2" t="s">
        <v>25</v>
      </c>
      <c r="G350" s="2" t="s">
        <v>25</v>
      </c>
      <c r="H350" s="2" t="s">
        <v>26</v>
      </c>
      <c r="I350" s="2" t="s">
        <v>65</v>
      </c>
      <c r="J350" s="2" t="s">
        <v>65</v>
      </c>
      <c r="K350" s="2" t="s">
        <v>28</v>
      </c>
      <c r="L350" s="2" t="s">
        <v>29</v>
      </c>
      <c r="M350" s="2"/>
      <c r="N350" s="2" t="s">
        <v>65</v>
      </c>
      <c r="O350" s="2" t="s">
        <v>75</v>
      </c>
      <c r="P350" s="3">
        <v>635</v>
      </c>
      <c r="Q350" s="3">
        <v>635</v>
      </c>
      <c r="R350" s="4">
        <f t="shared" si="5"/>
        <v>1270</v>
      </c>
      <c r="S350" s="2" t="s">
        <v>31</v>
      </c>
      <c r="T350" s="2"/>
    </row>
    <row r="351" spans="1:20" x14ac:dyDescent="0.3">
      <c r="A351" s="2" t="s">
        <v>469</v>
      </c>
      <c r="B351" s="2" t="s">
        <v>21</v>
      </c>
      <c r="C351" s="2" t="s">
        <v>22</v>
      </c>
      <c r="D351" s="2" t="s">
        <v>42</v>
      </c>
      <c r="E351" s="2" t="s">
        <v>470</v>
      </c>
      <c r="F351" s="2" t="s">
        <v>25</v>
      </c>
      <c r="G351" s="2" t="s">
        <v>25</v>
      </c>
      <c r="H351" s="2" t="s">
        <v>26</v>
      </c>
      <c r="I351" s="2" t="s">
        <v>495</v>
      </c>
      <c r="J351" s="2" t="s">
        <v>152</v>
      </c>
      <c r="K351" s="2" t="s">
        <v>38</v>
      </c>
      <c r="L351" s="2" t="s">
        <v>29</v>
      </c>
      <c r="M351" s="2" t="s">
        <v>188</v>
      </c>
      <c r="N351" s="2" t="s">
        <v>200</v>
      </c>
      <c r="O351" s="2" t="s">
        <v>496</v>
      </c>
      <c r="P351" s="3">
        <v>138</v>
      </c>
      <c r="Q351" s="3">
        <v>138</v>
      </c>
      <c r="R351" s="4">
        <f t="shared" si="5"/>
        <v>276</v>
      </c>
      <c r="S351" s="2" t="s">
        <v>31</v>
      </c>
      <c r="T351" s="2"/>
    </row>
    <row r="352" spans="1:20" x14ac:dyDescent="0.3">
      <c r="A352" s="2" t="s">
        <v>469</v>
      </c>
      <c r="B352" s="2" t="s">
        <v>21</v>
      </c>
      <c r="C352" s="2" t="s">
        <v>22</v>
      </c>
      <c r="D352" s="2" t="s">
        <v>42</v>
      </c>
      <c r="E352" s="2" t="s">
        <v>470</v>
      </c>
      <c r="F352" s="2" t="s">
        <v>25</v>
      </c>
      <c r="G352" s="2" t="s">
        <v>25</v>
      </c>
      <c r="H352" s="2" t="s">
        <v>26</v>
      </c>
      <c r="I352" s="2" t="s">
        <v>497</v>
      </c>
      <c r="J352" s="2" t="s">
        <v>152</v>
      </c>
      <c r="K352" s="2" t="s">
        <v>38</v>
      </c>
      <c r="L352" s="2" t="s">
        <v>29</v>
      </c>
      <c r="M352" s="2" t="s">
        <v>225</v>
      </c>
      <c r="N352" s="2" t="s">
        <v>497</v>
      </c>
      <c r="O352" s="2" t="s">
        <v>498</v>
      </c>
      <c r="P352" s="3">
        <v>153</v>
      </c>
      <c r="Q352" s="3">
        <v>153</v>
      </c>
      <c r="R352" s="4">
        <f t="shared" si="5"/>
        <v>306</v>
      </c>
      <c r="S352" s="2" t="s">
        <v>31</v>
      </c>
      <c r="T352" s="2"/>
    </row>
    <row r="353" spans="1:20" x14ac:dyDescent="0.3">
      <c r="A353" s="2" t="s">
        <v>469</v>
      </c>
      <c r="B353" s="2" t="s">
        <v>21</v>
      </c>
      <c r="C353" s="2" t="s">
        <v>22</v>
      </c>
      <c r="D353" s="2" t="s">
        <v>42</v>
      </c>
      <c r="E353" s="2" t="s">
        <v>470</v>
      </c>
      <c r="F353" s="2" t="s">
        <v>25</v>
      </c>
      <c r="G353" s="2" t="s">
        <v>25</v>
      </c>
      <c r="H353" s="2" t="s">
        <v>26</v>
      </c>
      <c r="I353" s="2" t="s">
        <v>224</v>
      </c>
      <c r="J353" s="2" t="s">
        <v>152</v>
      </c>
      <c r="K353" s="2" t="s">
        <v>38</v>
      </c>
      <c r="L353" s="2" t="s">
        <v>29</v>
      </c>
      <c r="M353" s="2" t="s">
        <v>225</v>
      </c>
      <c r="N353" s="2" t="s">
        <v>224</v>
      </c>
      <c r="O353" s="2" t="s">
        <v>499</v>
      </c>
      <c r="P353" s="3">
        <v>149</v>
      </c>
      <c r="Q353" s="3">
        <v>149</v>
      </c>
      <c r="R353" s="4">
        <f t="shared" si="5"/>
        <v>298</v>
      </c>
      <c r="S353" s="2" t="s">
        <v>31</v>
      </c>
      <c r="T353" s="2"/>
    </row>
    <row r="354" spans="1:20" x14ac:dyDescent="0.3">
      <c r="A354" s="2" t="s">
        <v>469</v>
      </c>
      <c r="B354" s="2" t="s">
        <v>21</v>
      </c>
      <c r="C354" s="2" t="s">
        <v>22</v>
      </c>
      <c r="D354" s="2" t="s">
        <v>42</v>
      </c>
      <c r="E354" s="2" t="s">
        <v>470</v>
      </c>
      <c r="F354" s="2" t="s">
        <v>25</v>
      </c>
      <c r="G354" s="2" t="s">
        <v>25</v>
      </c>
      <c r="H354" s="2" t="s">
        <v>26</v>
      </c>
      <c r="I354" s="2" t="s">
        <v>62</v>
      </c>
      <c r="J354" s="2" t="s">
        <v>48</v>
      </c>
      <c r="K354" s="2" t="s">
        <v>45</v>
      </c>
      <c r="L354" s="2" t="s">
        <v>29</v>
      </c>
      <c r="M354" s="2"/>
      <c r="N354" s="2" t="s">
        <v>62</v>
      </c>
      <c r="O354" s="2" t="s">
        <v>63</v>
      </c>
      <c r="P354" s="3">
        <v>535</v>
      </c>
      <c r="Q354" s="3">
        <v>535</v>
      </c>
      <c r="R354" s="4">
        <f t="shared" si="5"/>
        <v>1070</v>
      </c>
      <c r="S354" s="2" t="s">
        <v>31</v>
      </c>
      <c r="T354" s="2"/>
    </row>
    <row r="355" spans="1:20" x14ac:dyDescent="0.3">
      <c r="A355" s="2" t="s">
        <v>469</v>
      </c>
      <c r="B355" s="2" t="s">
        <v>21</v>
      </c>
      <c r="C355" s="2" t="s">
        <v>22</v>
      </c>
      <c r="D355" s="2" t="s">
        <v>42</v>
      </c>
      <c r="E355" s="2" t="s">
        <v>470</v>
      </c>
      <c r="F355" s="2" t="s">
        <v>25</v>
      </c>
      <c r="G355" s="2" t="s">
        <v>25</v>
      </c>
      <c r="H355" s="2" t="s">
        <v>26</v>
      </c>
      <c r="I355" s="2" t="s">
        <v>142</v>
      </c>
      <c r="J355" s="2" t="s">
        <v>143</v>
      </c>
      <c r="K355" s="2" t="s">
        <v>137</v>
      </c>
      <c r="L355" s="2" t="s">
        <v>29</v>
      </c>
      <c r="M355" s="2"/>
      <c r="N355" s="2" t="s">
        <v>142</v>
      </c>
      <c r="O355" s="2" t="s">
        <v>144</v>
      </c>
      <c r="P355" s="3">
        <v>442</v>
      </c>
      <c r="Q355" s="3">
        <v>442</v>
      </c>
      <c r="R355" s="4">
        <f t="shared" si="5"/>
        <v>884</v>
      </c>
      <c r="S355" s="2" t="s">
        <v>31</v>
      </c>
      <c r="T355" s="2"/>
    </row>
    <row r="356" spans="1:20" x14ac:dyDescent="0.3">
      <c r="A356" s="2" t="s">
        <v>469</v>
      </c>
      <c r="B356" s="2" t="s">
        <v>21</v>
      </c>
      <c r="C356" s="2" t="s">
        <v>22</v>
      </c>
      <c r="D356" s="2" t="s">
        <v>42</v>
      </c>
      <c r="E356" s="2" t="s">
        <v>470</v>
      </c>
      <c r="F356" s="2" t="s">
        <v>25</v>
      </c>
      <c r="G356" s="2" t="s">
        <v>25</v>
      </c>
      <c r="H356" s="2" t="s">
        <v>26</v>
      </c>
      <c r="I356" s="2" t="s">
        <v>344</v>
      </c>
      <c r="J356" s="2" t="s">
        <v>140</v>
      </c>
      <c r="K356" s="2" t="s">
        <v>133</v>
      </c>
      <c r="L356" s="2" t="s">
        <v>29</v>
      </c>
      <c r="M356" s="2"/>
      <c r="N356" s="2" t="s">
        <v>344</v>
      </c>
      <c r="O356" s="2" t="s">
        <v>500</v>
      </c>
      <c r="P356" s="3">
        <v>434</v>
      </c>
      <c r="Q356" s="3">
        <v>434</v>
      </c>
      <c r="R356" s="4">
        <f t="shared" si="5"/>
        <v>868</v>
      </c>
      <c r="S356" s="2" t="s">
        <v>31</v>
      </c>
      <c r="T356" s="2"/>
    </row>
    <row r="357" spans="1:20" x14ac:dyDescent="0.3">
      <c r="A357" s="2" t="s">
        <v>469</v>
      </c>
      <c r="B357" s="2" t="s">
        <v>21</v>
      </c>
      <c r="C357" s="2" t="s">
        <v>22</v>
      </c>
      <c r="D357" s="2" t="s">
        <v>42</v>
      </c>
      <c r="E357" s="2" t="s">
        <v>470</v>
      </c>
      <c r="F357" s="2" t="s">
        <v>25</v>
      </c>
      <c r="G357" s="2" t="s">
        <v>25</v>
      </c>
      <c r="H357" s="2" t="s">
        <v>26</v>
      </c>
      <c r="I357" s="2" t="s">
        <v>501</v>
      </c>
      <c r="J357" s="2" t="s">
        <v>281</v>
      </c>
      <c r="K357" s="2" t="s">
        <v>38</v>
      </c>
      <c r="L357" s="2" t="s">
        <v>29</v>
      </c>
      <c r="M357" s="2"/>
      <c r="N357" s="2" t="s">
        <v>501</v>
      </c>
      <c r="O357" s="2" t="s">
        <v>502</v>
      </c>
      <c r="P357" s="3">
        <v>141</v>
      </c>
      <c r="Q357" s="3">
        <v>141</v>
      </c>
      <c r="R357" s="4">
        <f t="shared" si="5"/>
        <v>282</v>
      </c>
      <c r="S357" s="2" t="s">
        <v>31</v>
      </c>
      <c r="T357" s="2"/>
    </row>
    <row r="358" spans="1:20" x14ac:dyDescent="0.3">
      <c r="A358" s="2" t="s">
        <v>469</v>
      </c>
      <c r="B358" s="2" t="s">
        <v>21</v>
      </c>
      <c r="C358" s="2" t="s">
        <v>22</v>
      </c>
      <c r="D358" s="2" t="s">
        <v>42</v>
      </c>
      <c r="E358" s="2" t="s">
        <v>470</v>
      </c>
      <c r="F358" s="2" t="s">
        <v>25</v>
      </c>
      <c r="G358" s="2" t="s">
        <v>25</v>
      </c>
      <c r="H358" s="2" t="s">
        <v>26</v>
      </c>
      <c r="I358" s="2" t="s">
        <v>503</v>
      </c>
      <c r="J358" s="2" t="s">
        <v>136</v>
      </c>
      <c r="K358" s="2" t="s">
        <v>137</v>
      </c>
      <c r="L358" s="2" t="s">
        <v>29</v>
      </c>
      <c r="M358" s="2"/>
      <c r="N358" s="2" t="s">
        <v>503</v>
      </c>
      <c r="O358" s="2" t="s">
        <v>504</v>
      </c>
      <c r="P358" s="3">
        <v>566</v>
      </c>
      <c r="Q358" s="3">
        <v>566</v>
      </c>
      <c r="R358" s="4">
        <f t="shared" si="5"/>
        <v>1132</v>
      </c>
      <c r="S358" s="2" t="s">
        <v>31</v>
      </c>
      <c r="T358" s="2"/>
    </row>
    <row r="359" spans="1:20" x14ac:dyDescent="0.3">
      <c r="A359" s="2" t="s">
        <v>469</v>
      </c>
      <c r="B359" s="2" t="s">
        <v>21</v>
      </c>
      <c r="C359" s="2" t="s">
        <v>22</v>
      </c>
      <c r="D359" s="2" t="s">
        <v>42</v>
      </c>
      <c r="E359" s="2" t="s">
        <v>470</v>
      </c>
      <c r="F359" s="2" t="s">
        <v>25</v>
      </c>
      <c r="G359" s="2" t="s">
        <v>25</v>
      </c>
      <c r="H359" s="2" t="s">
        <v>26</v>
      </c>
      <c r="I359" s="2" t="s">
        <v>286</v>
      </c>
      <c r="J359" s="2" t="s">
        <v>285</v>
      </c>
      <c r="K359" s="2" t="s">
        <v>38</v>
      </c>
      <c r="L359" s="2" t="s">
        <v>29</v>
      </c>
      <c r="M359" s="2"/>
      <c r="N359" s="2" t="s">
        <v>286</v>
      </c>
      <c r="O359" s="2" t="s">
        <v>505</v>
      </c>
      <c r="P359" s="3">
        <v>110</v>
      </c>
      <c r="Q359" s="3">
        <v>110</v>
      </c>
      <c r="R359" s="4">
        <f t="shared" si="5"/>
        <v>220</v>
      </c>
      <c r="S359" s="2" t="s">
        <v>31</v>
      </c>
      <c r="T359" s="2"/>
    </row>
    <row r="360" spans="1:20" x14ac:dyDescent="0.3">
      <c r="A360" s="2" t="s">
        <v>506</v>
      </c>
      <c r="B360" s="2" t="s">
        <v>21</v>
      </c>
      <c r="C360" s="2" t="s">
        <v>22</v>
      </c>
      <c r="D360" s="2" t="s">
        <v>507</v>
      </c>
      <c r="E360" s="2" t="s">
        <v>470</v>
      </c>
      <c r="F360" s="2" t="s">
        <v>25</v>
      </c>
      <c r="G360" s="2" t="s">
        <v>25</v>
      </c>
      <c r="H360" s="2" t="s">
        <v>26</v>
      </c>
      <c r="I360" s="2" t="s">
        <v>27</v>
      </c>
      <c r="J360" s="2" t="s">
        <v>27</v>
      </c>
      <c r="K360" s="2" t="s">
        <v>28</v>
      </c>
      <c r="L360" s="2" t="s">
        <v>29</v>
      </c>
      <c r="M360" s="2"/>
      <c r="N360" s="2" t="s">
        <v>27</v>
      </c>
      <c r="O360" s="2" t="s">
        <v>30</v>
      </c>
      <c r="P360" s="3">
        <v>876</v>
      </c>
      <c r="Q360" s="3">
        <v>876</v>
      </c>
      <c r="R360" s="4">
        <f t="shared" si="5"/>
        <v>1752</v>
      </c>
      <c r="S360" s="2" t="s">
        <v>31</v>
      </c>
      <c r="T360" s="2"/>
    </row>
    <row r="361" spans="1:20" x14ac:dyDescent="0.3">
      <c r="A361" s="2" t="s">
        <v>506</v>
      </c>
      <c r="B361" s="2" t="s">
        <v>21</v>
      </c>
      <c r="C361" s="2" t="s">
        <v>22</v>
      </c>
      <c r="D361" s="2" t="s">
        <v>507</v>
      </c>
      <c r="E361" s="2" t="s">
        <v>470</v>
      </c>
      <c r="F361" s="2" t="s">
        <v>25</v>
      </c>
      <c r="G361" s="2" t="s">
        <v>25</v>
      </c>
      <c r="H361" s="2" t="s">
        <v>26</v>
      </c>
      <c r="I361" s="2" t="s">
        <v>43</v>
      </c>
      <c r="J361" s="2" t="s">
        <v>44</v>
      </c>
      <c r="K361" s="2" t="s">
        <v>45</v>
      </c>
      <c r="L361" s="2" t="s">
        <v>29</v>
      </c>
      <c r="M361" s="2"/>
      <c r="N361" s="2" t="s">
        <v>43</v>
      </c>
      <c r="O361" s="2" t="s">
        <v>46</v>
      </c>
      <c r="P361" s="3">
        <v>612</v>
      </c>
      <c r="Q361" s="3">
        <v>612</v>
      </c>
      <c r="R361" s="4">
        <f t="shared" si="5"/>
        <v>1224</v>
      </c>
      <c r="S361" s="2" t="s">
        <v>31</v>
      </c>
      <c r="T361" s="2"/>
    </row>
    <row r="362" spans="1:20" x14ac:dyDescent="0.3">
      <c r="A362" s="2" t="s">
        <v>506</v>
      </c>
      <c r="B362" s="2" t="s">
        <v>21</v>
      </c>
      <c r="C362" s="2" t="s">
        <v>22</v>
      </c>
      <c r="D362" s="2" t="s">
        <v>507</v>
      </c>
      <c r="E362" s="2" t="s">
        <v>470</v>
      </c>
      <c r="F362" s="2" t="s">
        <v>25</v>
      </c>
      <c r="G362" s="2" t="s">
        <v>25</v>
      </c>
      <c r="H362" s="2" t="s">
        <v>26</v>
      </c>
      <c r="I362" s="2" t="s">
        <v>246</v>
      </c>
      <c r="J362" s="2" t="s">
        <v>132</v>
      </c>
      <c r="K362" s="2" t="s">
        <v>133</v>
      </c>
      <c r="L362" s="2" t="s">
        <v>29</v>
      </c>
      <c r="M362" s="2"/>
      <c r="N362" s="2" t="s">
        <v>246</v>
      </c>
      <c r="O362" s="2" t="s">
        <v>471</v>
      </c>
      <c r="P362" s="3">
        <v>273</v>
      </c>
      <c r="Q362" s="3">
        <v>273</v>
      </c>
      <c r="R362" s="4">
        <f t="shared" si="5"/>
        <v>546</v>
      </c>
      <c r="S362" s="2" t="s">
        <v>31</v>
      </c>
      <c r="T362" s="2"/>
    </row>
    <row r="363" spans="1:20" x14ac:dyDescent="0.3">
      <c r="A363" s="2" t="s">
        <v>506</v>
      </c>
      <c r="B363" s="2" t="s">
        <v>21</v>
      </c>
      <c r="C363" s="2" t="s">
        <v>22</v>
      </c>
      <c r="D363" s="2" t="s">
        <v>507</v>
      </c>
      <c r="E363" s="2" t="s">
        <v>470</v>
      </c>
      <c r="F363" s="2" t="s">
        <v>25</v>
      </c>
      <c r="G363" s="2" t="s">
        <v>25</v>
      </c>
      <c r="H363" s="2" t="s">
        <v>26</v>
      </c>
      <c r="I363" s="2" t="s">
        <v>160</v>
      </c>
      <c r="J363" s="2" t="s">
        <v>161</v>
      </c>
      <c r="K363" s="2" t="s">
        <v>133</v>
      </c>
      <c r="L363" s="2" t="s">
        <v>29</v>
      </c>
      <c r="M363" s="2"/>
      <c r="N363" s="2" t="s">
        <v>160</v>
      </c>
      <c r="O363" s="2" t="s">
        <v>472</v>
      </c>
      <c r="P363" s="3">
        <v>574</v>
      </c>
      <c r="Q363" s="3">
        <v>574</v>
      </c>
      <c r="R363" s="4">
        <f t="shared" si="5"/>
        <v>1148</v>
      </c>
      <c r="S363" s="2" t="s">
        <v>31</v>
      </c>
      <c r="T363" s="2"/>
    </row>
    <row r="364" spans="1:20" x14ac:dyDescent="0.3">
      <c r="A364" s="2" t="s">
        <v>506</v>
      </c>
      <c r="B364" s="2" t="s">
        <v>21</v>
      </c>
      <c r="C364" s="2" t="s">
        <v>22</v>
      </c>
      <c r="D364" s="2" t="s">
        <v>507</v>
      </c>
      <c r="E364" s="2" t="s">
        <v>470</v>
      </c>
      <c r="F364" s="2" t="s">
        <v>25</v>
      </c>
      <c r="G364" s="2" t="s">
        <v>25</v>
      </c>
      <c r="H364" s="2" t="s">
        <v>26</v>
      </c>
      <c r="I364" s="2" t="s">
        <v>174</v>
      </c>
      <c r="J364" s="2" t="s">
        <v>140</v>
      </c>
      <c r="K364" s="2" t="s">
        <v>133</v>
      </c>
      <c r="L364" s="2" t="s">
        <v>29</v>
      </c>
      <c r="M364" s="2"/>
      <c r="N364" s="2" t="s">
        <v>174</v>
      </c>
      <c r="O364" s="2" t="s">
        <v>473</v>
      </c>
      <c r="P364" s="3">
        <v>393</v>
      </c>
      <c r="Q364" s="3">
        <v>393</v>
      </c>
      <c r="R364" s="4">
        <f t="shared" si="5"/>
        <v>786</v>
      </c>
      <c r="S364" s="2" t="s">
        <v>31</v>
      </c>
      <c r="T364" s="2"/>
    </row>
    <row r="365" spans="1:20" x14ac:dyDescent="0.3">
      <c r="A365" s="2" t="s">
        <v>506</v>
      </c>
      <c r="B365" s="2" t="s">
        <v>21</v>
      </c>
      <c r="C365" s="2" t="s">
        <v>22</v>
      </c>
      <c r="D365" s="2" t="s">
        <v>507</v>
      </c>
      <c r="E365" s="2" t="s">
        <v>470</v>
      </c>
      <c r="F365" s="2" t="s">
        <v>25</v>
      </c>
      <c r="G365" s="2" t="s">
        <v>25</v>
      </c>
      <c r="H365" s="2" t="s">
        <v>26</v>
      </c>
      <c r="I365" s="2" t="s">
        <v>474</v>
      </c>
      <c r="J365" s="2" t="s">
        <v>363</v>
      </c>
      <c r="K365" s="2" t="s">
        <v>137</v>
      </c>
      <c r="L365" s="2" t="s">
        <v>29</v>
      </c>
      <c r="M365" s="2"/>
      <c r="N365" s="2" t="s">
        <v>362</v>
      </c>
      <c r="O365" s="2" t="s">
        <v>475</v>
      </c>
      <c r="P365" s="3">
        <v>510</v>
      </c>
      <c r="Q365" s="3">
        <v>510</v>
      </c>
      <c r="R365" s="4">
        <f t="shared" si="5"/>
        <v>1020</v>
      </c>
      <c r="S365" s="2" t="s">
        <v>31</v>
      </c>
      <c r="T365" s="2"/>
    </row>
    <row r="366" spans="1:20" x14ac:dyDescent="0.3">
      <c r="A366" s="2" t="s">
        <v>506</v>
      </c>
      <c r="B366" s="2" t="s">
        <v>21</v>
      </c>
      <c r="C366" s="2" t="s">
        <v>22</v>
      </c>
      <c r="D366" s="2" t="s">
        <v>507</v>
      </c>
      <c r="E366" s="2" t="s">
        <v>470</v>
      </c>
      <c r="F366" s="2" t="s">
        <v>25</v>
      </c>
      <c r="G366" s="2" t="s">
        <v>25</v>
      </c>
      <c r="H366" s="2" t="s">
        <v>26</v>
      </c>
      <c r="I366" s="2" t="s">
        <v>135</v>
      </c>
      <c r="J366" s="2" t="s">
        <v>136</v>
      </c>
      <c r="K366" s="2" t="s">
        <v>137</v>
      </c>
      <c r="L366" s="2" t="s">
        <v>29</v>
      </c>
      <c r="M366" s="2"/>
      <c r="N366" s="2" t="s">
        <v>135</v>
      </c>
      <c r="O366" s="2" t="s">
        <v>138</v>
      </c>
      <c r="P366" s="3">
        <v>580</v>
      </c>
      <c r="Q366" s="3">
        <v>580</v>
      </c>
      <c r="R366" s="4">
        <f t="shared" si="5"/>
        <v>1160</v>
      </c>
      <c r="S366" s="2" t="s">
        <v>31</v>
      </c>
      <c r="T366" s="2"/>
    </row>
    <row r="367" spans="1:20" x14ac:dyDescent="0.3">
      <c r="A367" s="2" t="s">
        <v>506</v>
      </c>
      <c r="B367" s="2" t="s">
        <v>21</v>
      </c>
      <c r="C367" s="2" t="s">
        <v>22</v>
      </c>
      <c r="D367" s="2" t="s">
        <v>507</v>
      </c>
      <c r="E367" s="2" t="s">
        <v>470</v>
      </c>
      <c r="F367" s="2" t="s">
        <v>25</v>
      </c>
      <c r="G367" s="2" t="s">
        <v>25</v>
      </c>
      <c r="H367" s="2" t="s">
        <v>26</v>
      </c>
      <c r="I367" s="2" t="s">
        <v>282</v>
      </c>
      <c r="J367" s="2" t="s">
        <v>281</v>
      </c>
      <c r="K367" s="2" t="s">
        <v>38</v>
      </c>
      <c r="L367" s="2" t="s">
        <v>29</v>
      </c>
      <c r="M367" s="2"/>
      <c r="N367" s="2" t="s">
        <v>282</v>
      </c>
      <c r="O367" s="2" t="s">
        <v>476</v>
      </c>
      <c r="P367" s="3">
        <v>187</v>
      </c>
      <c r="Q367" s="3">
        <v>187</v>
      </c>
      <c r="R367" s="4">
        <f t="shared" si="5"/>
        <v>374</v>
      </c>
      <c r="S367" s="2" t="s">
        <v>31</v>
      </c>
      <c r="T367" s="2"/>
    </row>
    <row r="368" spans="1:20" x14ac:dyDescent="0.3">
      <c r="A368" s="2" t="s">
        <v>506</v>
      </c>
      <c r="B368" s="2" t="s">
        <v>21</v>
      </c>
      <c r="C368" s="2" t="s">
        <v>22</v>
      </c>
      <c r="D368" s="2" t="s">
        <v>507</v>
      </c>
      <c r="E368" s="2" t="s">
        <v>470</v>
      </c>
      <c r="F368" s="2" t="s">
        <v>25</v>
      </c>
      <c r="G368" s="2" t="s">
        <v>25</v>
      </c>
      <c r="H368" s="2" t="s">
        <v>26</v>
      </c>
      <c r="I368" s="2" t="s">
        <v>373</v>
      </c>
      <c r="J368" s="2" t="s">
        <v>236</v>
      </c>
      <c r="K368" s="2" t="s">
        <v>133</v>
      </c>
      <c r="L368" s="2" t="s">
        <v>29</v>
      </c>
      <c r="M368" s="2"/>
      <c r="N368" s="2" t="s">
        <v>373</v>
      </c>
      <c r="O368" s="2" t="s">
        <v>477</v>
      </c>
      <c r="P368" s="3">
        <v>719</v>
      </c>
      <c r="Q368" s="3">
        <v>719</v>
      </c>
      <c r="R368" s="4">
        <f t="shared" si="5"/>
        <v>1438</v>
      </c>
      <c r="S368" s="2" t="s">
        <v>31</v>
      </c>
      <c r="T368" s="2"/>
    </row>
    <row r="369" spans="1:20" x14ac:dyDescent="0.3">
      <c r="A369" s="2" t="s">
        <v>506</v>
      </c>
      <c r="B369" s="2" t="s">
        <v>21</v>
      </c>
      <c r="C369" s="2" t="s">
        <v>22</v>
      </c>
      <c r="D369" s="2" t="s">
        <v>507</v>
      </c>
      <c r="E369" s="2" t="s">
        <v>470</v>
      </c>
      <c r="F369" s="2" t="s">
        <v>25</v>
      </c>
      <c r="G369" s="2" t="s">
        <v>25</v>
      </c>
      <c r="H369" s="2" t="s">
        <v>26</v>
      </c>
      <c r="I369" s="2" t="s">
        <v>292</v>
      </c>
      <c r="J369" s="2" t="s">
        <v>37</v>
      </c>
      <c r="K369" s="2" t="s">
        <v>38</v>
      </c>
      <c r="L369" s="2" t="s">
        <v>29</v>
      </c>
      <c r="M369" s="2"/>
      <c r="N369" s="2" t="s">
        <v>292</v>
      </c>
      <c r="O369" s="2" t="s">
        <v>478</v>
      </c>
      <c r="P369" s="3">
        <v>84</v>
      </c>
      <c r="Q369" s="3">
        <v>84</v>
      </c>
      <c r="R369" s="4">
        <f t="shared" si="5"/>
        <v>168</v>
      </c>
      <c r="S369" s="2" t="s">
        <v>31</v>
      </c>
      <c r="T369" s="2"/>
    </row>
    <row r="370" spans="1:20" x14ac:dyDescent="0.3">
      <c r="A370" s="2" t="s">
        <v>506</v>
      </c>
      <c r="B370" s="2" t="s">
        <v>21</v>
      </c>
      <c r="C370" s="2" t="s">
        <v>22</v>
      </c>
      <c r="D370" s="2" t="s">
        <v>507</v>
      </c>
      <c r="E370" s="2" t="s">
        <v>470</v>
      </c>
      <c r="F370" s="2" t="s">
        <v>25</v>
      </c>
      <c r="G370" s="2" t="s">
        <v>25</v>
      </c>
      <c r="H370" s="2" t="s">
        <v>26</v>
      </c>
      <c r="I370" s="2" t="s">
        <v>479</v>
      </c>
      <c r="J370" s="2" t="s">
        <v>37</v>
      </c>
      <c r="K370" s="2" t="s">
        <v>38</v>
      </c>
      <c r="L370" s="2" t="s">
        <v>29</v>
      </c>
      <c r="M370" s="2"/>
      <c r="N370" s="2" t="s">
        <v>479</v>
      </c>
      <c r="O370" s="2" t="s">
        <v>480</v>
      </c>
      <c r="P370" s="3">
        <v>201</v>
      </c>
      <c r="Q370" s="3">
        <v>201</v>
      </c>
      <c r="R370" s="4">
        <f t="shared" si="5"/>
        <v>402</v>
      </c>
      <c r="S370" s="2" t="s">
        <v>31</v>
      </c>
      <c r="T370" s="2"/>
    </row>
    <row r="371" spans="1:20" x14ac:dyDescent="0.3">
      <c r="A371" s="2" t="s">
        <v>506</v>
      </c>
      <c r="B371" s="2" t="s">
        <v>21</v>
      </c>
      <c r="C371" s="2" t="s">
        <v>22</v>
      </c>
      <c r="D371" s="2" t="s">
        <v>507</v>
      </c>
      <c r="E371" s="2" t="s">
        <v>470</v>
      </c>
      <c r="F371" s="2" t="s">
        <v>25</v>
      </c>
      <c r="G371" s="2" t="s">
        <v>25</v>
      </c>
      <c r="H371" s="2" t="s">
        <v>26</v>
      </c>
      <c r="I371" s="2" t="s">
        <v>481</v>
      </c>
      <c r="J371" s="2" t="s">
        <v>37</v>
      </c>
      <c r="K371" s="2" t="s">
        <v>38</v>
      </c>
      <c r="L371" s="2" t="s">
        <v>29</v>
      </c>
      <c r="M371" s="2"/>
      <c r="N371" s="2" t="s">
        <v>481</v>
      </c>
      <c r="O371" s="2" t="s">
        <v>482</v>
      </c>
      <c r="P371" s="3">
        <v>116</v>
      </c>
      <c r="Q371" s="3">
        <v>116</v>
      </c>
      <c r="R371" s="4">
        <f t="shared" si="5"/>
        <v>232</v>
      </c>
      <c r="S371" s="2" t="s">
        <v>31</v>
      </c>
      <c r="T371" s="2"/>
    </row>
    <row r="372" spans="1:20" x14ac:dyDescent="0.3">
      <c r="A372" s="2" t="s">
        <v>506</v>
      </c>
      <c r="B372" s="2" t="s">
        <v>21</v>
      </c>
      <c r="C372" s="2" t="s">
        <v>22</v>
      </c>
      <c r="D372" s="2" t="s">
        <v>507</v>
      </c>
      <c r="E372" s="2" t="s">
        <v>470</v>
      </c>
      <c r="F372" s="2" t="s">
        <v>25</v>
      </c>
      <c r="G372" s="2" t="s">
        <v>25</v>
      </c>
      <c r="H372" s="2" t="s">
        <v>26</v>
      </c>
      <c r="I372" s="2" t="s">
        <v>192</v>
      </c>
      <c r="J372" s="2" t="s">
        <v>37</v>
      </c>
      <c r="K372" s="2" t="s">
        <v>38</v>
      </c>
      <c r="L372" s="2" t="s">
        <v>29</v>
      </c>
      <c r="M372" s="2"/>
      <c r="N372" s="2" t="s">
        <v>192</v>
      </c>
      <c r="O372" s="2" t="s">
        <v>483</v>
      </c>
      <c r="P372" s="3">
        <v>138</v>
      </c>
      <c r="Q372" s="3">
        <v>138</v>
      </c>
      <c r="R372" s="4">
        <f t="shared" si="5"/>
        <v>276</v>
      </c>
      <c r="S372" s="2" t="s">
        <v>31</v>
      </c>
      <c r="T372" s="2"/>
    </row>
    <row r="373" spans="1:20" x14ac:dyDescent="0.3">
      <c r="A373" s="2" t="s">
        <v>506</v>
      </c>
      <c r="B373" s="2" t="s">
        <v>21</v>
      </c>
      <c r="C373" s="2" t="s">
        <v>22</v>
      </c>
      <c r="D373" s="2" t="s">
        <v>507</v>
      </c>
      <c r="E373" s="2" t="s">
        <v>470</v>
      </c>
      <c r="F373" s="2" t="s">
        <v>25</v>
      </c>
      <c r="G373" s="2" t="s">
        <v>25</v>
      </c>
      <c r="H373" s="2" t="s">
        <v>26</v>
      </c>
      <c r="I373" s="2" t="s">
        <v>204</v>
      </c>
      <c r="J373" s="2" t="s">
        <v>37</v>
      </c>
      <c r="K373" s="2" t="s">
        <v>38</v>
      </c>
      <c r="L373" s="2" t="s">
        <v>29</v>
      </c>
      <c r="M373" s="2"/>
      <c r="N373" s="2" t="s">
        <v>204</v>
      </c>
      <c r="O373" s="2" t="s">
        <v>484</v>
      </c>
      <c r="P373" s="3">
        <v>87</v>
      </c>
      <c r="Q373" s="3">
        <v>87</v>
      </c>
      <c r="R373" s="4">
        <f t="shared" si="5"/>
        <v>174</v>
      </c>
      <c r="S373" s="2" t="s">
        <v>31</v>
      </c>
      <c r="T373" s="2"/>
    </row>
    <row r="374" spans="1:20" x14ac:dyDescent="0.3">
      <c r="A374" s="2" t="s">
        <v>506</v>
      </c>
      <c r="B374" s="2" t="s">
        <v>21</v>
      </c>
      <c r="C374" s="2" t="s">
        <v>22</v>
      </c>
      <c r="D374" s="2" t="s">
        <v>507</v>
      </c>
      <c r="E374" s="2" t="s">
        <v>470</v>
      </c>
      <c r="F374" s="2" t="s">
        <v>25</v>
      </c>
      <c r="G374" s="2" t="s">
        <v>25</v>
      </c>
      <c r="H374" s="2" t="s">
        <v>26</v>
      </c>
      <c r="I374" s="2" t="s">
        <v>229</v>
      </c>
      <c r="J374" s="2" t="s">
        <v>230</v>
      </c>
      <c r="K374" s="2" t="s">
        <v>45</v>
      </c>
      <c r="L374" s="2" t="s">
        <v>29</v>
      </c>
      <c r="M374" s="2"/>
      <c r="N374" s="2" t="s">
        <v>229</v>
      </c>
      <c r="O374" s="2" t="s">
        <v>485</v>
      </c>
      <c r="P374" s="3">
        <v>185</v>
      </c>
      <c r="Q374" s="3">
        <v>185</v>
      </c>
      <c r="R374" s="4">
        <f t="shared" si="5"/>
        <v>370</v>
      </c>
      <c r="S374" s="2" t="s">
        <v>31</v>
      </c>
      <c r="T374" s="2"/>
    </row>
    <row r="375" spans="1:20" x14ac:dyDescent="0.3">
      <c r="A375" s="2" t="s">
        <v>506</v>
      </c>
      <c r="B375" s="2" t="s">
        <v>21</v>
      </c>
      <c r="C375" s="2" t="s">
        <v>22</v>
      </c>
      <c r="D375" s="2" t="s">
        <v>507</v>
      </c>
      <c r="E375" s="2" t="s">
        <v>470</v>
      </c>
      <c r="F375" s="2" t="s">
        <v>25</v>
      </c>
      <c r="G375" s="2" t="s">
        <v>25</v>
      </c>
      <c r="H375" s="2" t="s">
        <v>26</v>
      </c>
      <c r="I375" s="2" t="s">
        <v>139</v>
      </c>
      <c r="J375" s="2" t="s">
        <v>140</v>
      </c>
      <c r="K375" s="2" t="s">
        <v>133</v>
      </c>
      <c r="L375" s="2" t="s">
        <v>29</v>
      </c>
      <c r="M375" s="2"/>
      <c r="N375" s="2" t="s">
        <v>139</v>
      </c>
      <c r="O375" s="2" t="s">
        <v>141</v>
      </c>
      <c r="P375" s="3">
        <v>357</v>
      </c>
      <c r="Q375" s="3">
        <v>357</v>
      </c>
      <c r="R375" s="4">
        <f t="shared" si="5"/>
        <v>714</v>
      </c>
      <c r="S375" s="2" t="s">
        <v>31</v>
      </c>
      <c r="T375" s="2"/>
    </row>
    <row r="376" spans="1:20" x14ac:dyDescent="0.3">
      <c r="A376" s="2" t="s">
        <v>506</v>
      </c>
      <c r="B376" s="2" t="s">
        <v>21</v>
      </c>
      <c r="C376" s="2" t="s">
        <v>22</v>
      </c>
      <c r="D376" s="2" t="s">
        <v>507</v>
      </c>
      <c r="E376" s="2" t="s">
        <v>470</v>
      </c>
      <c r="F376" s="2" t="s">
        <v>25</v>
      </c>
      <c r="G376" s="2" t="s">
        <v>25</v>
      </c>
      <c r="H376" s="2" t="s">
        <v>26</v>
      </c>
      <c r="I376" s="2" t="s">
        <v>371</v>
      </c>
      <c r="J376" s="2" t="s">
        <v>143</v>
      </c>
      <c r="K376" s="2" t="s">
        <v>137</v>
      </c>
      <c r="L376" s="2" t="s">
        <v>29</v>
      </c>
      <c r="M376" s="2"/>
      <c r="N376" s="2" t="s">
        <v>371</v>
      </c>
      <c r="O376" s="2" t="s">
        <v>486</v>
      </c>
      <c r="P376" s="3">
        <v>482</v>
      </c>
      <c r="Q376" s="3">
        <v>482</v>
      </c>
      <c r="R376" s="4">
        <f t="shared" si="5"/>
        <v>964</v>
      </c>
      <c r="S376" s="2" t="s">
        <v>31</v>
      </c>
      <c r="T376" s="2"/>
    </row>
    <row r="377" spans="1:20" x14ac:dyDescent="0.3">
      <c r="A377" s="2" t="s">
        <v>506</v>
      </c>
      <c r="B377" s="2" t="s">
        <v>21</v>
      </c>
      <c r="C377" s="2" t="s">
        <v>22</v>
      </c>
      <c r="D377" s="2" t="s">
        <v>507</v>
      </c>
      <c r="E377" s="2" t="s">
        <v>470</v>
      </c>
      <c r="F377" s="2" t="s">
        <v>25</v>
      </c>
      <c r="G377" s="2" t="s">
        <v>25</v>
      </c>
      <c r="H377" s="2" t="s">
        <v>26</v>
      </c>
      <c r="I377" s="2" t="s">
        <v>235</v>
      </c>
      <c r="J377" s="2" t="s">
        <v>236</v>
      </c>
      <c r="K377" s="2" t="s">
        <v>133</v>
      </c>
      <c r="L377" s="2" t="s">
        <v>29</v>
      </c>
      <c r="M377" s="2"/>
      <c r="N377" s="2" t="s">
        <v>235</v>
      </c>
      <c r="O377" s="2" t="s">
        <v>487</v>
      </c>
      <c r="P377" s="3">
        <v>710</v>
      </c>
      <c r="Q377" s="3">
        <v>710</v>
      </c>
      <c r="R377" s="4">
        <f t="shared" si="5"/>
        <v>1420</v>
      </c>
      <c r="S377" s="2" t="s">
        <v>31</v>
      </c>
      <c r="T377" s="2"/>
    </row>
    <row r="378" spans="1:20" x14ac:dyDescent="0.3">
      <c r="A378" s="2" t="s">
        <v>506</v>
      </c>
      <c r="B378" s="2" t="s">
        <v>21</v>
      </c>
      <c r="C378" s="2" t="s">
        <v>22</v>
      </c>
      <c r="D378" s="2" t="s">
        <v>507</v>
      </c>
      <c r="E378" s="2" t="s">
        <v>470</v>
      </c>
      <c r="F378" s="2" t="s">
        <v>25</v>
      </c>
      <c r="G378" s="2" t="s">
        <v>25</v>
      </c>
      <c r="H378" s="2" t="s">
        <v>26</v>
      </c>
      <c r="I378" s="2" t="s">
        <v>358</v>
      </c>
      <c r="J378" s="2" t="s">
        <v>358</v>
      </c>
      <c r="K378" s="2" t="s">
        <v>137</v>
      </c>
      <c r="L378" s="2" t="s">
        <v>29</v>
      </c>
      <c r="M378" s="2"/>
      <c r="N378" s="2" t="s">
        <v>358</v>
      </c>
      <c r="O378" s="2" t="s">
        <v>488</v>
      </c>
      <c r="P378" s="3">
        <v>544</v>
      </c>
      <c r="Q378" s="3">
        <v>544</v>
      </c>
      <c r="R378" s="4">
        <f t="shared" si="5"/>
        <v>1088</v>
      </c>
      <c r="S378" s="2" t="s">
        <v>31</v>
      </c>
      <c r="T378" s="2"/>
    </row>
    <row r="379" spans="1:20" x14ac:dyDescent="0.3">
      <c r="A379" s="2" t="s">
        <v>506</v>
      </c>
      <c r="B379" s="2" t="s">
        <v>21</v>
      </c>
      <c r="C379" s="2" t="s">
        <v>22</v>
      </c>
      <c r="D379" s="2" t="s">
        <v>507</v>
      </c>
      <c r="E379" s="2" t="s">
        <v>470</v>
      </c>
      <c r="F379" s="2" t="s">
        <v>25</v>
      </c>
      <c r="G379" s="2" t="s">
        <v>25</v>
      </c>
      <c r="H379" s="2" t="s">
        <v>26</v>
      </c>
      <c r="I379" s="2" t="s">
        <v>108</v>
      </c>
      <c r="J379" s="2" t="s">
        <v>82</v>
      </c>
      <c r="K379" s="2" t="s">
        <v>45</v>
      </c>
      <c r="L379" s="2" t="s">
        <v>29</v>
      </c>
      <c r="M379" s="2"/>
      <c r="N379" s="2" t="s">
        <v>108</v>
      </c>
      <c r="O379" s="2" t="s">
        <v>109</v>
      </c>
      <c r="P379" s="3">
        <v>788</v>
      </c>
      <c r="Q379" s="3">
        <v>788</v>
      </c>
      <c r="R379" s="4">
        <f t="shared" si="5"/>
        <v>1576</v>
      </c>
      <c r="S379" s="2" t="s">
        <v>31</v>
      </c>
      <c r="T379" s="2"/>
    </row>
    <row r="380" spans="1:20" x14ac:dyDescent="0.3">
      <c r="A380" s="2" t="s">
        <v>506</v>
      </c>
      <c r="B380" s="2" t="s">
        <v>21</v>
      </c>
      <c r="C380" s="2" t="s">
        <v>22</v>
      </c>
      <c r="D380" s="2" t="s">
        <v>507</v>
      </c>
      <c r="E380" s="2" t="s">
        <v>470</v>
      </c>
      <c r="F380" s="2" t="s">
        <v>25</v>
      </c>
      <c r="G380" s="2" t="s">
        <v>25</v>
      </c>
      <c r="H380" s="2" t="s">
        <v>26</v>
      </c>
      <c r="I380" s="2" t="s">
        <v>489</v>
      </c>
      <c r="J380" s="2" t="s">
        <v>26</v>
      </c>
      <c r="K380" s="2" t="s">
        <v>38</v>
      </c>
      <c r="L380" s="2" t="s">
        <v>127</v>
      </c>
      <c r="M380" s="2" t="s">
        <v>128</v>
      </c>
      <c r="N380" s="2" t="s">
        <v>490</v>
      </c>
      <c r="O380" s="2" t="s">
        <v>491</v>
      </c>
      <c r="P380" s="3">
        <v>12</v>
      </c>
      <c r="Q380" s="3">
        <v>12</v>
      </c>
      <c r="R380" s="4">
        <f t="shared" si="5"/>
        <v>24</v>
      </c>
      <c r="S380" s="2" t="s">
        <v>31</v>
      </c>
      <c r="T380" s="2"/>
    </row>
    <row r="381" spans="1:20" x14ac:dyDescent="0.3">
      <c r="A381" s="2" t="s">
        <v>506</v>
      </c>
      <c r="B381" s="2" t="s">
        <v>21</v>
      </c>
      <c r="C381" s="2" t="s">
        <v>22</v>
      </c>
      <c r="D381" s="2" t="s">
        <v>507</v>
      </c>
      <c r="E381" s="2" t="s">
        <v>470</v>
      </c>
      <c r="F381" s="2" t="s">
        <v>25</v>
      </c>
      <c r="G381" s="2" t="s">
        <v>25</v>
      </c>
      <c r="H381" s="2" t="s">
        <v>26</v>
      </c>
      <c r="I381" s="2" t="s">
        <v>492</v>
      </c>
      <c r="J381" s="2" t="s">
        <v>26</v>
      </c>
      <c r="K381" s="2" t="s">
        <v>38</v>
      </c>
      <c r="L381" s="2" t="s">
        <v>127</v>
      </c>
      <c r="M381" s="2" t="s">
        <v>128</v>
      </c>
      <c r="N381" s="2" t="s">
        <v>25</v>
      </c>
      <c r="O381" s="2" t="s">
        <v>129</v>
      </c>
      <c r="P381" s="3">
        <v>10</v>
      </c>
      <c r="Q381" s="3">
        <v>10</v>
      </c>
      <c r="R381" s="4">
        <f t="shared" si="5"/>
        <v>20</v>
      </c>
      <c r="S381" s="2" t="s">
        <v>31</v>
      </c>
      <c r="T381" s="2" t="s">
        <v>130</v>
      </c>
    </row>
    <row r="382" spans="1:20" x14ac:dyDescent="0.3">
      <c r="A382" s="2" t="s">
        <v>506</v>
      </c>
      <c r="B382" s="2" t="s">
        <v>21</v>
      </c>
      <c r="C382" s="2" t="s">
        <v>22</v>
      </c>
      <c r="D382" s="2" t="s">
        <v>507</v>
      </c>
      <c r="E382" s="2" t="s">
        <v>470</v>
      </c>
      <c r="F382" s="2" t="s">
        <v>25</v>
      </c>
      <c r="G382" s="2" t="s">
        <v>25</v>
      </c>
      <c r="H382" s="2" t="s">
        <v>26</v>
      </c>
      <c r="I382" s="2" t="s">
        <v>493</v>
      </c>
      <c r="J382" s="2" t="s">
        <v>26</v>
      </c>
      <c r="K382" s="2" t="s">
        <v>38</v>
      </c>
      <c r="L382" s="2" t="s">
        <v>127</v>
      </c>
      <c r="M382" s="2" t="s">
        <v>128</v>
      </c>
      <c r="N382" s="2" t="s">
        <v>493</v>
      </c>
      <c r="O382" s="2" t="s">
        <v>494</v>
      </c>
      <c r="P382" s="3">
        <v>119</v>
      </c>
      <c r="Q382" s="3">
        <v>119</v>
      </c>
      <c r="R382" s="4">
        <f t="shared" si="5"/>
        <v>238</v>
      </c>
      <c r="S382" s="2" t="s">
        <v>31</v>
      </c>
      <c r="T382" s="2"/>
    </row>
    <row r="383" spans="1:20" x14ac:dyDescent="0.3">
      <c r="A383" s="2" t="s">
        <v>506</v>
      </c>
      <c r="B383" s="2" t="s">
        <v>21</v>
      </c>
      <c r="C383" s="2" t="s">
        <v>22</v>
      </c>
      <c r="D383" s="2" t="s">
        <v>507</v>
      </c>
      <c r="E383" s="2" t="s">
        <v>470</v>
      </c>
      <c r="F383" s="2" t="s">
        <v>25</v>
      </c>
      <c r="G383" s="2" t="s">
        <v>25</v>
      </c>
      <c r="H383" s="2" t="s">
        <v>26</v>
      </c>
      <c r="I383" s="2" t="s">
        <v>76</v>
      </c>
      <c r="J383" s="2" t="s">
        <v>77</v>
      </c>
      <c r="K383" s="2" t="s">
        <v>45</v>
      </c>
      <c r="L383" s="2" t="s">
        <v>29</v>
      </c>
      <c r="M383" s="2"/>
      <c r="N383" s="2" t="s">
        <v>76</v>
      </c>
      <c r="O383" s="2" t="s">
        <v>78</v>
      </c>
      <c r="P383" s="3">
        <v>858</v>
      </c>
      <c r="Q383" s="3">
        <v>858</v>
      </c>
      <c r="R383" s="4">
        <f t="shared" si="5"/>
        <v>1716</v>
      </c>
      <c r="S383" s="2" t="s">
        <v>31</v>
      </c>
      <c r="T383" s="2"/>
    </row>
    <row r="384" spans="1:20" x14ac:dyDescent="0.3">
      <c r="A384" s="2" t="s">
        <v>506</v>
      </c>
      <c r="B384" s="2" t="s">
        <v>21</v>
      </c>
      <c r="C384" s="2" t="s">
        <v>22</v>
      </c>
      <c r="D384" s="2" t="s">
        <v>507</v>
      </c>
      <c r="E384" s="2" t="s">
        <v>470</v>
      </c>
      <c r="F384" s="2" t="s">
        <v>25</v>
      </c>
      <c r="G384" s="2" t="s">
        <v>25</v>
      </c>
      <c r="H384" s="2" t="s">
        <v>26</v>
      </c>
      <c r="I384" s="2" t="s">
        <v>65</v>
      </c>
      <c r="J384" s="2" t="s">
        <v>65</v>
      </c>
      <c r="K384" s="2" t="s">
        <v>28</v>
      </c>
      <c r="L384" s="2" t="s">
        <v>29</v>
      </c>
      <c r="M384" s="2"/>
      <c r="N384" s="2" t="s">
        <v>65</v>
      </c>
      <c r="O384" s="2" t="s">
        <v>75</v>
      </c>
      <c r="P384" s="3">
        <v>635</v>
      </c>
      <c r="Q384" s="3">
        <v>635</v>
      </c>
      <c r="R384" s="4">
        <f t="shared" si="5"/>
        <v>1270</v>
      </c>
      <c r="S384" s="2" t="s">
        <v>31</v>
      </c>
      <c r="T384" s="2"/>
    </row>
    <row r="385" spans="1:20" x14ac:dyDescent="0.3">
      <c r="A385" s="2" t="s">
        <v>506</v>
      </c>
      <c r="B385" s="2" t="s">
        <v>21</v>
      </c>
      <c r="C385" s="2" t="s">
        <v>22</v>
      </c>
      <c r="D385" s="2" t="s">
        <v>507</v>
      </c>
      <c r="E385" s="2" t="s">
        <v>470</v>
      </c>
      <c r="F385" s="2" t="s">
        <v>25</v>
      </c>
      <c r="G385" s="2" t="s">
        <v>25</v>
      </c>
      <c r="H385" s="2" t="s">
        <v>26</v>
      </c>
      <c r="I385" s="2" t="s">
        <v>495</v>
      </c>
      <c r="J385" s="2" t="s">
        <v>152</v>
      </c>
      <c r="K385" s="2" t="s">
        <v>38</v>
      </c>
      <c r="L385" s="2" t="s">
        <v>29</v>
      </c>
      <c r="M385" s="2" t="s">
        <v>188</v>
      </c>
      <c r="N385" s="2" t="s">
        <v>200</v>
      </c>
      <c r="O385" s="2" t="s">
        <v>496</v>
      </c>
      <c r="P385" s="3">
        <v>138</v>
      </c>
      <c r="Q385" s="3">
        <v>138</v>
      </c>
      <c r="R385" s="4">
        <f t="shared" si="5"/>
        <v>276</v>
      </c>
      <c r="S385" s="2" t="s">
        <v>31</v>
      </c>
      <c r="T385" s="2"/>
    </row>
    <row r="386" spans="1:20" x14ac:dyDescent="0.3">
      <c r="A386" s="2" t="s">
        <v>506</v>
      </c>
      <c r="B386" s="2" t="s">
        <v>21</v>
      </c>
      <c r="C386" s="2" t="s">
        <v>22</v>
      </c>
      <c r="D386" s="2" t="s">
        <v>507</v>
      </c>
      <c r="E386" s="2" t="s">
        <v>470</v>
      </c>
      <c r="F386" s="2" t="s">
        <v>25</v>
      </c>
      <c r="G386" s="2" t="s">
        <v>25</v>
      </c>
      <c r="H386" s="2" t="s">
        <v>26</v>
      </c>
      <c r="I386" s="2" t="s">
        <v>497</v>
      </c>
      <c r="J386" s="2" t="s">
        <v>152</v>
      </c>
      <c r="K386" s="2" t="s">
        <v>38</v>
      </c>
      <c r="L386" s="2" t="s">
        <v>29</v>
      </c>
      <c r="M386" s="2" t="s">
        <v>225</v>
      </c>
      <c r="N386" s="2" t="s">
        <v>497</v>
      </c>
      <c r="O386" s="2" t="s">
        <v>498</v>
      </c>
      <c r="P386" s="3">
        <v>153</v>
      </c>
      <c r="Q386" s="3">
        <v>153</v>
      </c>
      <c r="R386" s="4">
        <f t="shared" ref="R386:R449" si="6">IF(P386="","",P386+Q386)</f>
        <v>306</v>
      </c>
      <c r="S386" s="2" t="s">
        <v>31</v>
      </c>
      <c r="T386" s="2"/>
    </row>
    <row r="387" spans="1:20" x14ac:dyDescent="0.3">
      <c r="A387" s="2" t="s">
        <v>506</v>
      </c>
      <c r="B387" s="2" t="s">
        <v>21</v>
      </c>
      <c r="C387" s="2" t="s">
        <v>22</v>
      </c>
      <c r="D387" s="2" t="s">
        <v>507</v>
      </c>
      <c r="E387" s="2" t="s">
        <v>470</v>
      </c>
      <c r="F387" s="2" t="s">
        <v>25</v>
      </c>
      <c r="G387" s="2" t="s">
        <v>25</v>
      </c>
      <c r="H387" s="2" t="s">
        <v>26</v>
      </c>
      <c r="I387" s="2" t="s">
        <v>224</v>
      </c>
      <c r="J387" s="2" t="s">
        <v>152</v>
      </c>
      <c r="K387" s="2" t="s">
        <v>38</v>
      </c>
      <c r="L387" s="2" t="s">
        <v>29</v>
      </c>
      <c r="M387" s="2" t="s">
        <v>225</v>
      </c>
      <c r="N387" s="2" t="s">
        <v>224</v>
      </c>
      <c r="O387" s="2" t="s">
        <v>499</v>
      </c>
      <c r="P387" s="3">
        <v>149</v>
      </c>
      <c r="Q387" s="3">
        <v>149</v>
      </c>
      <c r="R387" s="4">
        <f t="shared" si="6"/>
        <v>298</v>
      </c>
      <c r="S387" s="2" t="s">
        <v>31</v>
      </c>
      <c r="T387" s="2"/>
    </row>
    <row r="388" spans="1:20" x14ac:dyDescent="0.3">
      <c r="A388" s="2" t="s">
        <v>506</v>
      </c>
      <c r="B388" s="2" t="s">
        <v>21</v>
      </c>
      <c r="C388" s="2" t="s">
        <v>22</v>
      </c>
      <c r="D388" s="2" t="s">
        <v>507</v>
      </c>
      <c r="E388" s="2" t="s">
        <v>470</v>
      </c>
      <c r="F388" s="2" t="s">
        <v>25</v>
      </c>
      <c r="G388" s="2" t="s">
        <v>25</v>
      </c>
      <c r="H388" s="2" t="s">
        <v>26</v>
      </c>
      <c r="I388" s="2" t="s">
        <v>62</v>
      </c>
      <c r="J388" s="2" t="s">
        <v>48</v>
      </c>
      <c r="K388" s="2" t="s">
        <v>45</v>
      </c>
      <c r="L388" s="2" t="s">
        <v>29</v>
      </c>
      <c r="M388" s="2"/>
      <c r="N388" s="2" t="s">
        <v>62</v>
      </c>
      <c r="O388" s="2" t="s">
        <v>63</v>
      </c>
      <c r="P388" s="3">
        <v>535</v>
      </c>
      <c r="Q388" s="3">
        <v>535</v>
      </c>
      <c r="R388" s="4">
        <f t="shared" si="6"/>
        <v>1070</v>
      </c>
      <c r="S388" s="2" t="s">
        <v>31</v>
      </c>
      <c r="T388" s="2"/>
    </row>
    <row r="389" spans="1:20" x14ac:dyDescent="0.3">
      <c r="A389" s="2" t="s">
        <v>506</v>
      </c>
      <c r="B389" s="2" t="s">
        <v>21</v>
      </c>
      <c r="C389" s="2" t="s">
        <v>22</v>
      </c>
      <c r="D389" s="2" t="s">
        <v>507</v>
      </c>
      <c r="E389" s="2" t="s">
        <v>470</v>
      </c>
      <c r="F389" s="2" t="s">
        <v>25</v>
      </c>
      <c r="G389" s="2" t="s">
        <v>25</v>
      </c>
      <c r="H389" s="2" t="s">
        <v>26</v>
      </c>
      <c r="I389" s="2" t="s">
        <v>142</v>
      </c>
      <c r="J389" s="2" t="s">
        <v>143</v>
      </c>
      <c r="K389" s="2" t="s">
        <v>137</v>
      </c>
      <c r="L389" s="2" t="s">
        <v>29</v>
      </c>
      <c r="M389" s="2"/>
      <c r="N389" s="2" t="s">
        <v>142</v>
      </c>
      <c r="O389" s="2" t="s">
        <v>144</v>
      </c>
      <c r="P389" s="3">
        <v>442</v>
      </c>
      <c r="Q389" s="3">
        <v>442</v>
      </c>
      <c r="R389" s="4">
        <f t="shared" si="6"/>
        <v>884</v>
      </c>
      <c r="S389" s="2" t="s">
        <v>31</v>
      </c>
      <c r="T389" s="2"/>
    </row>
    <row r="390" spans="1:20" x14ac:dyDescent="0.3">
      <c r="A390" s="2" t="s">
        <v>506</v>
      </c>
      <c r="B390" s="2" t="s">
        <v>21</v>
      </c>
      <c r="C390" s="2" t="s">
        <v>22</v>
      </c>
      <c r="D390" s="2" t="s">
        <v>507</v>
      </c>
      <c r="E390" s="2" t="s">
        <v>470</v>
      </c>
      <c r="F390" s="2" t="s">
        <v>25</v>
      </c>
      <c r="G390" s="2" t="s">
        <v>25</v>
      </c>
      <c r="H390" s="2" t="s">
        <v>26</v>
      </c>
      <c r="I390" s="2" t="s">
        <v>344</v>
      </c>
      <c r="J390" s="2" t="s">
        <v>140</v>
      </c>
      <c r="K390" s="2" t="s">
        <v>133</v>
      </c>
      <c r="L390" s="2" t="s">
        <v>29</v>
      </c>
      <c r="M390" s="2"/>
      <c r="N390" s="2" t="s">
        <v>344</v>
      </c>
      <c r="O390" s="2" t="s">
        <v>500</v>
      </c>
      <c r="P390" s="3">
        <v>434</v>
      </c>
      <c r="Q390" s="3">
        <v>434</v>
      </c>
      <c r="R390" s="4">
        <f t="shared" si="6"/>
        <v>868</v>
      </c>
      <c r="S390" s="2" t="s">
        <v>31</v>
      </c>
      <c r="T390" s="2"/>
    </row>
    <row r="391" spans="1:20" x14ac:dyDescent="0.3">
      <c r="A391" s="2" t="s">
        <v>506</v>
      </c>
      <c r="B391" s="2" t="s">
        <v>21</v>
      </c>
      <c r="C391" s="2" t="s">
        <v>22</v>
      </c>
      <c r="D391" s="2" t="s">
        <v>507</v>
      </c>
      <c r="E391" s="2" t="s">
        <v>470</v>
      </c>
      <c r="F391" s="2" t="s">
        <v>25</v>
      </c>
      <c r="G391" s="2" t="s">
        <v>25</v>
      </c>
      <c r="H391" s="2" t="s">
        <v>26</v>
      </c>
      <c r="I391" s="2" t="s">
        <v>501</v>
      </c>
      <c r="J391" s="2" t="s">
        <v>281</v>
      </c>
      <c r="K391" s="2" t="s">
        <v>38</v>
      </c>
      <c r="L391" s="2" t="s">
        <v>29</v>
      </c>
      <c r="M391" s="2"/>
      <c r="N391" s="2" t="s">
        <v>501</v>
      </c>
      <c r="O391" s="2" t="s">
        <v>502</v>
      </c>
      <c r="P391" s="3">
        <v>141</v>
      </c>
      <c r="Q391" s="3">
        <v>141</v>
      </c>
      <c r="R391" s="4">
        <f t="shared" si="6"/>
        <v>282</v>
      </c>
      <c r="S391" s="2" t="s">
        <v>31</v>
      </c>
      <c r="T391" s="2"/>
    </row>
    <row r="392" spans="1:20" x14ac:dyDescent="0.3">
      <c r="A392" s="2" t="s">
        <v>506</v>
      </c>
      <c r="B392" s="2" t="s">
        <v>21</v>
      </c>
      <c r="C392" s="2" t="s">
        <v>22</v>
      </c>
      <c r="D392" s="2" t="s">
        <v>507</v>
      </c>
      <c r="E392" s="2" t="s">
        <v>470</v>
      </c>
      <c r="F392" s="2" t="s">
        <v>25</v>
      </c>
      <c r="G392" s="2" t="s">
        <v>25</v>
      </c>
      <c r="H392" s="2" t="s">
        <v>26</v>
      </c>
      <c r="I392" s="2" t="s">
        <v>503</v>
      </c>
      <c r="J392" s="2" t="s">
        <v>136</v>
      </c>
      <c r="K392" s="2" t="s">
        <v>137</v>
      </c>
      <c r="L392" s="2" t="s">
        <v>29</v>
      </c>
      <c r="M392" s="2"/>
      <c r="N392" s="2" t="s">
        <v>503</v>
      </c>
      <c r="O392" s="2" t="s">
        <v>504</v>
      </c>
      <c r="P392" s="3">
        <v>566</v>
      </c>
      <c r="Q392" s="3">
        <v>566</v>
      </c>
      <c r="R392" s="4">
        <f t="shared" si="6"/>
        <v>1132</v>
      </c>
      <c r="S392" s="2" t="s">
        <v>31</v>
      </c>
      <c r="T392" s="2"/>
    </row>
    <row r="393" spans="1:20" x14ac:dyDescent="0.3">
      <c r="A393" s="2" t="s">
        <v>506</v>
      </c>
      <c r="B393" s="2" t="s">
        <v>21</v>
      </c>
      <c r="C393" s="2" t="s">
        <v>22</v>
      </c>
      <c r="D393" s="2" t="s">
        <v>507</v>
      </c>
      <c r="E393" s="2" t="s">
        <v>470</v>
      </c>
      <c r="F393" s="2" t="s">
        <v>25</v>
      </c>
      <c r="G393" s="2" t="s">
        <v>25</v>
      </c>
      <c r="H393" s="2" t="s">
        <v>26</v>
      </c>
      <c r="I393" s="2" t="s">
        <v>286</v>
      </c>
      <c r="J393" s="2" t="s">
        <v>285</v>
      </c>
      <c r="K393" s="2" t="s">
        <v>38</v>
      </c>
      <c r="L393" s="2" t="s">
        <v>29</v>
      </c>
      <c r="M393" s="2"/>
      <c r="N393" s="2" t="s">
        <v>286</v>
      </c>
      <c r="O393" s="2" t="s">
        <v>505</v>
      </c>
      <c r="P393" s="3">
        <v>110</v>
      </c>
      <c r="Q393" s="3">
        <v>110</v>
      </c>
      <c r="R393" s="4">
        <f t="shared" si="6"/>
        <v>220</v>
      </c>
      <c r="S393" s="2" t="s">
        <v>31</v>
      </c>
      <c r="T393" s="2"/>
    </row>
    <row r="394" spans="1:20" x14ac:dyDescent="0.3">
      <c r="A394" s="2" t="s">
        <v>508</v>
      </c>
      <c r="B394" s="2" t="s">
        <v>21</v>
      </c>
      <c r="C394" s="2" t="s">
        <v>22</v>
      </c>
      <c r="D394" s="2" t="s">
        <v>23</v>
      </c>
      <c r="E394" s="2" t="s">
        <v>470</v>
      </c>
      <c r="F394" s="2" t="s">
        <v>25</v>
      </c>
      <c r="G394" s="2" t="s">
        <v>25</v>
      </c>
      <c r="H394" s="2" t="s">
        <v>26</v>
      </c>
      <c r="I394" s="2" t="s">
        <v>27</v>
      </c>
      <c r="J394" s="2" t="s">
        <v>27</v>
      </c>
      <c r="K394" s="2" t="s">
        <v>28</v>
      </c>
      <c r="L394" s="2" t="s">
        <v>29</v>
      </c>
      <c r="M394" s="2"/>
      <c r="N394" s="2" t="s">
        <v>27</v>
      </c>
      <c r="O394" s="2" t="s">
        <v>30</v>
      </c>
      <c r="P394" s="3">
        <v>876</v>
      </c>
      <c r="Q394" s="3">
        <v>876</v>
      </c>
      <c r="R394" s="4">
        <f t="shared" si="6"/>
        <v>1752</v>
      </c>
      <c r="S394" s="2" t="s">
        <v>31</v>
      </c>
      <c r="T394" s="2"/>
    </row>
    <row r="395" spans="1:20" x14ac:dyDescent="0.3">
      <c r="A395" s="2" t="s">
        <v>508</v>
      </c>
      <c r="B395" s="2" t="s">
        <v>21</v>
      </c>
      <c r="C395" s="2" t="s">
        <v>22</v>
      </c>
      <c r="D395" s="2" t="s">
        <v>23</v>
      </c>
      <c r="E395" s="2" t="s">
        <v>470</v>
      </c>
      <c r="F395" s="2" t="s">
        <v>25</v>
      </c>
      <c r="G395" s="2" t="s">
        <v>25</v>
      </c>
      <c r="H395" s="2" t="s">
        <v>26</v>
      </c>
      <c r="I395" s="2" t="s">
        <v>43</v>
      </c>
      <c r="J395" s="2" t="s">
        <v>44</v>
      </c>
      <c r="K395" s="2" t="s">
        <v>45</v>
      </c>
      <c r="L395" s="2" t="s">
        <v>29</v>
      </c>
      <c r="M395" s="2"/>
      <c r="N395" s="2" t="s">
        <v>43</v>
      </c>
      <c r="O395" s="2" t="s">
        <v>46</v>
      </c>
      <c r="P395" s="3">
        <v>612</v>
      </c>
      <c r="Q395" s="3">
        <v>612</v>
      </c>
      <c r="R395" s="4">
        <f t="shared" si="6"/>
        <v>1224</v>
      </c>
      <c r="S395" s="2" t="s">
        <v>31</v>
      </c>
      <c r="T395" s="2"/>
    </row>
    <row r="396" spans="1:20" x14ac:dyDescent="0.3">
      <c r="A396" s="2" t="s">
        <v>508</v>
      </c>
      <c r="B396" s="2" t="s">
        <v>21</v>
      </c>
      <c r="C396" s="2" t="s">
        <v>22</v>
      </c>
      <c r="D396" s="2" t="s">
        <v>23</v>
      </c>
      <c r="E396" s="2" t="s">
        <v>470</v>
      </c>
      <c r="F396" s="2" t="s">
        <v>25</v>
      </c>
      <c r="G396" s="2" t="s">
        <v>25</v>
      </c>
      <c r="H396" s="2" t="s">
        <v>26</v>
      </c>
      <c r="I396" s="2" t="s">
        <v>246</v>
      </c>
      <c r="J396" s="2" t="s">
        <v>132</v>
      </c>
      <c r="K396" s="2" t="s">
        <v>133</v>
      </c>
      <c r="L396" s="2" t="s">
        <v>29</v>
      </c>
      <c r="M396" s="2"/>
      <c r="N396" s="2" t="s">
        <v>246</v>
      </c>
      <c r="O396" s="2" t="s">
        <v>471</v>
      </c>
      <c r="P396" s="3">
        <v>273</v>
      </c>
      <c r="Q396" s="3">
        <v>273</v>
      </c>
      <c r="R396" s="4">
        <f t="shared" si="6"/>
        <v>546</v>
      </c>
      <c r="S396" s="2" t="s">
        <v>31</v>
      </c>
      <c r="T396" s="2"/>
    </row>
    <row r="397" spans="1:20" x14ac:dyDescent="0.3">
      <c r="A397" s="2" t="s">
        <v>508</v>
      </c>
      <c r="B397" s="2" t="s">
        <v>21</v>
      </c>
      <c r="C397" s="2" t="s">
        <v>22</v>
      </c>
      <c r="D397" s="2" t="s">
        <v>23</v>
      </c>
      <c r="E397" s="2" t="s">
        <v>470</v>
      </c>
      <c r="F397" s="2" t="s">
        <v>25</v>
      </c>
      <c r="G397" s="2" t="s">
        <v>25</v>
      </c>
      <c r="H397" s="2" t="s">
        <v>26</v>
      </c>
      <c r="I397" s="2" t="s">
        <v>160</v>
      </c>
      <c r="J397" s="2" t="s">
        <v>161</v>
      </c>
      <c r="K397" s="2" t="s">
        <v>133</v>
      </c>
      <c r="L397" s="2" t="s">
        <v>29</v>
      </c>
      <c r="M397" s="2"/>
      <c r="N397" s="2" t="s">
        <v>160</v>
      </c>
      <c r="O397" s="2" t="s">
        <v>472</v>
      </c>
      <c r="P397" s="3">
        <v>574</v>
      </c>
      <c r="Q397" s="3">
        <v>574</v>
      </c>
      <c r="R397" s="4">
        <f t="shared" si="6"/>
        <v>1148</v>
      </c>
      <c r="S397" s="2" t="s">
        <v>31</v>
      </c>
      <c r="T397" s="2"/>
    </row>
    <row r="398" spans="1:20" x14ac:dyDescent="0.3">
      <c r="A398" s="2" t="s">
        <v>508</v>
      </c>
      <c r="B398" s="2" t="s">
        <v>21</v>
      </c>
      <c r="C398" s="2" t="s">
        <v>22</v>
      </c>
      <c r="D398" s="2" t="s">
        <v>23</v>
      </c>
      <c r="E398" s="2" t="s">
        <v>470</v>
      </c>
      <c r="F398" s="2" t="s">
        <v>25</v>
      </c>
      <c r="G398" s="2" t="s">
        <v>25</v>
      </c>
      <c r="H398" s="2" t="s">
        <v>26</v>
      </c>
      <c r="I398" s="2" t="s">
        <v>174</v>
      </c>
      <c r="J398" s="2" t="s">
        <v>140</v>
      </c>
      <c r="K398" s="2" t="s">
        <v>133</v>
      </c>
      <c r="L398" s="2" t="s">
        <v>29</v>
      </c>
      <c r="M398" s="2"/>
      <c r="N398" s="2" t="s">
        <v>174</v>
      </c>
      <c r="O398" s="2" t="s">
        <v>473</v>
      </c>
      <c r="P398" s="3">
        <v>393</v>
      </c>
      <c r="Q398" s="3">
        <v>393</v>
      </c>
      <c r="R398" s="4">
        <f t="shared" si="6"/>
        <v>786</v>
      </c>
      <c r="S398" s="2" t="s">
        <v>31</v>
      </c>
      <c r="T398" s="2"/>
    </row>
    <row r="399" spans="1:20" x14ac:dyDescent="0.3">
      <c r="A399" s="2" t="s">
        <v>508</v>
      </c>
      <c r="B399" s="2" t="s">
        <v>21</v>
      </c>
      <c r="C399" s="2" t="s">
        <v>22</v>
      </c>
      <c r="D399" s="2" t="s">
        <v>23</v>
      </c>
      <c r="E399" s="2" t="s">
        <v>470</v>
      </c>
      <c r="F399" s="2" t="s">
        <v>25</v>
      </c>
      <c r="G399" s="2" t="s">
        <v>25</v>
      </c>
      <c r="H399" s="2" t="s">
        <v>26</v>
      </c>
      <c r="I399" s="2" t="s">
        <v>474</v>
      </c>
      <c r="J399" s="2" t="s">
        <v>363</v>
      </c>
      <c r="K399" s="2" t="s">
        <v>137</v>
      </c>
      <c r="L399" s="2" t="s">
        <v>29</v>
      </c>
      <c r="M399" s="2"/>
      <c r="N399" s="2" t="s">
        <v>362</v>
      </c>
      <c r="O399" s="2" t="s">
        <v>475</v>
      </c>
      <c r="P399" s="3">
        <v>510</v>
      </c>
      <c r="Q399" s="3">
        <v>510</v>
      </c>
      <c r="R399" s="4">
        <f t="shared" si="6"/>
        <v>1020</v>
      </c>
      <c r="S399" s="2" t="s">
        <v>31</v>
      </c>
      <c r="T399" s="2"/>
    </row>
    <row r="400" spans="1:20" x14ac:dyDescent="0.3">
      <c r="A400" s="2" t="s">
        <v>508</v>
      </c>
      <c r="B400" s="2" t="s">
        <v>21</v>
      </c>
      <c r="C400" s="2" t="s">
        <v>22</v>
      </c>
      <c r="D400" s="2" t="s">
        <v>23</v>
      </c>
      <c r="E400" s="2" t="s">
        <v>470</v>
      </c>
      <c r="F400" s="2" t="s">
        <v>25</v>
      </c>
      <c r="G400" s="2" t="s">
        <v>25</v>
      </c>
      <c r="H400" s="2" t="s">
        <v>26</v>
      </c>
      <c r="I400" s="2" t="s">
        <v>135</v>
      </c>
      <c r="J400" s="2" t="s">
        <v>136</v>
      </c>
      <c r="K400" s="2" t="s">
        <v>137</v>
      </c>
      <c r="L400" s="2" t="s">
        <v>29</v>
      </c>
      <c r="M400" s="2"/>
      <c r="N400" s="2" t="s">
        <v>135</v>
      </c>
      <c r="O400" s="2" t="s">
        <v>138</v>
      </c>
      <c r="P400" s="3">
        <v>580</v>
      </c>
      <c r="Q400" s="3">
        <v>580</v>
      </c>
      <c r="R400" s="4">
        <f t="shared" si="6"/>
        <v>1160</v>
      </c>
      <c r="S400" s="2" t="s">
        <v>31</v>
      </c>
      <c r="T400" s="2"/>
    </row>
    <row r="401" spans="1:20" x14ac:dyDescent="0.3">
      <c r="A401" s="2" t="s">
        <v>508</v>
      </c>
      <c r="B401" s="2" t="s">
        <v>21</v>
      </c>
      <c r="C401" s="2" t="s">
        <v>22</v>
      </c>
      <c r="D401" s="2" t="s">
        <v>23</v>
      </c>
      <c r="E401" s="2" t="s">
        <v>470</v>
      </c>
      <c r="F401" s="2" t="s">
        <v>25</v>
      </c>
      <c r="G401" s="2" t="s">
        <v>25</v>
      </c>
      <c r="H401" s="2" t="s">
        <v>26</v>
      </c>
      <c r="I401" s="2" t="s">
        <v>282</v>
      </c>
      <c r="J401" s="2" t="s">
        <v>281</v>
      </c>
      <c r="K401" s="2" t="s">
        <v>38</v>
      </c>
      <c r="L401" s="2" t="s">
        <v>29</v>
      </c>
      <c r="M401" s="2"/>
      <c r="N401" s="2" t="s">
        <v>282</v>
      </c>
      <c r="O401" s="2" t="s">
        <v>476</v>
      </c>
      <c r="P401" s="3">
        <v>187</v>
      </c>
      <c r="Q401" s="3">
        <v>187</v>
      </c>
      <c r="R401" s="4">
        <f t="shared" si="6"/>
        <v>374</v>
      </c>
      <c r="S401" s="2" t="s">
        <v>31</v>
      </c>
      <c r="T401" s="2"/>
    </row>
    <row r="402" spans="1:20" x14ac:dyDescent="0.3">
      <c r="A402" s="2" t="s">
        <v>508</v>
      </c>
      <c r="B402" s="2" t="s">
        <v>21</v>
      </c>
      <c r="C402" s="2" t="s">
        <v>22</v>
      </c>
      <c r="D402" s="2" t="s">
        <v>23</v>
      </c>
      <c r="E402" s="2" t="s">
        <v>470</v>
      </c>
      <c r="F402" s="2" t="s">
        <v>25</v>
      </c>
      <c r="G402" s="2" t="s">
        <v>25</v>
      </c>
      <c r="H402" s="2" t="s">
        <v>26</v>
      </c>
      <c r="I402" s="2" t="s">
        <v>373</v>
      </c>
      <c r="J402" s="2" t="s">
        <v>236</v>
      </c>
      <c r="K402" s="2" t="s">
        <v>133</v>
      </c>
      <c r="L402" s="2" t="s">
        <v>29</v>
      </c>
      <c r="M402" s="2"/>
      <c r="N402" s="2" t="s">
        <v>373</v>
      </c>
      <c r="O402" s="2" t="s">
        <v>477</v>
      </c>
      <c r="P402" s="3">
        <v>719</v>
      </c>
      <c r="Q402" s="3">
        <v>719</v>
      </c>
      <c r="R402" s="4">
        <f t="shared" si="6"/>
        <v>1438</v>
      </c>
      <c r="S402" s="2" t="s">
        <v>31</v>
      </c>
      <c r="T402" s="2"/>
    </row>
    <row r="403" spans="1:20" x14ac:dyDescent="0.3">
      <c r="A403" s="2" t="s">
        <v>508</v>
      </c>
      <c r="B403" s="2" t="s">
        <v>21</v>
      </c>
      <c r="C403" s="2" t="s">
        <v>22</v>
      </c>
      <c r="D403" s="2" t="s">
        <v>23</v>
      </c>
      <c r="E403" s="2" t="s">
        <v>470</v>
      </c>
      <c r="F403" s="2" t="s">
        <v>25</v>
      </c>
      <c r="G403" s="2" t="s">
        <v>25</v>
      </c>
      <c r="H403" s="2" t="s">
        <v>26</v>
      </c>
      <c r="I403" s="2" t="s">
        <v>292</v>
      </c>
      <c r="J403" s="2" t="s">
        <v>37</v>
      </c>
      <c r="K403" s="2" t="s">
        <v>38</v>
      </c>
      <c r="L403" s="2" t="s">
        <v>29</v>
      </c>
      <c r="M403" s="2"/>
      <c r="N403" s="2" t="s">
        <v>292</v>
      </c>
      <c r="O403" s="2" t="s">
        <v>478</v>
      </c>
      <c r="P403" s="3">
        <v>84</v>
      </c>
      <c r="Q403" s="3">
        <v>84</v>
      </c>
      <c r="R403" s="4">
        <f t="shared" si="6"/>
        <v>168</v>
      </c>
      <c r="S403" s="2" t="s">
        <v>31</v>
      </c>
      <c r="T403" s="2"/>
    </row>
    <row r="404" spans="1:20" x14ac:dyDescent="0.3">
      <c r="A404" s="2" t="s">
        <v>508</v>
      </c>
      <c r="B404" s="2" t="s">
        <v>21</v>
      </c>
      <c r="C404" s="2" t="s">
        <v>22</v>
      </c>
      <c r="D404" s="2" t="s">
        <v>23</v>
      </c>
      <c r="E404" s="2" t="s">
        <v>470</v>
      </c>
      <c r="F404" s="2" t="s">
        <v>25</v>
      </c>
      <c r="G404" s="2" t="s">
        <v>25</v>
      </c>
      <c r="H404" s="2" t="s">
        <v>26</v>
      </c>
      <c r="I404" s="2" t="s">
        <v>479</v>
      </c>
      <c r="J404" s="2" t="s">
        <v>37</v>
      </c>
      <c r="K404" s="2" t="s">
        <v>38</v>
      </c>
      <c r="L404" s="2" t="s">
        <v>29</v>
      </c>
      <c r="M404" s="2"/>
      <c r="N404" s="2" t="s">
        <v>479</v>
      </c>
      <c r="O404" s="2" t="s">
        <v>480</v>
      </c>
      <c r="P404" s="3">
        <v>201</v>
      </c>
      <c r="Q404" s="3">
        <v>201</v>
      </c>
      <c r="R404" s="4">
        <f t="shared" si="6"/>
        <v>402</v>
      </c>
      <c r="S404" s="2" t="s">
        <v>31</v>
      </c>
      <c r="T404" s="2"/>
    </row>
    <row r="405" spans="1:20" x14ac:dyDescent="0.3">
      <c r="A405" s="2" t="s">
        <v>508</v>
      </c>
      <c r="B405" s="2" t="s">
        <v>21</v>
      </c>
      <c r="C405" s="2" t="s">
        <v>22</v>
      </c>
      <c r="D405" s="2" t="s">
        <v>23</v>
      </c>
      <c r="E405" s="2" t="s">
        <v>470</v>
      </c>
      <c r="F405" s="2" t="s">
        <v>25</v>
      </c>
      <c r="G405" s="2" t="s">
        <v>25</v>
      </c>
      <c r="H405" s="2" t="s">
        <v>26</v>
      </c>
      <c r="I405" s="2" t="s">
        <v>481</v>
      </c>
      <c r="J405" s="2" t="s">
        <v>37</v>
      </c>
      <c r="K405" s="2" t="s">
        <v>38</v>
      </c>
      <c r="L405" s="2" t="s">
        <v>29</v>
      </c>
      <c r="M405" s="2"/>
      <c r="N405" s="2" t="s">
        <v>481</v>
      </c>
      <c r="O405" s="2" t="s">
        <v>482</v>
      </c>
      <c r="P405" s="3">
        <v>116</v>
      </c>
      <c r="Q405" s="3">
        <v>116</v>
      </c>
      <c r="R405" s="4">
        <f t="shared" si="6"/>
        <v>232</v>
      </c>
      <c r="S405" s="2" t="s">
        <v>31</v>
      </c>
      <c r="T405" s="2"/>
    </row>
    <row r="406" spans="1:20" x14ac:dyDescent="0.3">
      <c r="A406" s="2" t="s">
        <v>508</v>
      </c>
      <c r="B406" s="2" t="s">
        <v>21</v>
      </c>
      <c r="C406" s="2" t="s">
        <v>22</v>
      </c>
      <c r="D406" s="2" t="s">
        <v>23</v>
      </c>
      <c r="E406" s="2" t="s">
        <v>470</v>
      </c>
      <c r="F406" s="2" t="s">
        <v>25</v>
      </c>
      <c r="G406" s="2" t="s">
        <v>25</v>
      </c>
      <c r="H406" s="2" t="s">
        <v>26</v>
      </c>
      <c r="I406" s="2" t="s">
        <v>192</v>
      </c>
      <c r="J406" s="2" t="s">
        <v>37</v>
      </c>
      <c r="K406" s="2" t="s">
        <v>38</v>
      </c>
      <c r="L406" s="2" t="s">
        <v>29</v>
      </c>
      <c r="M406" s="2"/>
      <c r="N406" s="2" t="s">
        <v>192</v>
      </c>
      <c r="O406" s="2" t="s">
        <v>483</v>
      </c>
      <c r="P406" s="3">
        <v>138</v>
      </c>
      <c r="Q406" s="3">
        <v>138</v>
      </c>
      <c r="R406" s="4">
        <f t="shared" si="6"/>
        <v>276</v>
      </c>
      <c r="S406" s="2" t="s">
        <v>31</v>
      </c>
      <c r="T406" s="2"/>
    </row>
    <row r="407" spans="1:20" x14ac:dyDescent="0.3">
      <c r="A407" s="2" t="s">
        <v>508</v>
      </c>
      <c r="B407" s="2" t="s">
        <v>21</v>
      </c>
      <c r="C407" s="2" t="s">
        <v>22</v>
      </c>
      <c r="D407" s="2" t="s">
        <v>23</v>
      </c>
      <c r="E407" s="2" t="s">
        <v>470</v>
      </c>
      <c r="F407" s="2" t="s">
        <v>25</v>
      </c>
      <c r="G407" s="2" t="s">
        <v>25</v>
      </c>
      <c r="H407" s="2" t="s">
        <v>26</v>
      </c>
      <c r="I407" s="2" t="s">
        <v>204</v>
      </c>
      <c r="J407" s="2" t="s">
        <v>37</v>
      </c>
      <c r="K407" s="2" t="s">
        <v>38</v>
      </c>
      <c r="L407" s="2" t="s">
        <v>29</v>
      </c>
      <c r="M407" s="2"/>
      <c r="N407" s="2" t="s">
        <v>204</v>
      </c>
      <c r="O407" s="2" t="s">
        <v>484</v>
      </c>
      <c r="P407" s="3">
        <v>87</v>
      </c>
      <c r="Q407" s="3">
        <v>87</v>
      </c>
      <c r="R407" s="4">
        <f t="shared" si="6"/>
        <v>174</v>
      </c>
      <c r="S407" s="2" t="s">
        <v>31</v>
      </c>
      <c r="T407" s="2"/>
    </row>
    <row r="408" spans="1:20" x14ac:dyDescent="0.3">
      <c r="A408" s="2" t="s">
        <v>508</v>
      </c>
      <c r="B408" s="2" t="s">
        <v>21</v>
      </c>
      <c r="C408" s="2" t="s">
        <v>22</v>
      </c>
      <c r="D408" s="2" t="s">
        <v>23</v>
      </c>
      <c r="E408" s="2" t="s">
        <v>470</v>
      </c>
      <c r="F408" s="2" t="s">
        <v>25</v>
      </c>
      <c r="G408" s="2" t="s">
        <v>25</v>
      </c>
      <c r="H408" s="2" t="s">
        <v>26</v>
      </c>
      <c r="I408" s="2" t="s">
        <v>229</v>
      </c>
      <c r="J408" s="2" t="s">
        <v>230</v>
      </c>
      <c r="K408" s="2" t="s">
        <v>45</v>
      </c>
      <c r="L408" s="2" t="s">
        <v>29</v>
      </c>
      <c r="M408" s="2"/>
      <c r="N408" s="2" t="s">
        <v>229</v>
      </c>
      <c r="O408" s="2" t="s">
        <v>485</v>
      </c>
      <c r="P408" s="3">
        <v>185</v>
      </c>
      <c r="Q408" s="3">
        <v>185</v>
      </c>
      <c r="R408" s="4">
        <f t="shared" si="6"/>
        <v>370</v>
      </c>
      <c r="S408" s="2" t="s">
        <v>31</v>
      </c>
      <c r="T408" s="2"/>
    </row>
    <row r="409" spans="1:20" x14ac:dyDescent="0.3">
      <c r="A409" s="2" t="s">
        <v>508</v>
      </c>
      <c r="B409" s="2" t="s">
        <v>21</v>
      </c>
      <c r="C409" s="2" t="s">
        <v>22</v>
      </c>
      <c r="D409" s="2" t="s">
        <v>23</v>
      </c>
      <c r="E409" s="2" t="s">
        <v>470</v>
      </c>
      <c r="F409" s="2" t="s">
        <v>25</v>
      </c>
      <c r="G409" s="2" t="s">
        <v>25</v>
      </c>
      <c r="H409" s="2" t="s">
        <v>26</v>
      </c>
      <c r="I409" s="2" t="s">
        <v>139</v>
      </c>
      <c r="J409" s="2" t="s">
        <v>140</v>
      </c>
      <c r="K409" s="2" t="s">
        <v>133</v>
      </c>
      <c r="L409" s="2" t="s">
        <v>29</v>
      </c>
      <c r="M409" s="2"/>
      <c r="N409" s="2" t="s">
        <v>139</v>
      </c>
      <c r="O409" s="2" t="s">
        <v>141</v>
      </c>
      <c r="P409" s="3">
        <v>357</v>
      </c>
      <c r="Q409" s="3">
        <v>357</v>
      </c>
      <c r="R409" s="4">
        <f t="shared" si="6"/>
        <v>714</v>
      </c>
      <c r="S409" s="2" t="s">
        <v>31</v>
      </c>
      <c r="T409" s="2"/>
    </row>
    <row r="410" spans="1:20" x14ac:dyDescent="0.3">
      <c r="A410" s="2" t="s">
        <v>508</v>
      </c>
      <c r="B410" s="2" t="s">
        <v>21</v>
      </c>
      <c r="C410" s="2" t="s">
        <v>22</v>
      </c>
      <c r="D410" s="2" t="s">
        <v>23</v>
      </c>
      <c r="E410" s="2" t="s">
        <v>470</v>
      </c>
      <c r="F410" s="2" t="s">
        <v>25</v>
      </c>
      <c r="G410" s="2" t="s">
        <v>25</v>
      </c>
      <c r="H410" s="2" t="s">
        <v>26</v>
      </c>
      <c r="I410" s="2" t="s">
        <v>371</v>
      </c>
      <c r="J410" s="2" t="s">
        <v>143</v>
      </c>
      <c r="K410" s="2" t="s">
        <v>137</v>
      </c>
      <c r="L410" s="2" t="s">
        <v>29</v>
      </c>
      <c r="M410" s="2"/>
      <c r="N410" s="2" t="s">
        <v>371</v>
      </c>
      <c r="O410" s="2" t="s">
        <v>486</v>
      </c>
      <c r="P410" s="3">
        <v>482</v>
      </c>
      <c r="Q410" s="3">
        <v>482</v>
      </c>
      <c r="R410" s="4">
        <f t="shared" si="6"/>
        <v>964</v>
      </c>
      <c r="S410" s="2" t="s">
        <v>31</v>
      </c>
      <c r="T410" s="2"/>
    </row>
    <row r="411" spans="1:20" x14ac:dyDescent="0.3">
      <c r="A411" s="2" t="s">
        <v>508</v>
      </c>
      <c r="B411" s="2" t="s">
        <v>21</v>
      </c>
      <c r="C411" s="2" t="s">
        <v>22</v>
      </c>
      <c r="D411" s="2" t="s">
        <v>23</v>
      </c>
      <c r="E411" s="2" t="s">
        <v>470</v>
      </c>
      <c r="F411" s="2" t="s">
        <v>25</v>
      </c>
      <c r="G411" s="2" t="s">
        <v>25</v>
      </c>
      <c r="H411" s="2" t="s">
        <v>26</v>
      </c>
      <c r="I411" s="2" t="s">
        <v>235</v>
      </c>
      <c r="J411" s="2" t="s">
        <v>236</v>
      </c>
      <c r="K411" s="2" t="s">
        <v>133</v>
      </c>
      <c r="L411" s="2" t="s">
        <v>29</v>
      </c>
      <c r="M411" s="2"/>
      <c r="N411" s="2" t="s">
        <v>235</v>
      </c>
      <c r="O411" s="2" t="s">
        <v>487</v>
      </c>
      <c r="P411" s="3">
        <v>710</v>
      </c>
      <c r="Q411" s="3">
        <v>710</v>
      </c>
      <c r="R411" s="4">
        <f t="shared" si="6"/>
        <v>1420</v>
      </c>
      <c r="S411" s="2" t="s">
        <v>31</v>
      </c>
      <c r="T411" s="2"/>
    </row>
    <row r="412" spans="1:20" x14ac:dyDescent="0.3">
      <c r="A412" s="2" t="s">
        <v>508</v>
      </c>
      <c r="B412" s="2" t="s">
        <v>21</v>
      </c>
      <c r="C412" s="2" t="s">
        <v>22</v>
      </c>
      <c r="D412" s="2" t="s">
        <v>23</v>
      </c>
      <c r="E412" s="2" t="s">
        <v>470</v>
      </c>
      <c r="F412" s="2" t="s">
        <v>25</v>
      </c>
      <c r="G412" s="2" t="s">
        <v>25</v>
      </c>
      <c r="H412" s="2" t="s">
        <v>26</v>
      </c>
      <c r="I412" s="2" t="s">
        <v>358</v>
      </c>
      <c r="J412" s="2" t="s">
        <v>358</v>
      </c>
      <c r="K412" s="2" t="s">
        <v>137</v>
      </c>
      <c r="L412" s="2" t="s">
        <v>29</v>
      </c>
      <c r="M412" s="2"/>
      <c r="N412" s="2" t="s">
        <v>358</v>
      </c>
      <c r="O412" s="2" t="s">
        <v>488</v>
      </c>
      <c r="P412" s="3">
        <v>544</v>
      </c>
      <c r="Q412" s="3">
        <v>544</v>
      </c>
      <c r="R412" s="4">
        <f t="shared" si="6"/>
        <v>1088</v>
      </c>
      <c r="S412" s="2" t="s">
        <v>31</v>
      </c>
      <c r="T412" s="2"/>
    </row>
    <row r="413" spans="1:20" x14ac:dyDescent="0.3">
      <c r="A413" s="2" t="s">
        <v>508</v>
      </c>
      <c r="B413" s="2" t="s">
        <v>21</v>
      </c>
      <c r="C413" s="2" t="s">
        <v>22</v>
      </c>
      <c r="D413" s="2" t="s">
        <v>23</v>
      </c>
      <c r="E413" s="2" t="s">
        <v>470</v>
      </c>
      <c r="F413" s="2" t="s">
        <v>25</v>
      </c>
      <c r="G413" s="2" t="s">
        <v>25</v>
      </c>
      <c r="H413" s="2" t="s">
        <v>26</v>
      </c>
      <c r="I413" s="2" t="s">
        <v>108</v>
      </c>
      <c r="J413" s="2" t="s">
        <v>82</v>
      </c>
      <c r="K413" s="2" t="s">
        <v>45</v>
      </c>
      <c r="L413" s="2" t="s">
        <v>29</v>
      </c>
      <c r="M413" s="2"/>
      <c r="N413" s="2" t="s">
        <v>108</v>
      </c>
      <c r="O413" s="2" t="s">
        <v>109</v>
      </c>
      <c r="P413" s="3">
        <v>788</v>
      </c>
      <c r="Q413" s="3">
        <v>788</v>
      </c>
      <c r="R413" s="4">
        <f t="shared" si="6"/>
        <v>1576</v>
      </c>
      <c r="S413" s="2" t="s">
        <v>31</v>
      </c>
      <c r="T413" s="2"/>
    </row>
    <row r="414" spans="1:20" x14ac:dyDescent="0.3">
      <c r="A414" s="2" t="s">
        <v>508</v>
      </c>
      <c r="B414" s="2" t="s">
        <v>21</v>
      </c>
      <c r="C414" s="2" t="s">
        <v>22</v>
      </c>
      <c r="D414" s="2" t="s">
        <v>23</v>
      </c>
      <c r="E414" s="2" t="s">
        <v>470</v>
      </c>
      <c r="F414" s="2" t="s">
        <v>25</v>
      </c>
      <c r="G414" s="2" t="s">
        <v>25</v>
      </c>
      <c r="H414" s="2" t="s">
        <v>26</v>
      </c>
      <c r="I414" s="2" t="s">
        <v>489</v>
      </c>
      <c r="J414" s="2" t="s">
        <v>26</v>
      </c>
      <c r="K414" s="2" t="s">
        <v>38</v>
      </c>
      <c r="L414" s="2" t="s">
        <v>127</v>
      </c>
      <c r="M414" s="2" t="s">
        <v>128</v>
      </c>
      <c r="N414" s="2" t="s">
        <v>490</v>
      </c>
      <c r="O414" s="2" t="s">
        <v>491</v>
      </c>
      <c r="P414" s="3">
        <v>12</v>
      </c>
      <c r="Q414" s="3">
        <v>12</v>
      </c>
      <c r="R414" s="4">
        <f t="shared" si="6"/>
        <v>24</v>
      </c>
      <c r="S414" s="2" t="s">
        <v>31</v>
      </c>
      <c r="T414" s="2"/>
    </row>
    <row r="415" spans="1:20" x14ac:dyDescent="0.3">
      <c r="A415" s="2" t="s">
        <v>508</v>
      </c>
      <c r="B415" s="2" t="s">
        <v>21</v>
      </c>
      <c r="C415" s="2" t="s">
        <v>22</v>
      </c>
      <c r="D415" s="2" t="s">
        <v>23</v>
      </c>
      <c r="E415" s="2" t="s">
        <v>470</v>
      </c>
      <c r="F415" s="2" t="s">
        <v>25</v>
      </c>
      <c r="G415" s="2" t="s">
        <v>25</v>
      </c>
      <c r="H415" s="2" t="s">
        <v>26</v>
      </c>
      <c r="I415" s="2" t="s">
        <v>492</v>
      </c>
      <c r="J415" s="2" t="s">
        <v>26</v>
      </c>
      <c r="K415" s="2" t="s">
        <v>38</v>
      </c>
      <c r="L415" s="2" t="s">
        <v>127</v>
      </c>
      <c r="M415" s="2" t="s">
        <v>128</v>
      </c>
      <c r="N415" s="2" t="s">
        <v>25</v>
      </c>
      <c r="O415" s="2" t="s">
        <v>129</v>
      </c>
      <c r="P415" s="3">
        <v>10</v>
      </c>
      <c r="Q415" s="3">
        <v>10</v>
      </c>
      <c r="R415" s="4">
        <f t="shared" si="6"/>
        <v>20</v>
      </c>
      <c r="S415" s="2" t="s">
        <v>31</v>
      </c>
      <c r="T415" s="2" t="s">
        <v>130</v>
      </c>
    </row>
    <row r="416" spans="1:20" x14ac:dyDescent="0.3">
      <c r="A416" s="2" t="s">
        <v>508</v>
      </c>
      <c r="B416" s="2" t="s">
        <v>21</v>
      </c>
      <c r="C416" s="2" t="s">
        <v>22</v>
      </c>
      <c r="D416" s="2" t="s">
        <v>23</v>
      </c>
      <c r="E416" s="2" t="s">
        <v>470</v>
      </c>
      <c r="F416" s="2" t="s">
        <v>25</v>
      </c>
      <c r="G416" s="2" t="s">
        <v>25</v>
      </c>
      <c r="H416" s="2" t="s">
        <v>26</v>
      </c>
      <c r="I416" s="2" t="s">
        <v>493</v>
      </c>
      <c r="J416" s="2" t="s">
        <v>26</v>
      </c>
      <c r="K416" s="2" t="s">
        <v>38</v>
      </c>
      <c r="L416" s="2" t="s">
        <v>127</v>
      </c>
      <c r="M416" s="2" t="s">
        <v>128</v>
      </c>
      <c r="N416" s="2" t="s">
        <v>493</v>
      </c>
      <c r="O416" s="2" t="s">
        <v>494</v>
      </c>
      <c r="P416" s="3">
        <v>119</v>
      </c>
      <c r="Q416" s="3">
        <v>119</v>
      </c>
      <c r="R416" s="4">
        <f t="shared" si="6"/>
        <v>238</v>
      </c>
      <c r="S416" s="2" t="s">
        <v>31</v>
      </c>
      <c r="T416" s="2"/>
    </row>
    <row r="417" spans="1:20" x14ac:dyDescent="0.3">
      <c r="A417" s="2" t="s">
        <v>508</v>
      </c>
      <c r="B417" s="2" t="s">
        <v>21</v>
      </c>
      <c r="C417" s="2" t="s">
        <v>22</v>
      </c>
      <c r="D417" s="2" t="s">
        <v>23</v>
      </c>
      <c r="E417" s="2" t="s">
        <v>470</v>
      </c>
      <c r="F417" s="2" t="s">
        <v>25</v>
      </c>
      <c r="G417" s="2" t="s">
        <v>25</v>
      </c>
      <c r="H417" s="2" t="s">
        <v>26</v>
      </c>
      <c r="I417" s="2" t="s">
        <v>76</v>
      </c>
      <c r="J417" s="2" t="s">
        <v>77</v>
      </c>
      <c r="K417" s="2" t="s">
        <v>45</v>
      </c>
      <c r="L417" s="2" t="s">
        <v>29</v>
      </c>
      <c r="M417" s="2"/>
      <c r="N417" s="2" t="s">
        <v>76</v>
      </c>
      <c r="O417" s="2" t="s">
        <v>78</v>
      </c>
      <c r="P417" s="3">
        <v>858</v>
      </c>
      <c r="Q417" s="3">
        <v>858</v>
      </c>
      <c r="R417" s="4">
        <f t="shared" si="6"/>
        <v>1716</v>
      </c>
      <c r="S417" s="2" t="s">
        <v>31</v>
      </c>
      <c r="T417" s="2"/>
    </row>
    <row r="418" spans="1:20" x14ac:dyDescent="0.3">
      <c r="A418" s="2" t="s">
        <v>508</v>
      </c>
      <c r="B418" s="2" t="s">
        <v>21</v>
      </c>
      <c r="C418" s="2" t="s">
        <v>22</v>
      </c>
      <c r="D418" s="2" t="s">
        <v>23</v>
      </c>
      <c r="E418" s="2" t="s">
        <v>470</v>
      </c>
      <c r="F418" s="2" t="s">
        <v>25</v>
      </c>
      <c r="G418" s="2" t="s">
        <v>25</v>
      </c>
      <c r="H418" s="2" t="s">
        <v>26</v>
      </c>
      <c r="I418" s="2" t="s">
        <v>65</v>
      </c>
      <c r="J418" s="2" t="s">
        <v>65</v>
      </c>
      <c r="K418" s="2" t="s">
        <v>28</v>
      </c>
      <c r="L418" s="2" t="s">
        <v>29</v>
      </c>
      <c r="M418" s="2"/>
      <c r="N418" s="2" t="s">
        <v>65</v>
      </c>
      <c r="O418" s="2" t="s">
        <v>75</v>
      </c>
      <c r="P418" s="3">
        <v>635</v>
      </c>
      <c r="Q418" s="3">
        <v>635</v>
      </c>
      <c r="R418" s="4">
        <f t="shared" si="6"/>
        <v>1270</v>
      </c>
      <c r="S418" s="2" t="s">
        <v>31</v>
      </c>
      <c r="T418" s="2"/>
    </row>
    <row r="419" spans="1:20" x14ac:dyDescent="0.3">
      <c r="A419" s="2" t="s">
        <v>508</v>
      </c>
      <c r="B419" s="2" t="s">
        <v>21</v>
      </c>
      <c r="C419" s="2" t="s">
        <v>22</v>
      </c>
      <c r="D419" s="2" t="s">
        <v>23</v>
      </c>
      <c r="E419" s="2" t="s">
        <v>470</v>
      </c>
      <c r="F419" s="2" t="s">
        <v>25</v>
      </c>
      <c r="G419" s="2" t="s">
        <v>25</v>
      </c>
      <c r="H419" s="2" t="s">
        <v>26</v>
      </c>
      <c r="I419" s="2" t="s">
        <v>495</v>
      </c>
      <c r="J419" s="2" t="s">
        <v>152</v>
      </c>
      <c r="K419" s="2" t="s">
        <v>38</v>
      </c>
      <c r="L419" s="2" t="s">
        <v>29</v>
      </c>
      <c r="M419" s="2" t="s">
        <v>188</v>
      </c>
      <c r="N419" s="2" t="s">
        <v>200</v>
      </c>
      <c r="O419" s="2" t="s">
        <v>496</v>
      </c>
      <c r="P419" s="3">
        <v>138</v>
      </c>
      <c r="Q419" s="3">
        <v>138</v>
      </c>
      <c r="R419" s="4">
        <f t="shared" si="6"/>
        <v>276</v>
      </c>
      <c r="S419" s="2" t="s">
        <v>31</v>
      </c>
      <c r="T419" s="2"/>
    </row>
    <row r="420" spans="1:20" x14ac:dyDescent="0.3">
      <c r="A420" s="2" t="s">
        <v>508</v>
      </c>
      <c r="B420" s="2" t="s">
        <v>21</v>
      </c>
      <c r="C420" s="2" t="s">
        <v>22</v>
      </c>
      <c r="D420" s="2" t="s">
        <v>23</v>
      </c>
      <c r="E420" s="2" t="s">
        <v>470</v>
      </c>
      <c r="F420" s="2" t="s">
        <v>25</v>
      </c>
      <c r="G420" s="2" t="s">
        <v>25</v>
      </c>
      <c r="H420" s="2" t="s">
        <v>26</v>
      </c>
      <c r="I420" s="2" t="s">
        <v>497</v>
      </c>
      <c r="J420" s="2" t="s">
        <v>152</v>
      </c>
      <c r="K420" s="2" t="s">
        <v>38</v>
      </c>
      <c r="L420" s="2" t="s">
        <v>29</v>
      </c>
      <c r="M420" s="2" t="s">
        <v>225</v>
      </c>
      <c r="N420" s="2" t="s">
        <v>497</v>
      </c>
      <c r="O420" s="2" t="s">
        <v>498</v>
      </c>
      <c r="P420" s="3">
        <v>153</v>
      </c>
      <c r="Q420" s="3">
        <v>153</v>
      </c>
      <c r="R420" s="4">
        <f t="shared" si="6"/>
        <v>306</v>
      </c>
      <c r="S420" s="2" t="s">
        <v>31</v>
      </c>
      <c r="T420" s="2"/>
    </row>
    <row r="421" spans="1:20" x14ac:dyDescent="0.3">
      <c r="A421" s="2" t="s">
        <v>508</v>
      </c>
      <c r="B421" s="2" t="s">
        <v>21</v>
      </c>
      <c r="C421" s="2" t="s">
        <v>22</v>
      </c>
      <c r="D421" s="2" t="s">
        <v>23</v>
      </c>
      <c r="E421" s="2" t="s">
        <v>470</v>
      </c>
      <c r="F421" s="2" t="s">
        <v>25</v>
      </c>
      <c r="G421" s="2" t="s">
        <v>25</v>
      </c>
      <c r="H421" s="2" t="s">
        <v>26</v>
      </c>
      <c r="I421" s="2" t="s">
        <v>224</v>
      </c>
      <c r="J421" s="2" t="s">
        <v>152</v>
      </c>
      <c r="K421" s="2" t="s">
        <v>38</v>
      </c>
      <c r="L421" s="2" t="s">
        <v>29</v>
      </c>
      <c r="M421" s="2" t="s">
        <v>225</v>
      </c>
      <c r="N421" s="2" t="s">
        <v>224</v>
      </c>
      <c r="O421" s="2" t="s">
        <v>499</v>
      </c>
      <c r="P421" s="3">
        <v>149</v>
      </c>
      <c r="Q421" s="3">
        <v>149</v>
      </c>
      <c r="R421" s="4">
        <f t="shared" si="6"/>
        <v>298</v>
      </c>
      <c r="S421" s="2" t="s">
        <v>31</v>
      </c>
      <c r="T421" s="2"/>
    </row>
    <row r="422" spans="1:20" x14ac:dyDescent="0.3">
      <c r="A422" s="2" t="s">
        <v>508</v>
      </c>
      <c r="B422" s="2" t="s">
        <v>21</v>
      </c>
      <c r="C422" s="2" t="s">
        <v>22</v>
      </c>
      <c r="D422" s="2" t="s">
        <v>23</v>
      </c>
      <c r="E422" s="2" t="s">
        <v>470</v>
      </c>
      <c r="F422" s="2" t="s">
        <v>25</v>
      </c>
      <c r="G422" s="2" t="s">
        <v>25</v>
      </c>
      <c r="H422" s="2" t="s">
        <v>26</v>
      </c>
      <c r="I422" s="2" t="s">
        <v>62</v>
      </c>
      <c r="J422" s="2" t="s">
        <v>48</v>
      </c>
      <c r="K422" s="2" t="s">
        <v>45</v>
      </c>
      <c r="L422" s="2" t="s">
        <v>29</v>
      </c>
      <c r="M422" s="2"/>
      <c r="N422" s="2" t="s">
        <v>62</v>
      </c>
      <c r="O422" s="2" t="s">
        <v>63</v>
      </c>
      <c r="P422" s="3">
        <v>535</v>
      </c>
      <c r="Q422" s="3">
        <v>535</v>
      </c>
      <c r="R422" s="4">
        <f t="shared" si="6"/>
        <v>1070</v>
      </c>
      <c r="S422" s="2" t="s">
        <v>31</v>
      </c>
      <c r="T422" s="2"/>
    </row>
    <row r="423" spans="1:20" x14ac:dyDescent="0.3">
      <c r="A423" s="2" t="s">
        <v>508</v>
      </c>
      <c r="B423" s="2" t="s">
        <v>21</v>
      </c>
      <c r="C423" s="2" t="s">
        <v>22</v>
      </c>
      <c r="D423" s="2" t="s">
        <v>23</v>
      </c>
      <c r="E423" s="2" t="s">
        <v>470</v>
      </c>
      <c r="F423" s="2" t="s">
        <v>25</v>
      </c>
      <c r="G423" s="2" t="s">
        <v>25</v>
      </c>
      <c r="H423" s="2" t="s">
        <v>26</v>
      </c>
      <c r="I423" s="2" t="s">
        <v>142</v>
      </c>
      <c r="J423" s="2" t="s">
        <v>143</v>
      </c>
      <c r="K423" s="2" t="s">
        <v>137</v>
      </c>
      <c r="L423" s="2" t="s">
        <v>29</v>
      </c>
      <c r="M423" s="2"/>
      <c r="N423" s="2" t="s">
        <v>142</v>
      </c>
      <c r="O423" s="2" t="s">
        <v>144</v>
      </c>
      <c r="P423" s="3">
        <v>442</v>
      </c>
      <c r="Q423" s="3">
        <v>442</v>
      </c>
      <c r="R423" s="4">
        <f t="shared" si="6"/>
        <v>884</v>
      </c>
      <c r="S423" s="2" t="s">
        <v>31</v>
      </c>
      <c r="T423" s="2"/>
    </row>
    <row r="424" spans="1:20" x14ac:dyDescent="0.3">
      <c r="A424" s="2" t="s">
        <v>508</v>
      </c>
      <c r="B424" s="2" t="s">
        <v>21</v>
      </c>
      <c r="C424" s="2" t="s">
        <v>22</v>
      </c>
      <c r="D424" s="2" t="s">
        <v>23</v>
      </c>
      <c r="E424" s="2" t="s">
        <v>470</v>
      </c>
      <c r="F424" s="2" t="s">
        <v>25</v>
      </c>
      <c r="G424" s="2" t="s">
        <v>25</v>
      </c>
      <c r="H424" s="2" t="s">
        <v>26</v>
      </c>
      <c r="I424" s="2" t="s">
        <v>344</v>
      </c>
      <c r="J424" s="2" t="s">
        <v>140</v>
      </c>
      <c r="K424" s="2" t="s">
        <v>133</v>
      </c>
      <c r="L424" s="2" t="s">
        <v>29</v>
      </c>
      <c r="M424" s="2"/>
      <c r="N424" s="2" t="s">
        <v>344</v>
      </c>
      <c r="O424" s="2" t="s">
        <v>500</v>
      </c>
      <c r="P424" s="3">
        <v>434</v>
      </c>
      <c r="Q424" s="3">
        <v>434</v>
      </c>
      <c r="R424" s="4">
        <f t="shared" si="6"/>
        <v>868</v>
      </c>
      <c r="S424" s="2" t="s">
        <v>31</v>
      </c>
      <c r="T424" s="2"/>
    </row>
    <row r="425" spans="1:20" x14ac:dyDescent="0.3">
      <c r="A425" s="2" t="s">
        <v>508</v>
      </c>
      <c r="B425" s="2" t="s">
        <v>21</v>
      </c>
      <c r="C425" s="2" t="s">
        <v>22</v>
      </c>
      <c r="D425" s="2" t="s">
        <v>23</v>
      </c>
      <c r="E425" s="2" t="s">
        <v>470</v>
      </c>
      <c r="F425" s="2" t="s">
        <v>25</v>
      </c>
      <c r="G425" s="2" t="s">
        <v>25</v>
      </c>
      <c r="H425" s="2" t="s">
        <v>26</v>
      </c>
      <c r="I425" s="2" t="s">
        <v>501</v>
      </c>
      <c r="J425" s="2" t="s">
        <v>281</v>
      </c>
      <c r="K425" s="2" t="s">
        <v>38</v>
      </c>
      <c r="L425" s="2" t="s">
        <v>29</v>
      </c>
      <c r="M425" s="2"/>
      <c r="N425" s="2" t="s">
        <v>501</v>
      </c>
      <c r="O425" s="2" t="s">
        <v>502</v>
      </c>
      <c r="P425" s="3">
        <v>141</v>
      </c>
      <c r="Q425" s="3">
        <v>141</v>
      </c>
      <c r="R425" s="4">
        <f t="shared" si="6"/>
        <v>282</v>
      </c>
      <c r="S425" s="2" t="s">
        <v>31</v>
      </c>
      <c r="T425" s="2"/>
    </row>
    <row r="426" spans="1:20" x14ac:dyDescent="0.3">
      <c r="A426" s="2" t="s">
        <v>508</v>
      </c>
      <c r="B426" s="2" t="s">
        <v>21</v>
      </c>
      <c r="C426" s="2" t="s">
        <v>22</v>
      </c>
      <c r="D426" s="2" t="s">
        <v>23</v>
      </c>
      <c r="E426" s="2" t="s">
        <v>470</v>
      </c>
      <c r="F426" s="2" t="s">
        <v>25</v>
      </c>
      <c r="G426" s="2" t="s">
        <v>25</v>
      </c>
      <c r="H426" s="2" t="s">
        <v>26</v>
      </c>
      <c r="I426" s="2" t="s">
        <v>503</v>
      </c>
      <c r="J426" s="2" t="s">
        <v>136</v>
      </c>
      <c r="K426" s="2" t="s">
        <v>137</v>
      </c>
      <c r="L426" s="2" t="s">
        <v>29</v>
      </c>
      <c r="M426" s="2"/>
      <c r="N426" s="2" t="s">
        <v>503</v>
      </c>
      <c r="O426" s="2" t="s">
        <v>504</v>
      </c>
      <c r="P426" s="3">
        <v>566</v>
      </c>
      <c r="Q426" s="3">
        <v>566</v>
      </c>
      <c r="R426" s="4">
        <f t="shared" si="6"/>
        <v>1132</v>
      </c>
      <c r="S426" s="2" t="s">
        <v>31</v>
      </c>
      <c r="T426" s="2"/>
    </row>
    <row r="427" spans="1:20" x14ac:dyDescent="0.3">
      <c r="A427" s="2" t="s">
        <v>508</v>
      </c>
      <c r="B427" s="2" t="s">
        <v>21</v>
      </c>
      <c r="C427" s="2" t="s">
        <v>22</v>
      </c>
      <c r="D427" s="2" t="s">
        <v>23</v>
      </c>
      <c r="E427" s="2" t="s">
        <v>470</v>
      </c>
      <c r="F427" s="2" t="s">
        <v>25</v>
      </c>
      <c r="G427" s="2" t="s">
        <v>25</v>
      </c>
      <c r="H427" s="2" t="s">
        <v>26</v>
      </c>
      <c r="I427" s="2" t="s">
        <v>286</v>
      </c>
      <c r="J427" s="2" t="s">
        <v>285</v>
      </c>
      <c r="K427" s="2" t="s">
        <v>38</v>
      </c>
      <c r="L427" s="2" t="s">
        <v>29</v>
      </c>
      <c r="M427" s="2"/>
      <c r="N427" s="2" t="s">
        <v>286</v>
      </c>
      <c r="O427" s="2" t="s">
        <v>505</v>
      </c>
      <c r="P427" s="3">
        <v>110</v>
      </c>
      <c r="Q427" s="3">
        <v>110</v>
      </c>
      <c r="R427" s="4">
        <f t="shared" si="6"/>
        <v>220</v>
      </c>
      <c r="S427" s="2" t="s">
        <v>31</v>
      </c>
      <c r="T427" s="2"/>
    </row>
    <row r="428" spans="1:20" x14ac:dyDescent="0.3">
      <c r="A428" s="2" t="s">
        <v>509</v>
      </c>
      <c r="B428" s="2" t="s">
        <v>510</v>
      </c>
      <c r="C428" s="2" t="s">
        <v>511</v>
      </c>
      <c r="D428" s="2" t="s">
        <v>512</v>
      </c>
      <c r="E428" s="2" t="s">
        <v>513</v>
      </c>
      <c r="F428" s="2" t="s">
        <v>152</v>
      </c>
      <c r="G428" s="2" t="s">
        <v>159</v>
      </c>
      <c r="H428" s="2" t="s">
        <v>152</v>
      </c>
      <c r="I428" s="2" t="s">
        <v>192</v>
      </c>
      <c r="J428" s="2" t="s">
        <v>37</v>
      </c>
      <c r="K428" s="2" t="s">
        <v>38</v>
      </c>
      <c r="L428" s="2" t="s">
        <v>29</v>
      </c>
      <c r="M428" s="2"/>
      <c r="N428" s="2" t="s">
        <v>192</v>
      </c>
      <c r="O428" s="2" t="s">
        <v>514</v>
      </c>
      <c r="P428" s="3">
        <v>31</v>
      </c>
      <c r="Q428" s="3">
        <v>31</v>
      </c>
      <c r="R428" s="4">
        <f t="shared" si="6"/>
        <v>62</v>
      </c>
      <c r="S428" s="2" t="s">
        <v>31</v>
      </c>
      <c r="T428" s="2"/>
    </row>
    <row r="429" spans="1:20" x14ac:dyDescent="0.3">
      <c r="A429" s="2" t="s">
        <v>509</v>
      </c>
      <c r="B429" s="2" t="s">
        <v>510</v>
      </c>
      <c r="C429" s="2" t="s">
        <v>511</v>
      </c>
      <c r="D429" s="2" t="s">
        <v>512</v>
      </c>
      <c r="E429" s="2" t="s">
        <v>513</v>
      </c>
      <c r="F429" s="2" t="s">
        <v>152</v>
      </c>
      <c r="G429" s="2" t="s">
        <v>159</v>
      </c>
      <c r="H429" s="2" t="s">
        <v>152</v>
      </c>
      <c r="I429" s="2" t="s">
        <v>515</v>
      </c>
      <c r="J429" s="2" t="s">
        <v>152</v>
      </c>
      <c r="K429" s="2" t="s">
        <v>38</v>
      </c>
      <c r="L429" s="2" t="s">
        <v>127</v>
      </c>
      <c r="M429" s="2" t="s">
        <v>188</v>
      </c>
      <c r="N429" s="2" t="s">
        <v>515</v>
      </c>
      <c r="O429" s="2" t="s">
        <v>516</v>
      </c>
      <c r="P429" s="3">
        <v>19</v>
      </c>
      <c r="Q429" s="3">
        <v>19</v>
      </c>
      <c r="R429" s="4">
        <f t="shared" si="6"/>
        <v>38</v>
      </c>
      <c r="S429" s="2" t="s">
        <v>31</v>
      </c>
      <c r="T429" s="2"/>
    </row>
    <row r="430" spans="1:20" x14ac:dyDescent="0.3">
      <c r="A430" s="2" t="s">
        <v>509</v>
      </c>
      <c r="B430" s="2" t="s">
        <v>510</v>
      </c>
      <c r="C430" s="2" t="s">
        <v>511</v>
      </c>
      <c r="D430" s="2" t="s">
        <v>512</v>
      </c>
      <c r="E430" s="2" t="s">
        <v>513</v>
      </c>
      <c r="F430" s="2" t="s">
        <v>152</v>
      </c>
      <c r="G430" s="2" t="s">
        <v>159</v>
      </c>
      <c r="H430" s="2" t="s">
        <v>152</v>
      </c>
      <c r="I430" s="2" t="s">
        <v>517</v>
      </c>
      <c r="J430" s="2" t="s">
        <v>37</v>
      </c>
      <c r="K430" s="2" t="s">
        <v>38</v>
      </c>
      <c r="L430" s="2" t="s">
        <v>29</v>
      </c>
      <c r="M430" s="2" t="s">
        <v>188</v>
      </c>
      <c r="N430" s="2" t="s">
        <v>517</v>
      </c>
      <c r="O430" s="2" t="s">
        <v>518</v>
      </c>
      <c r="P430" s="3">
        <v>24</v>
      </c>
      <c r="Q430" s="3">
        <v>24</v>
      </c>
      <c r="R430" s="4">
        <f t="shared" si="6"/>
        <v>48</v>
      </c>
      <c r="S430" s="2" t="s">
        <v>31</v>
      </c>
      <c r="T430" s="2"/>
    </row>
    <row r="431" spans="1:20" x14ac:dyDescent="0.3">
      <c r="A431" s="2" t="s">
        <v>509</v>
      </c>
      <c r="B431" s="2" t="s">
        <v>510</v>
      </c>
      <c r="C431" s="2" t="s">
        <v>511</v>
      </c>
      <c r="D431" s="2" t="s">
        <v>512</v>
      </c>
      <c r="E431" s="2" t="s">
        <v>513</v>
      </c>
      <c r="F431" s="2" t="s">
        <v>152</v>
      </c>
      <c r="G431" s="2" t="s">
        <v>159</v>
      </c>
      <c r="H431" s="2" t="s">
        <v>152</v>
      </c>
      <c r="I431" s="2" t="s">
        <v>519</v>
      </c>
      <c r="J431" s="2" t="s">
        <v>152</v>
      </c>
      <c r="K431" s="2" t="s">
        <v>38</v>
      </c>
      <c r="L431" s="2" t="s">
        <v>127</v>
      </c>
      <c r="M431" s="2" t="s">
        <v>188</v>
      </c>
      <c r="N431" s="2" t="s">
        <v>519</v>
      </c>
      <c r="O431" s="2" t="s">
        <v>520</v>
      </c>
      <c r="P431" s="3">
        <v>17</v>
      </c>
      <c r="Q431" s="3">
        <v>17</v>
      </c>
      <c r="R431" s="4">
        <f t="shared" si="6"/>
        <v>34</v>
      </c>
      <c r="S431" s="2" t="s">
        <v>31</v>
      </c>
      <c r="T431" s="2"/>
    </row>
    <row r="432" spans="1:20" x14ac:dyDescent="0.3">
      <c r="A432" s="2" t="s">
        <v>509</v>
      </c>
      <c r="B432" s="2" t="s">
        <v>510</v>
      </c>
      <c r="C432" s="2" t="s">
        <v>511</v>
      </c>
      <c r="D432" s="2" t="s">
        <v>512</v>
      </c>
      <c r="E432" s="2" t="s">
        <v>513</v>
      </c>
      <c r="F432" s="2" t="s">
        <v>152</v>
      </c>
      <c r="G432" s="2" t="s">
        <v>159</v>
      </c>
      <c r="H432" s="2" t="s">
        <v>152</v>
      </c>
      <c r="I432" s="2" t="s">
        <v>185</v>
      </c>
      <c r="J432" s="2" t="s">
        <v>37</v>
      </c>
      <c r="K432" s="2" t="s">
        <v>38</v>
      </c>
      <c r="L432" s="2" t="s">
        <v>29</v>
      </c>
      <c r="M432" s="2" t="s">
        <v>186</v>
      </c>
      <c r="N432" s="2" t="s">
        <v>185</v>
      </c>
      <c r="O432" s="2" t="s">
        <v>521</v>
      </c>
      <c r="P432" s="3">
        <v>46</v>
      </c>
      <c r="Q432" s="3">
        <v>46</v>
      </c>
      <c r="R432" s="4">
        <f t="shared" si="6"/>
        <v>92</v>
      </c>
      <c r="S432" s="2" t="s">
        <v>31</v>
      </c>
      <c r="T432" s="2"/>
    </row>
    <row r="433" spans="1:20" x14ac:dyDescent="0.3">
      <c r="A433" s="2" t="s">
        <v>509</v>
      </c>
      <c r="B433" s="2" t="s">
        <v>510</v>
      </c>
      <c r="C433" s="2" t="s">
        <v>511</v>
      </c>
      <c r="D433" s="2" t="s">
        <v>512</v>
      </c>
      <c r="E433" s="2" t="s">
        <v>513</v>
      </c>
      <c r="F433" s="2" t="s">
        <v>152</v>
      </c>
      <c r="G433" s="2" t="s">
        <v>159</v>
      </c>
      <c r="H433" s="2" t="s">
        <v>152</v>
      </c>
      <c r="I433" s="2" t="s">
        <v>522</v>
      </c>
      <c r="J433" s="2" t="s">
        <v>152</v>
      </c>
      <c r="K433" s="2" t="s">
        <v>38</v>
      </c>
      <c r="L433" s="2" t="s">
        <v>127</v>
      </c>
      <c r="M433" s="2" t="s">
        <v>188</v>
      </c>
      <c r="N433" s="2" t="s">
        <v>522</v>
      </c>
      <c r="O433" s="2" t="s">
        <v>523</v>
      </c>
      <c r="P433" s="3">
        <v>21</v>
      </c>
      <c r="Q433" s="3">
        <v>21</v>
      </c>
      <c r="R433" s="4">
        <f t="shared" si="6"/>
        <v>42</v>
      </c>
      <c r="S433" s="2" t="s">
        <v>31</v>
      </c>
      <c r="T433" s="2"/>
    </row>
    <row r="434" spans="1:20" x14ac:dyDescent="0.3">
      <c r="A434" s="2" t="s">
        <v>509</v>
      </c>
      <c r="B434" s="2" t="s">
        <v>510</v>
      </c>
      <c r="C434" s="2" t="s">
        <v>511</v>
      </c>
      <c r="D434" s="2" t="s">
        <v>512</v>
      </c>
      <c r="E434" s="2" t="s">
        <v>513</v>
      </c>
      <c r="F434" s="2" t="s">
        <v>152</v>
      </c>
      <c r="G434" s="2" t="s">
        <v>159</v>
      </c>
      <c r="H434" s="2" t="s">
        <v>152</v>
      </c>
      <c r="I434" s="2" t="s">
        <v>240</v>
      </c>
      <c r="J434" s="2" t="s">
        <v>152</v>
      </c>
      <c r="K434" s="2" t="s">
        <v>38</v>
      </c>
      <c r="L434" s="2" t="s">
        <v>127</v>
      </c>
      <c r="M434" s="2" t="s">
        <v>188</v>
      </c>
      <c r="N434" s="2" t="s">
        <v>240</v>
      </c>
      <c r="O434" s="2" t="s">
        <v>524</v>
      </c>
      <c r="P434" s="3">
        <v>18</v>
      </c>
      <c r="Q434" s="3">
        <v>18</v>
      </c>
      <c r="R434" s="4">
        <f t="shared" si="6"/>
        <v>36</v>
      </c>
      <c r="S434" s="2" t="s">
        <v>31</v>
      </c>
      <c r="T434" s="2"/>
    </row>
    <row r="435" spans="1:20" x14ac:dyDescent="0.3">
      <c r="A435" s="2" t="s">
        <v>509</v>
      </c>
      <c r="B435" s="2" t="s">
        <v>510</v>
      </c>
      <c r="C435" s="2" t="s">
        <v>511</v>
      </c>
      <c r="D435" s="2" t="s">
        <v>512</v>
      </c>
      <c r="E435" s="2" t="s">
        <v>513</v>
      </c>
      <c r="F435" s="2" t="s">
        <v>152</v>
      </c>
      <c r="G435" s="2" t="s">
        <v>159</v>
      </c>
      <c r="H435" s="2" t="s">
        <v>152</v>
      </c>
      <c r="I435" s="2" t="s">
        <v>525</v>
      </c>
      <c r="J435" s="2" t="s">
        <v>152</v>
      </c>
      <c r="K435" s="2" t="s">
        <v>38</v>
      </c>
      <c r="L435" s="2" t="s">
        <v>127</v>
      </c>
      <c r="M435" s="2" t="s">
        <v>186</v>
      </c>
      <c r="N435" s="2" t="s">
        <v>525</v>
      </c>
      <c r="O435" s="2" t="s">
        <v>526</v>
      </c>
      <c r="P435" s="3">
        <v>35</v>
      </c>
      <c r="Q435" s="3">
        <v>35</v>
      </c>
      <c r="R435" s="4">
        <f t="shared" si="6"/>
        <v>70</v>
      </c>
      <c r="S435" s="2" t="s">
        <v>31</v>
      </c>
      <c r="T435" s="2"/>
    </row>
    <row r="436" spans="1:20" x14ac:dyDescent="0.3">
      <c r="A436" s="2" t="s">
        <v>509</v>
      </c>
      <c r="B436" s="2" t="s">
        <v>510</v>
      </c>
      <c r="C436" s="2" t="s">
        <v>511</v>
      </c>
      <c r="D436" s="2" t="s">
        <v>512</v>
      </c>
      <c r="E436" s="2" t="s">
        <v>513</v>
      </c>
      <c r="F436" s="2" t="s">
        <v>152</v>
      </c>
      <c r="G436" s="2" t="s">
        <v>159</v>
      </c>
      <c r="H436" s="2" t="s">
        <v>152</v>
      </c>
      <c r="I436" s="2" t="s">
        <v>527</v>
      </c>
      <c r="J436" s="2" t="s">
        <v>152</v>
      </c>
      <c r="K436" s="2" t="s">
        <v>38</v>
      </c>
      <c r="L436" s="2" t="s">
        <v>127</v>
      </c>
      <c r="M436" s="2" t="s">
        <v>188</v>
      </c>
      <c r="N436" s="2" t="s">
        <v>527</v>
      </c>
      <c r="O436" s="2" t="s">
        <v>528</v>
      </c>
      <c r="P436" s="3">
        <v>10</v>
      </c>
      <c r="Q436" s="3">
        <v>10</v>
      </c>
      <c r="R436" s="4">
        <f t="shared" si="6"/>
        <v>20</v>
      </c>
      <c r="S436" s="2" t="s">
        <v>31</v>
      </c>
      <c r="T436" s="2"/>
    </row>
    <row r="437" spans="1:20" x14ac:dyDescent="0.3">
      <c r="A437" s="2" t="s">
        <v>509</v>
      </c>
      <c r="B437" s="2" t="s">
        <v>510</v>
      </c>
      <c r="C437" s="2" t="s">
        <v>511</v>
      </c>
      <c r="D437" s="2" t="s">
        <v>512</v>
      </c>
      <c r="E437" s="2" t="s">
        <v>513</v>
      </c>
      <c r="F437" s="2" t="s">
        <v>152</v>
      </c>
      <c r="G437" s="2" t="s">
        <v>159</v>
      </c>
      <c r="H437" s="2" t="s">
        <v>152</v>
      </c>
      <c r="I437" s="2" t="s">
        <v>529</v>
      </c>
      <c r="J437" s="2" t="s">
        <v>152</v>
      </c>
      <c r="K437" s="2" t="s">
        <v>38</v>
      </c>
      <c r="L437" s="2" t="s">
        <v>127</v>
      </c>
      <c r="M437" s="2" t="s">
        <v>188</v>
      </c>
      <c r="N437" s="2" t="s">
        <v>529</v>
      </c>
      <c r="O437" s="2" t="s">
        <v>530</v>
      </c>
      <c r="P437" s="3">
        <v>14</v>
      </c>
      <c r="Q437" s="3">
        <v>14</v>
      </c>
      <c r="R437" s="4">
        <f t="shared" si="6"/>
        <v>28</v>
      </c>
      <c r="S437" s="2" t="s">
        <v>31</v>
      </c>
      <c r="T437" s="2"/>
    </row>
    <row r="438" spans="1:20" x14ac:dyDescent="0.3">
      <c r="A438" s="2" t="s">
        <v>509</v>
      </c>
      <c r="B438" s="2" t="s">
        <v>510</v>
      </c>
      <c r="C438" s="2" t="s">
        <v>511</v>
      </c>
      <c r="D438" s="2" t="s">
        <v>512</v>
      </c>
      <c r="E438" s="2" t="s">
        <v>513</v>
      </c>
      <c r="F438" s="2" t="s">
        <v>152</v>
      </c>
      <c r="G438" s="2" t="s">
        <v>159</v>
      </c>
      <c r="H438" s="2" t="s">
        <v>152</v>
      </c>
      <c r="I438" s="2" t="s">
        <v>200</v>
      </c>
      <c r="J438" s="2" t="s">
        <v>152</v>
      </c>
      <c r="K438" s="2" t="s">
        <v>38</v>
      </c>
      <c r="L438" s="2" t="s">
        <v>127</v>
      </c>
      <c r="M438" s="2" t="s">
        <v>188</v>
      </c>
      <c r="N438" s="2" t="s">
        <v>200</v>
      </c>
      <c r="O438" s="2" t="s">
        <v>531</v>
      </c>
      <c r="P438" s="3">
        <v>9</v>
      </c>
      <c r="Q438" s="3">
        <v>9</v>
      </c>
      <c r="R438" s="4">
        <f t="shared" si="6"/>
        <v>18</v>
      </c>
      <c r="S438" s="2" t="s">
        <v>31</v>
      </c>
      <c r="T438" s="2"/>
    </row>
    <row r="439" spans="1:20" x14ac:dyDescent="0.3">
      <c r="A439" s="2" t="s">
        <v>509</v>
      </c>
      <c r="B439" s="2" t="s">
        <v>510</v>
      </c>
      <c r="C439" s="2" t="s">
        <v>511</v>
      </c>
      <c r="D439" s="2" t="s">
        <v>512</v>
      </c>
      <c r="E439" s="2" t="s">
        <v>513</v>
      </c>
      <c r="F439" s="2" t="s">
        <v>152</v>
      </c>
      <c r="G439" s="2" t="s">
        <v>159</v>
      </c>
      <c r="H439" s="2" t="s">
        <v>152</v>
      </c>
      <c r="I439" s="2" t="s">
        <v>532</v>
      </c>
      <c r="J439" s="2" t="s">
        <v>152</v>
      </c>
      <c r="K439" s="2" t="s">
        <v>38</v>
      </c>
      <c r="L439" s="2" t="s">
        <v>127</v>
      </c>
      <c r="M439" s="2" t="s">
        <v>188</v>
      </c>
      <c r="N439" s="2" t="s">
        <v>532</v>
      </c>
      <c r="O439" s="2" t="s">
        <v>533</v>
      </c>
      <c r="P439" s="3">
        <v>19</v>
      </c>
      <c r="Q439" s="3">
        <v>19</v>
      </c>
      <c r="R439" s="4">
        <f t="shared" si="6"/>
        <v>38</v>
      </c>
      <c r="S439" s="2" t="s">
        <v>31</v>
      </c>
      <c r="T439" s="2"/>
    </row>
    <row r="440" spans="1:20" x14ac:dyDescent="0.3">
      <c r="A440" s="2" t="s">
        <v>509</v>
      </c>
      <c r="B440" s="2" t="s">
        <v>510</v>
      </c>
      <c r="C440" s="2" t="s">
        <v>511</v>
      </c>
      <c r="D440" s="2" t="s">
        <v>512</v>
      </c>
      <c r="E440" s="2" t="s">
        <v>513</v>
      </c>
      <c r="F440" s="2" t="s">
        <v>152</v>
      </c>
      <c r="G440" s="2" t="s">
        <v>159</v>
      </c>
      <c r="H440" s="2" t="s">
        <v>152</v>
      </c>
      <c r="I440" s="2" t="s">
        <v>534</v>
      </c>
      <c r="J440" s="2" t="s">
        <v>152</v>
      </c>
      <c r="K440" s="2" t="s">
        <v>38</v>
      </c>
      <c r="L440" s="2" t="s">
        <v>127</v>
      </c>
      <c r="M440" s="2" t="s">
        <v>188</v>
      </c>
      <c r="N440" s="2" t="s">
        <v>534</v>
      </c>
      <c r="O440" s="2" t="s">
        <v>535</v>
      </c>
      <c r="P440" s="3">
        <v>21</v>
      </c>
      <c r="Q440" s="3">
        <v>21</v>
      </c>
      <c r="R440" s="4">
        <f t="shared" si="6"/>
        <v>42</v>
      </c>
      <c r="S440" s="2" t="s">
        <v>31</v>
      </c>
      <c r="T440" s="2"/>
    </row>
    <row r="441" spans="1:20" x14ac:dyDescent="0.3">
      <c r="A441" s="2" t="s">
        <v>509</v>
      </c>
      <c r="B441" s="2" t="s">
        <v>510</v>
      </c>
      <c r="C441" s="2" t="s">
        <v>511</v>
      </c>
      <c r="D441" s="2" t="s">
        <v>512</v>
      </c>
      <c r="E441" s="2" t="s">
        <v>513</v>
      </c>
      <c r="F441" s="2" t="s">
        <v>152</v>
      </c>
      <c r="G441" s="2" t="s">
        <v>159</v>
      </c>
      <c r="H441" s="2" t="s">
        <v>152</v>
      </c>
      <c r="I441" s="2" t="s">
        <v>536</v>
      </c>
      <c r="J441" s="2" t="s">
        <v>152</v>
      </c>
      <c r="K441" s="2" t="s">
        <v>38</v>
      </c>
      <c r="L441" s="2" t="s">
        <v>127</v>
      </c>
      <c r="M441" s="2" t="s">
        <v>188</v>
      </c>
      <c r="N441" s="2" t="s">
        <v>536</v>
      </c>
      <c r="O441" s="2" t="s">
        <v>537</v>
      </c>
      <c r="P441" s="3">
        <v>14</v>
      </c>
      <c r="Q441" s="3">
        <v>14</v>
      </c>
      <c r="R441" s="4">
        <f t="shared" si="6"/>
        <v>28</v>
      </c>
      <c r="S441" s="2" t="s">
        <v>31</v>
      </c>
      <c r="T441" s="2"/>
    </row>
    <row r="442" spans="1:20" x14ac:dyDescent="0.3">
      <c r="A442" s="2" t="s">
        <v>509</v>
      </c>
      <c r="B442" s="2" t="s">
        <v>510</v>
      </c>
      <c r="C442" s="2" t="s">
        <v>511</v>
      </c>
      <c r="D442" s="2" t="s">
        <v>512</v>
      </c>
      <c r="E442" s="2" t="s">
        <v>513</v>
      </c>
      <c r="F442" s="2" t="s">
        <v>152</v>
      </c>
      <c r="G442" s="2" t="s">
        <v>159</v>
      </c>
      <c r="H442" s="2" t="s">
        <v>152</v>
      </c>
      <c r="I442" s="2" t="s">
        <v>190</v>
      </c>
      <c r="J442" s="2" t="s">
        <v>152</v>
      </c>
      <c r="K442" s="2" t="s">
        <v>38</v>
      </c>
      <c r="L442" s="2" t="s">
        <v>127</v>
      </c>
      <c r="M442" s="2" t="s">
        <v>188</v>
      </c>
      <c r="N442" s="2" t="s">
        <v>190</v>
      </c>
      <c r="O442" s="2" t="s">
        <v>538</v>
      </c>
      <c r="P442" s="3">
        <v>11</v>
      </c>
      <c r="Q442" s="3">
        <v>11</v>
      </c>
      <c r="R442" s="4">
        <f t="shared" si="6"/>
        <v>22</v>
      </c>
      <c r="S442" s="2" t="s">
        <v>31</v>
      </c>
      <c r="T442" s="2"/>
    </row>
    <row r="443" spans="1:20" x14ac:dyDescent="0.3">
      <c r="A443" s="2" t="s">
        <v>509</v>
      </c>
      <c r="B443" s="2" t="s">
        <v>510</v>
      </c>
      <c r="C443" s="2" t="s">
        <v>511</v>
      </c>
      <c r="D443" s="2" t="s">
        <v>512</v>
      </c>
      <c r="E443" s="2" t="s">
        <v>513</v>
      </c>
      <c r="F443" s="2" t="s">
        <v>152</v>
      </c>
      <c r="G443" s="2" t="s">
        <v>159</v>
      </c>
      <c r="H443" s="2" t="s">
        <v>152</v>
      </c>
      <c r="I443" s="2" t="s">
        <v>221</v>
      </c>
      <c r="J443" s="2" t="s">
        <v>152</v>
      </c>
      <c r="K443" s="2" t="s">
        <v>38</v>
      </c>
      <c r="L443" s="2" t="s">
        <v>127</v>
      </c>
      <c r="M443" s="2" t="s">
        <v>188</v>
      </c>
      <c r="N443" s="2" t="s">
        <v>221</v>
      </c>
      <c r="O443" s="2" t="s">
        <v>539</v>
      </c>
      <c r="P443" s="3">
        <v>7</v>
      </c>
      <c r="Q443" s="3">
        <v>7</v>
      </c>
      <c r="R443" s="4">
        <f t="shared" si="6"/>
        <v>14</v>
      </c>
      <c r="S443" s="2" t="s">
        <v>31</v>
      </c>
      <c r="T443" s="2"/>
    </row>
    <row r="444" spans="1:20" x14ac:dyDescent="0.3">
      <c r="A444" s="2" t="s">
        <v>509</v>
      </c>
      <c r="B444" s="2" t="s">
        <v>510</v>
      </c>
      <c r="C444" s="2" t="s">
        <v>511</v>
      </c>
      <c r="D444" s="2" t="s">
        <v>512</v>
      </c>
      <c r="E444" s="2" t="s">
        <v>513</v>
      </c>
      <c r="F444" s="2" t="s">
        <v>152</v>
      </c>
      <c r="G444" s="2" t="s">
        <v>159</v>
      </c>
      <c r="H444" s="2" t="s">
        <v>152</v>
      </c>
      <c r="I444" s="2" t="s">
        <v>540</v>
      </c>
      <c r="J444" s="2" t="s">
        <v>152</v>
      </c>
      <c r="K444" s="2" t="s">
        <v>38</v>
      </c>
      <c r="L444" s="2" t="s">
        <v>127</v>
      </c>
      <c r="M444" s="2" t="s">
        <v>188</v>
      </c>
      <c r="N444" s="2" t="s">
        <v>540</v>
      </c>
      <c r="O444" s="2" t="s">
        <v>541</v>
      </c>
      <c r="P444" s="3">
        <v>7</v>
      </c>
      <c r="Q444" s="3">
        <v>7</v>
      </c>
      <c r="R444" s="4">
        <f t="shared" si="6"/>
        <v>14</v>
      </c>
      <c r="S444" s="2" t="s">
        <v>31</v>
      </c>
      <c r="T444" s="2"/>
    </row>
    <row r="445" spans="1:20" x14ac:dyDescent="0.3">
      <c r="A445" s="2" t="s">
        <v>509</v>
      </c>
      <c r="B445" s="2" t="s">
        <v>510</v>
      </c>
      <c r="C445" s="2" t="s">
        <v>511</v>
      </c>
      <c r="D445" s="2" t="s">
        <v>512</v>
      </c>
      <c r="E445" s="2" t="s">
        <v>513</v>
      </c>
      <c r="F445" s="2" t="s">
        <v>152</v>
      </c>
      <c r="G445" s="2" t="s">
        <v>159</v>
      </c>
      <c r="H445" s="2" t="s">
        <v>152</v>
      </c>
      <c r="I445" s="2" t="s">
        <v>542</v>
      </c>
      <c r="J445" s="2" t="s">
        <v>152</v>
      </c>
      <c r="K445" s="2" t="s">
        <v>38</v>
      </c>
      <c r="L445" s="2" t="s">
        <v>127</v>
      </c>
      <c r="M445" s="2" t="s">
        <v>188</v>
      </c>
      <c r="N445" s="2" t="s">
        <v>542</v>
      </c>
      <c r="O445" s="2" t="s">
        <v>543</v>
      </c>
      <c r="P445" s="3">
        <v>4</v>
      </c>
      <c r="Q445" s="3">
        <v>4</v>
      </c>
      <c r="R445" s="4">
        <f t="shared" si="6"/>
        <v>8</v>
      </c>
      <c r="S445" s="2" t="s">
        <v>31</v>
      </c>
      <c r="T445" s="2"/>
    </row>
    <row r="446" spans="1:20" x14ac:dyDescent="0.3">
      <c r="A446" s="2" t="s">
        <v>509</v>
      </c>
      <c r="B446" s="2" t="s">
        <v>510</v>
      </c>
      <c r="C446" s="2" t="s">
        <v>511</v>
      </c>
      <c r="D446" s="2" t="s">
        <v>512</v>
      </c>
      <c r="E446" s="2" t="s">
        <v>513</v>
      </c>
      <c r="F446" s="2" t="s">
        <v>152</v>
      </c>
      <c r="G446" s="2" t="s">
        <v>159</v>
      </c>
      <c r="H446" s="2" t="s">
        <v>152</v>
      </c>
      <c r="I446" s="2" t="s">
        <v>219</v>
      </c>
      <c r="J446" s="2" t="s">
        <v>152</v>
      </c>
      <c r="K446" s="2" t="s">
        <v>38</v>
      </c>
      <c r="L446" s="2" t="s">
        <v>127</v>
      </c>
      <c r="M446" s="2" t="s">
        <v>188</v>
      </c>
      <c r="N446" s="2" t="s">
        <v>219</v>
      </c>
      <c r="O446" s="2" t="s">
        <v>544</v>
      </c>
      <c r="P446" s="3">
        <v>14</v>
      </c>
      <c r="Q446" s="3">
        <v>14</v>
      </c>
      <c r="R446" s="4">
        <f t="shared" si="6"/>
        <v>28</v>
      </c>
      <c r="S446" s="2" t="s">
        <v>31</v>
      </c>
      <c r="T446" s="2"/>
    </row>
    <row r="447" spans="1:20" x14ac:dyDescent="0.3">
      <c r="A447" s="2" t="s">
        <v>509</v>
      </c>
      <c r="B447" s="2" t="s">
        <v>510</v>
      </c>
      <c r="C447" s="2" t="s">
        <v>511</v>
      </c>
      <c r="D447" s="2" t="s">
        <v>512</v>
      </c>
      <c r="E447" s="2" t="s">
        <v>513</v>
      </c>
      <c r="F447" s="2" t="s">
        <v>152</v>
      </c>
      <c r="G447" s="2" t="s">
        <v>159</v>
      </c>
      <c r="H447" s="2" t="s">
        <v>152</v>
      </c>
      <c r="I447" s="2" t="s">
        <v>172</v>
      </c>
      <c r="J447" s="2" t="s">
        <v>152</v>
      </c>
      <c r="K447" s="2" t="s">
        <v>38</v>
      </c>
      <c r="L447" s="2" t="s">
        <v>127</v>
      </c>
      <c r="M447" s="2" t="s">
        <v>188</v>
      </c>
      <c r="N447" s="2" t="s">
        <v>172</v>
      </c>
      <c r="O447" s="2" t="s">
        <v>545</v>
      </c>
      <c r="P447" s="3">
        <v>17</v>
      </c>
      <c r="Q447" s="3">
        <v>17</v>
      </c>
      <c r="R447" s="4">
        <f t="shared" si="6"/>
        <v>34</v>
      </c>
      <c r="S447" s="2" t="s">
        <v>31</v>
      </c>
      <c r="T447" s="2"/>
    </row>
    <row r="448" spans="1:20" x14ac:dyDescent="0.3">
      <c r="A448" s="2" t="s">
        <v>509</v>
      </c>
      <c r="B448" s="2" t="s">
        <v>510</v>
      </c>
      <c r="C448" s="2" t="s">
        <v>511</v>
      </c>
      <c r="D448" s="2" t="s">
        <v>512</v>
      </c>
      <c r="E448" s="2" t="s">
        <v>513</v>
      </c>
      <c r="F448" s="2" t="s">
        <v>152</v>
      </c>
      <c r="G448" s="2" t="s">
        <v>159</v>
      </c>
      <c r="H448" s="2" t="s">
        <v>152</v>
      </c>
      <c r="I448" s="2" t="s">
        <v>194</v>
      </c>
      <c r="J448" s="2" t="s">
        <v>152</v>
      </c>
      <c r="K448" s="2" t="s">
        <v>38</v>
      </c>
      <c r="L448" s="2" t="s">
        <v>127</v>
      </c>
      <c r="M448" s="2" t="s">
        <v>188</v>
      </c>
      <c r="N448" s="2" t="s">
        <v>194</v>
      </c>
      <c r="O448" s="2" t="s">
        <v>546</v>
      </c>
      <c r="P448" s="3">
        <v>9</v>
      </c>
      <c r="Q448" s="3">
        <v>9</v>
      </c>
      <c r="R448" s="4">
        <f t="shared" si="6"/>
        <v>18</v>
      </c>
      <c r="S448" s="2" t="s">
        <v>31</v>
      </c>
      <c r="T448" s="2"/>
    </row>
    <row r="449" spans="1:20" x14ac:dyDescent="0.3">
      <c r="A449" s="2" t="s">
        <v>509</v>
      </c>
      <c r="B449" s="2" t="s">
        <v>510</v>
      </c>
      <c r="C449" s="2" t="s">
        <v>511</v>
      </c>
      <c r="D449" s="2" t="s">
        <v>512</v>
      </c>
      <c r="E449" s="2" t="s">
        <v>513</v>
      </c>
      <c r="F449" s="2" t="s">
        <v>152</v>
      </c>
      <c r="G449" s="2" t="s">
        <v>159</v>
      </c>
      <c r="H449" s="2" t="s">
        <v>152</v>
      </c>
      <c r="I449" s="2" t="s">
        <v>547</v>
      </c>
      <c r="J449" s="2" t="s">
        <v>152</v>
      </c>
      <c r="K449" s="2" t="s">
        <v>38</v>
      </c>
      <c r="L449" s="2" t="s">
        <v>127</v>
      </c>
      <c r="M449" s="2" t="s">
        <v>188</v>
      </c>
      <c r="N449" s="2" t="s">
        <v>547</v>
      </c>
      <c r="O449" s="2" t="s">
        <v>548</v>
      </c>
      <c r="P449" s="3">
        <v>3</v>
      </c>
      <c r="Q449" s="3">
        <v>3</v>
      </c>
      <c r="R449" s="4">
        <f t="shared" si="6"/>
        <v>6</v>
      </c>
      <c r="S449" s="2" t="s">
        <v>31</v>
      </c>
      <c r="T449" s="2"/>
    </row>
    <row r="450" spans="1:20" x14ac:dyDescent="0.3">
      <c r="A450" s="2" t="s">
        <v>509</v>
      </c>
      <c r="B450" s="2" t="s">
        <v>510</v>
      </c>
      <c r="C450" s="2" t="s">
        <v>511</v>
      </c>
      <c r="D450" s="2" t="s">
        <v>512</v>
      </c>
      <c r="E450" s="2" t="s">
        <v>513</v>
      </c>
      <c r="F450" s="2" t="s">
        <v>152</v>
      </c>
      <c r="G450" s="2" t="s">
        <v>159</v>
      </c>
      <c r="H450" s="2" t="s">
        <v>152</v>
      </c>
      <c r="I450" s="2" t="s">
        <v>215</v>
      </c>
      <c r="J450" s="2" t="s">
        <v>152</v>
      </c>
      <c r="K450" s="2" t="s">
        <v>38</v>
      </c>
      <c r="L450" s="2" t="s">
        <v>127</v>
      </c>
      <c r="M450" s="2" t="s">
        <v>188</v>
      </c>
      <c r="N450" s="2" t="s">
        <v>215</v>
      </c>
      <c r="O450" s="2" t="s">
        <v>549</v>
      </c>
      <c r="P450" s="3">
        <v>5</v>
      </c>
      <c r="Q450" s="3">
        <v>5</v>
      </c>
      <c r="R450" s="4">
        <f t="shared" ref="R450:R513" si="7">IF(P450="","",P450+Q450)</f>
        <v>10</v>
      </c>
      <c r="S450" s="2" t="s">
        <v>31</v>
      </c>
      <c r="T450" s="2"/>
    </row>
    <row r="451" spans="1:20" x14ac:dyDescent="0.3">
      <c r="A451" s="2" t="s">
        <v>509</v>
      </c>
      <c r="B451" s="2" t="s">
        <v>510</v>
      </c>
      <c r="C451" s="2" t="s">
        <v>511</v>
      </c>
      <c r="D451" s="2" t="s">
        <v>512</v>
      </c>
      <c r="E451" s="2" t="s">
        <v>513</v>
      </c>
      <c r="F451" s="2" t="s">
        <v>152</v>
      </c>
      <c r="G451" s="2" t="s">
        <v>159</v>
      </c>
      <c r="H451" s="2" t="s">
        <v>152</v>
      </c>
      <c r="I451" s="2" t="s">
        <v>550</v>
      </c>
      <c r="J451" s="2" t="s">
        <v>152</v>
      </c>
      <c r="K451" s="2" t="s">
        <v>38</v>
      </c>
      <c r="L451" s="2" t="s">
        <v>127</v>
      </c>
      <c r="M451" s="2" t="s">
        <v>550</v>
      </c>
      <c r="N451" s="2" t="s">
        <v>550</v>
      </c>
      <c r="O451" s="2" t="s">
        <v>551</v>
      </c>
      <c r="P451" s="3">
        <v>20</v>
      </c>
      <c r="Q451" s="3">
        <v>20</v>
      </c>
      <c r="R451" s="4">
        <f t="shared" si="7"/>
        <v>40</v>
      </c>
      <c r="S451" s="2" t="s">
        <v>31</v>
      </c>
      <c r="T451" s="2"/>
    </row>
    <row r="452" spans="1:20" x14ac:dyDescent="0.3">
      <c r="A452" s="2" t="s">
        <v>509</v>
      </c>
      <c r="B452" s="2" t="s">
        <v>510</v>
      </c>
      <c r="C452" s="2" t="s">
        <v>511</v>
      </c>
      <c r="D452" s="2" t="s">
        <v>512</v>
      </c>
      <c r="E452" s="2" t="s">
        <v>513</v>
      </c>
      <c r="F452" s="2" t="s">
        <v>152</v>
      </c>
      <c r="G452" s="2" t="s">
        <v>159</v>
      </c>
      <c r="H452" s="2" t="s">
        <v>152</v>
      </c>
      <c r="I452" s="2" t="s">
        <v>552</v>
      </c>
      <c r="J452" s="2" t="s">
        <v>152</v>
      </c>
      <c r="K452" s="2" t="s">
        <v>38</v>
      </c>
      <c r="L452" s="2" t="s">
        <v>127</v>
      </c>
      <c r="M452" s="2" t="s">
        <v>188</v>
      </c>
      <c r="N452" s="2" t="s">
        <v>552</v>
      </c>
      <c r="O452" s="2" t="s">
        <v>553</v>
      </c>
      <c r="P452" s="3">
        <v>6</v>
      </c>
      <c r="Q452" s="3">
        <v>6</v>
      </c>
      <c r="R452" s="4">
        <f t="shared" si="7"/>
        <v>12</v>
      </c>
      <c r="S452" s="2" t="s">
        <v>31</v>
      </c>
      <c r="T452" s="2"/>
    </row>
    <row r="453" spans="1:20" x14ac:dyDescent="0.3">
      <c r="A453" s="2" t="s">
        <v>509</v>
      </c>
      <c r="B453" s="2" t="s">
        <v>510</v>
      </c>
      <c r="C453" s="2" t="s">
        <v>511</v>
      </c>
      <c r="D453" s="2" t="s">
        <v>512</v>
      </c>
      <c r="E453" s="2" t="s">
        <v>513</v>
      </c>
      <c r="F453" s="2" t="s">
        <v>152</v>
      </c>
      <c r="G453" s="2" t="s">
        <v>159</v>
      </c>
      <c r="H453" s="2" t="s">
        <v>152</v>
      </c>
      <c r="I453" s="2" t="s">
        <v>497</v>
      </c>
      <c r="J453" s="2" t="s">
        <v>152</v>
      </c>
      <c r="K453" s="2" t="s">
        <v>38</v>
      </c>
      <c r="L453" s="2" t="s">
        <v>127</v>
      </c>
      <c r="M453" s="2" t="s">
        <v>225</v>
      </c>
      <c r="N453" s="2" t="s">
        <v>497</v>
      </c>
      <c r="O453" s="2" t="s">
        <v>554</v>
      </c>
      <c r="P453" s="3">
        <v>16</v>
      </c>
      <c r="Q453" s="3">
        <v>16</v>
      </c>
      <c r="R453" s="4">
        <f t="shared" si="7"/>
        <v>32</v>
      </c>
      <c r="S453" s="2" t="s">
        <v>31</v>
      </c>
      <c r="T453" s="2"/>
    </row>
    <row r="454" spans="1:20" x14ac:dyDescent="0.3">
      <c r="A454" s="2" t="s">
        <v>509</v>
      </c>
      <c r="B454" s="2" t="s">
        <v>510</v>
      </c>
      <c r="C454" s="2" t="s">
        <v>511</v>
      </c>
      <c r="D454" s="2" t="s">
        <v>512</v>
      </c>
      <c r="E454" s="2" t="s">
        <v>513</v>
      </c>
      <c r="F454" s="2" t="s">
        <v>152</v>
      </c>
      <c r="G454" s="2" t="s">
        <v>159</v>
      </c>
      <c r="H454" s="2" t="s">
        <v>152</v>
      </c>
      <c r="I454" s="2" t="s">
        <v>555</v>
      </c>
      <c r="J454" s="2" t="s">
        <v>152</v>
      </c>
      <c r="K454" s="2" t="s">
        <v>38</v>
      </c>
      <c r="L454" s="2" t="s">
        <v>127</v>
      </c>
      <c r="M454" s="2" t="s">
        <v>225</v>
      </c>
      <c r="N454" s="2" t="s">
        <v>555</v>
      </c>
      <c r="O454" s="2" t="s">
        <v>556</v>
      </c>
      <c r="P454" s="3">
        <v>16</v>
      </c>
      <c r="Q454" s="3">
        <v>16</v>
      </c>
      <c r="R454" s="4">
        <f t="shared" si="7"/>
        <v>32</v>
      </c>
      <c r="S454" s="2" t="s">
        <v>31</v>
      </c>
      <c r="T454" s="2"/>
    </row>
    <row r="455" spans="1:20" x14ac:dyDescent="0.3">
      <c r="A455" s="2" t="s">
        <v>509</v>
      </c>
      <c r="B455" s="2" t="s">
        <v>510</v>
      </c>
      <c r="C455" s="2" t="s">
        <v>511</v>
      </c>
      <c r="D455" s="2" t="s">
        <v>512</v>
      </c>
      <c r="E455" s="2" t="s">
        <v>513</v>
      </c>
      <c r="F455" s="2" t="s">
        <v>152</v>
      </c>
      <c r="G455" s="2" t="s">
        <v>159</v>
      </c>
      <c r="H455" s="2" t="s">
        <v>152</v>
      </c>
      <c r="I455" s="2" t="s">
        <v>292</v>
      </c>
      <c r="J455" s="2" t="s">
        <v>37</v>
      </c>
      <c r="K455" s="2" t="s">
        <v>38</v>
      </c>
      <c r="L455" s="2" t="s">
        <v>29</v>
      </c>
      <c r="M455" s="2"/>
      <c r="N455" s="2" t="s">
        <v>292</v>
      </c>
      <c r="O455" s="2" t="s">
        <v>293</v>
      </c>
      <c r="P455" s="3">
        <v>85</v>
      </c>
      <c r="Q455" s="3">
        <v>85</v>
      </c>
      <c r="R455" s="4">
        <f t="shared" si="7"/>
        <v>170</v>
      </c>
      <c r="S455" s="2" t="s">
        <v>31</v>
      </c>
      <c r="T455" s="2"/>
    </row>
    <row r="456" spans="1:20" x14ac:dyDescent="0.3">
      <c r="A456" s="2" t="s">
        <v>509</v>
      </c>
      <c r="B456" s="2" t="s">
        <v>510</v>
      </c>
      <c r="C456" s="2" t="s">
        <v>511</v>
      </c>
      <c r="D456" s="2" t="s">
        <v>512</v>
      </c>
      <c r="E456" s="2" t="s">
        <v>513</v>
      </c>
      <c r="F456" s="2" t="s">
        <v>152</v>
      </c>
      <c r="G456" s="2" t="s">
        <v>159</v>
      </c>
      <c r="H456" s="2" t="s">
        <v>152</v>
      </c>
      <c r="I456" s="2" t="s">
        <v>212</v>
      </c>
      <c r="J456" s="2" t="s">
        <v>37</v>
      </c>
      <c r="K456" s="2" t="s">
        <v>38</v>
      </c>
      <c r="L456" s="2" t="s">
        <v>29</v>
      </c>
      <c r="M456" s="2"/>
      <c r="N456" s="2" t="s">
        <v>212</v>
      </c>
      <c r="O456" s="2" t="s">
        <v>557</v>
      </c>
      <c r="P456" s="3">
        <v>85</v>
      </c>
      <c r="Q456" s="3">
        <v>85</v>
      </c>
      <c r="R456" s="4">
        <f t="shared" si="7"/>
        <v>170</v>
      </c>
      <c r="S456" s="2" t="s">
        <v>31</v>
      </c>
      <c r="T456" s="2"/>
    </row>
    <row r="457" spans="1:20" x14ac:dyDescent="0.3">
      <c r="A457" s="2" t="s">
        <v>509</v>
      </c>
      <c r="B457" s="2" t="s">
        <v>510</v>
      </c>
      <c r="C457" s="2" t="s">
        <v>511</v>
      </c>
      <c r="D457" s="2" t="s">
        <v>512</v>
      </c>
      <c r="E457" s="2" t="s">
        <v>513</v>
      </c>
      <c r="F457" s="2" t="s">
        <v>152</v>
      </c>
      <c r="G457" s="2" t="s">
        <v>159</v>
      </c>
      <c r="H457" s="2" t="s">
        <v>152</v>
      </c>
      <c r="I457" s="2" t="s">
        <v>204</v>
      </c>
      <c r="J457" s="2" t="s">
        <v>37</v>
      </c>
      <c r="K457" s="2" t="s">
        <v>38</v>
      </c>
      <c r="L457" s="2" t="s">
        <v>29</v>
      </c>
      <c r="M457" s="2"/>
      <c r="N457" s="2" t="s">
        <v>204</v>
      </c>
      <c r="O457" s="2" t="s">
        <v>558</v>
      </c>
      <c r="P457" s="3">
        <v>55</v>
      </c>
      <c r="Q457" s="3">
        <v>55</v>
      </c>
      <c r="R457" s="4">
        <f t="shared" si="7"/>
        <v>110</v>
      </c>
      <c r="S457" s="2" t="s">
        <v>31</v>
      </c>
      <c r="T457" s="2"/>
    </row>
    <row r="458" spans="1:20" x14ac:dyDescent="0.3">
      <c r="A458" s="2" t="s">
        <v>509</v>
      </c>
      <c r="B458" s="2" t="s">
        <v>510</v>
      </c>
      <c r="C458" s="2" t="s">
        <v>511</v>
      </c>
      <c r="D458" s="2" t="s">
        <v>512</v>
      </c>
      <c r="E458" s="2" t="s">
        <v>513</v>
      </c>
      <c r="F458" s="2" t="s">
        <v>152</v>
      </c>
      <c r="G458" s="2" t="s">
        <v>159</v>
      </c>
      <c r="H458" s="2" t="s">
        <v>152</v>
      </c>
      <c r="I458" s="2" t="s">
        <v>559</v>
      </c>
      <c r="J458" s="2" t="s">
        <v>37</v>
      </c>
      <c r="K458" s="2" t="s">
        <v>38</v>
      </c>
      <c r="L458" s="2" t="s">
        <v>29</v>
      </c>
      <c r="M458" s="2"/>
      <c r="N458" s="2" t="s">
        <v>559</v>
      </c>
      <c r="O458" s="2" t="s">
        <v>560</v>
      </c>
      <c r="P458" s="3">
        <v>24</v>
      </c>
      <c r="Q458" s="3">
        <v>24</v>
      </c>
      <c r="R458" s="4">
        <f t="shared" si="7"/>
        <v>48</v>
      </c>
      <c r="S458" s="2" t="s">
        <v>31</v>
      </c>
      <c r="T458" s="2"/>
    </row>
    <row r="459" spans="1:20" x14ac:dyDescent="0.3">
      <c r="A459" s="2" t="s">
        <v>509</v>
      </c>
      <c r="B459" s="2" t="s">
        <v>510</v>
      </c>
      <c r="C459" s="2" t="s">
        <v>511</v>
      </c>
      <c r="D459" s="2" t="s">
        <v>512</v>
      </c>
      <c r="E459" s="2" t="s">
        <v>513</v>
      </c>
      <c r="F459" s="2" t="s">
        <v>152</v>
      </c>
      <c r="G459" s="2" t="s">
        <v>159</v>
      </c>
      <c r="H459" s="2" t="s">
        <v>152</v>
      </c>
      <c r="I459" s="2" t="s">
        <v>561</v>
      </c>
      <c r="J459" s="2" t="s">
        <v>37</v>
      </c>
      <c r="K459" s="2" t="s">
        <v>38</v>
      </c>
      <c r="L459" s="2" t="s">
        <v>29</v>
      </c>
      <c r="M459" s="2"/>
      <c r="N459" s="2" t="s">
        <v>561</v>
      </c>
      <c r="O459" s="2" t="s">
        <v>562</v>
      </c>
      <c r="P459" s="3">
        <v>19</v>
      </c>
      <c r="Q459" s="3">
        <v>19</v>
      </c>
      <c r="R459" s="4">
        <f t="shared" si="7"/>
        <v>38</v>
      </c>
      <c r="S459" s="2" t="s">
        <v>31</v>
      </c>
      <c r="T459" s="2"/>
    </row>
    <row r="460" spans="1:20" x14ac:dyDescent="0.3">
      <c r="A460" s="2" t="s">
        <v>509</v>
      </c>
      <c r="B460" s="2" t="s">
        <v>510</v>
      </c>
      <c r="C460" s="2" t="s">
        <v>511</v>
      </c>
      <c r="D460" s="2" t="s">
        <v>512</v>
      </c>
      <c r="E460" s="2" t="s">
        <v>513</v>
      </c>
      <c r="F460" s="2" t="s">
        <v>152</v>
      </c>
      <c r="G460" s="2" t="s">
        <v>159</v>
      </c>
      <c r="H460" s="2" t="s">
        <v>152</v>
      </c>
      <c r="I460" s="2" t="s">
        <v>563</v>
      </c>
      <c r="J460" s="2" t="s">
        <v>152</v>
      </c>
      <c r="K460" s="2" t="s">
        <v>38</v>
      </c>
      <c r="L460" s="2" t="s">
        <v>127</v>
      </c>
      <c r="M460" s="2" t="s">
        <v>188</v>
      </c>
      <c r="N460" s="2" t="s">
        <v>563</v>
      </c>
      <c r="O460" s="2" t="s">
        <v>564</v>
      </c>
      <c r="P460" s="3">
        <v>13</v>
      </c>
      <c r="Q460" s="3">
        <v>13</v>
      </c>
      <c r="R460" s="4">
        <f t="shared" si="7"/>
        <v>26</v>
      </c>
      <c r="S460" s="2" t="s">
        <v>31</v>
      </c>
      <c r="T460" s="2"/>
    </row>
    <row r="461" spans="1:20" x14ac:dyDescent="0.3">
      <c r="A461" s="2" t="s">
        <v>509</v>
      </c>
      <c r="B461" s="2" t="s">
        <v>510</v>
      </c>
      <c r="C461" s="2" t="s">
        <v>511</v>
      </c>
      <c r="D461" s="2" t="s">
        <v>512</v>
      </c>
      <c r="E461" s="2" t="s">
        <v>513</v>
      </c>
      <c r="F461" s="2" t="s">
        <v>152</v>
      </c>
      <c r="G461" s="2" t="s">
        <v>159</v>
      </c>
      <c r="H461" s="2" t="s">
        <v>152</v>
      </c>
      <c r="I461" s="2" t="s">
        <v>565</v>
      </c>
      <c r="J461" s="2" t="s">
        <v>152</v>
      </c>
      <c r="K461" s="2" t="s">
        <v>38</v>
      </c>
      <c r="L461" s="2" t="s">
        <v>127</v>
      </c>
      <c r="M461" s="2" t="s">
        <v>188</v>
      </c>
      <c r="N461" s="2" t="s">
        <v>565</v>
      </c>
      <c r="O461" s="2" t="s">
        <v>566</v>
      </c>
      <c r="P461" s="3">
        <v>7</v>
      </c>
      <c r="Q461" s="3">
        <v>7</v>
      </c>
      <c r="R461" s="4">
        <f t="shared" si="7"/>
        <v>14</v>
      </c>
      <c r="S461" s="2" t="s">
        <v>31</v>
      </c>
      <c r="T461" s="2"/>
    </row>
    <row r="462" spans="1:20" x14ac:dyDescent="0.3">
      <c r="A462" s="2" t="s">
        <v>509</v>
      </c>
      <c r="B462" s="2" t="s">
        <v>510</v>
      </c>
      <c r="C462" s="2" t="s">
        <v>511</v>
      </c>
      <c r="D462" s="2" t="s">
        <v>512</v>
      </c>
      <c r="E462" s="2" t="s">
        <v>513</v>
      </c>
      <c r="F462" s="2" t="s">
        <v>152</v>
      </c>
      <c r="G462" s="2" t="s">
        <v>159</v>
      </c>
      <c r="H462" s="2" t="s">
        <v>152</v>
      </c>
      <c r="I462" s="2" t="s">
        <v>567</v>
      </c>
      <c r="J462" s="2" t="s">
        <v>152</v>
      </c>
      <c r="K462" s="2" t="s">
        <v>38</v>
      </c>
      <c r="L462" s="2" t="s">
        <v>127</v>
      </c>
      <c r="M462" s="2" t="s">
        <v>188</v>
      </c>
      <c r="N462" s="2" t="s">
        <v>567</v>
      </c>
      <c r="O462" s="2" t="s">
        <v>568</v>
      </c>
      <c r="P462" s="3">
        <v>10</v>
      </c>
      <c r="Q462" s="3">
        <v>10</v>
      </c>
      <c r="R462" s="4">
        <f t="shared" si="7"/>
        <v>20</v>
      </c>
      <c r="S462" s="2" t="s">
        <v>31</v>
      </c>
      <c r="T462" s="2"/>
    </row>
    <row r="463" spans="1:20" x14ac:dyDescent="0.3">
      <c r="A463" s="2" t="s">
        <v>509</v>
      </c>
      <c r="B463" s="2" t="s">
        <v>510</v>
      </c>
      <c r="C463" s="2" t="s">
        <v>511</v>
      </c>
      <c r="D463" s="2" t="s">
        <v>512</v>
      </c>
      <c r="E463" s="2" t="s">
        <v>513</v>
      </c>
      <c r="F463" s="2" t="s">
        <v>152</v>
      </c>
      <c r="G463" s="2" t="s">
        <v>159</v>
      </c>
      <c r="H463" s="2" t="s">
        <v>152</v>
      </c>
      <c r="I463" s="2" t="s">
        <v>569</v>
      </c>
      <c r="J463" s="2" t="s">
        <v>152</v>
      </c>
      <c r="K463" s="2" t="s">
        <v>38</v>
      </c>
      <c r="L463" s="2" t="s">
        <v>127</v>
      </c>
      <c r="M463" s="2" t="s">
        <v>188</v>
      </c>
      <c r="N463" s="2" t="s">
        <v>569</v>
      </c>
      <c r="O463" s="2" t="s">
        <v>570</v>
      </c>
      <c r="P463" s="3">
        <v>8</v>
      </c>
      <c r="Q463" s="3">
        <v>8</v>
      </c>
      <c r="R463" s="4">
        <f t="shared" si="7"/>
        <v>16</v>
      </c>
      <c r="S463" s="2" t="s">
        <v>31</v>
      </c>
      <c r="T463" s="2"/>
    </row>
    <row r="464" spans="1:20" x14ac:dyDescent="0.3">
      <c r="A464" s="2" t="s">
        <v>509</v>
      </c>
      <c r="B464" s="2" t="s">
        <v>510</v>
      </c>
      <c r="C464" s="2" t="s">
        <v>511</v>
      </c>
      <c r="D464" s="2" t="s">
        <v>512</v>
      </c>
      <c r="E464" s="2" t="s">
        <v>513</v>
      </c>
      <c r="F464" s="2" t="s">
        <v>152</v>
      </c>
      <c r="G464" s="2" t="s">
        <v>159</v>
      </c>
      <c r="H464" s="2" t="s">
        <v>152</v>
      </c>
      <c r="I464" s="2" t="s">
        <v>571</v>
      </c>
      <c r="J464" s="2" t="s">
        <v>152</v>
      </c>
      <c r="K464" s="2" t="s">
        <v>38</v>
      </c>
      <c r="L464" s="2" t="s">
        <v>127</v>
      </c>
      <c r="M464" s="2" t="s">
        <v>272</v>
      </c>
      <c r="N464" s="2" t="s">
        <v>571</v>
      </c>
      <c r="O464" s="2" t="s">
        <v>572</v>
      </c>
      <c r="P464" s="3">
        <v>72</v>
      </c>
      <c r="Q464" s="3">
        <v>72</v>
      </c>
      <c r="R464" s="4">
        <f t="shared" si="7"/>
        <v>144</v>
      </c>
      <c r="S464" s="2" t="s">
        <v>31</v>
      </c>
      <c r="T464" s="2"/>
    </row>
    <row r="465" spans="1:20" x14ac:dyDescent="0.3">
      <c r="A465" s="2" t="s">
        <v>509</v>
      </c>
      <c r="B465" s="2" t="s">
        <v>510</v>
      </c>
      <c r="C465" s="2" t="s">
        <v>511</v>
      </c>
      <c r="D465" s="2" t="s">
        <v>512</v>
      </c>
      <c r="E465" s="2" t="s">
        <v>513</v>
      </c>
      <c r="F465" s="2" t="s">
        <v>152</v>
      </c>
      <c r="G465" s="2" t="s">
        <v>159</v>
      </c>
      <c r="H465" s="2" t="s">
        <v>152</v>
      </c>
      <c r="I465" s="2" t="s">
        <v>573</v>
      </c>
      <c r="J465" s="2" t="s">
        <v>152</v>
      </c>
      <c r="K465" s="2" t="s">
        <v>38</v>
      </c>
      <c r="L465" s="2" t="s">
        <v>127</v>
      </c>
      <c r="M465" s="2" t="s">
        <v>574</v>
      </c>
      <c r="N465" s="2" t="s">
        <v>573</v>
      </c>
      <c r="O465" s="2" t="s">
        <v>575</v>
      </c>
      <c r="P465" s="3">
        <v>30</v>
      </c>
      <c r="Q465" s="3">
        <v>30</v>
      </c>
      <c r="R465" s="4">
        <f t="shared" si="7"/>
        <v>60</v>
      </c>
      <c r="S465" s="2" t="s">
        <v>31</v>
      </c>
      <c r="T465" s="2"/>
    </row>
    <row r="466" spans="1:20" x14ac:dyDescent="0.3">
      <c r="A466" s="2" t="s">
        <v>509</v>
      </c>
      <c r="B466" s="2" t="s">
        <v>510</v>
      </c>
      <c r="C466" s="2" t="s">
        <v>511</v>
      </c>
      <c r="D466" s="2" t="s">
        <v>512</v>
      </c>
      <c r="E466" s="2" t="s">
        <v>513</v>
      </c>
      <c r="F466" s="2" t="s">
        <v>152</v>
      </c>
      <c r="G466" s="2" t="s">
        <v>159</v>
      </c>
      <c r="H466" s="2" t="s">
        <v>152</v>
      </c>
      <c r="I466" s="2" t="s">
        <v>224</v>
      </c>
      <c r="J466" s="2" t="s">
        <v>152</v>
      </c>
      <c r="K466" s="2" t="s">
        <v>38</v>
      </c>
      <c r="L466" s="2" t="s">
        <v>127</v>
      </c>
      <c r="M466" s="2" t="s">
        <v>225</v>
      </c>
      <c r="N466" s="2" t="s">
        <v>224</v>
      </c>
      <c r="O466" s="2" t="s">
        <v>576</v>
      </c>
      <c r="P466" s="3">
        <v>21</v>
      </c>
      <c r="Q466" s="3">
        <v>21</v>
      </c>
      <c r="R466" s="4">
        <f t="shared" si="7"/>
        <v>42</v>
      </c>
      <c r="S466" s="2" t="s">
        <v>31</v>
      </c>
      <c r="T466" s="2"/>
    </row>
    <row r="467" spans="1:20" x14ac:dyDescent="0.3">
      <c r="A467" s="2" t="s">
        <v>509</v>
      </c>
      <c r="B467" s="2" t="s">
        <v>510</v>
      </c>
      <c r="C467" s="2" t="s">
        <v>511</v>
      </c>
      <c r="D467" s="2" t="s">
        <v>512</v>
      </c>
      <c r="E467" s="2" t="s">
        <v>513</v>
      </c>
      <c r="F467" s="2" t="s">
        <v>152</v>
      </c>
      <c r="G467" s="2" t="s">
        <v>159</v>
      </c>
      <c r="H467" s="2" t="s">
        <v>152</v>
      </c>
      <c r="I467" s="2" t="s">
        <v>577</v>
      </c>
      <c r="J467" s="2" t="s">
        <v>152</v>
      </c>
      <c r="K467" s="2" t="s">
        <v>38</v>
      </c>
      <c r="L467" s="2" t="s">
        <v>127</v>
      </c>
      <c r="M467" s="2" t="s">
        <v>225</v>
      </c>
      <c r="N467" s="2" t="s">
        <v>577</v>
      </c>
      <c r="O467" s="2" t="s">
        <v>578</v>
      </c>
      <c r="P467" s="3">
        <v>20</v>
      </c>
      <c r="Q467" s="3">
        <v>20</v>
      </c>
      <c r="R467" s="4">
        <f t="shared" si="7"/>
        <v>40</v>
      </c>
      <c r="S467" s="2" t="s">
        <v>31</v>
      </c>
      <c r="T467" s="2"/>
    </row>
    <row r="468" spans="1:20" x14ac:dyDescent="0.3">
      <c r="A468" s="2" t="s">
        <v>509</v>
      </c>
      <c r="B468" s="2" t="s">
        <v>510</v>
      </c>
      <c r="C468" s="2" t="s">
        <v>511</v>
      </c>
      <c r="D468" s="2" t="s">
        <v>512</v>
      </c>
      <c r="E468" s="2" t="s">
        <v>513</v>
      </c>
      <c r="F468" s="2" t="s">
        <v>152</v>
      </c>
      <c r="G468" s="2" t="s">
        <v>159</v>
      </c>
      <c r="H468" s="2" t="s">
        <v>152</v>
      </c>
      <c r="I468" s="2" t="s">
        <v>579</v>
      </c>
      <c r="J468" s="2" t="s">
        <v>152</v>
      </c>
      <c r="K468" s="2" t="s">
        <v>38</v>
      </c>
      <c r="L468" s="2" t="s">
        <v>127</v>
      </c>
      <c r="M468" s="2" t="s">
        <v>225</v>
      </c>
      <c r="N468" s="2" t="s">
        <v>579</v>
      </c>
      <c r="O468" s="2" t="s">
        <v>580</v>
      </c>
      <c r="P468" s="3">
        <v>21</v>
      </c>
      <c r="Q468" s="3">
        <v>21</v>
      </c>
      <c r="R468" s="4">
        <f t="shared" si="7"/>
        <v>42</v>
      </c>
      <c r="S468" s="2" t="s">
        <v>31</v>
      </c>
      <c r="T468" s="2"/>
    </row>
    <row r="469" spans="1:20" x14ac:dyDescent="0.3">
      <c r="A469" s="2" t="s">
        <v>509</v>
      </c>
      <c r="B469" s="2" t="s">
        <v>510</v>
      </c>
      <c r="C469" s="2" t="s">
        <v>511</v>
      </c>
      <c r="D469" s="2" t="s">
        <v>512</v>
      </c>
      <c r="E469" s="2" t="s">
        <v>513</v>
      </c>
      <c r="F469" s="2" t="s">
        <v>152</v>
      </c>
      <c r="G469" s="2" t="s">
        <v>159</v>
      </c>
      <c r="H469" s="2" t="s">
        <v>152</v>
      </c>
      <c r="I469" s="2" t="s">
        <v>25</v>
      </c>
      <c r="J469" s="2" t="s">
        <v>26</v>
      </c>
      <c r="K469" s="2" t="s">
        <v>38</v>
      </c>
      <c r="L469" s="2" t="s">
        <v>29</v>
      </c>
      <c r="M469" s="2"/>
      <c r="N469" s="2" t="s">
        <v>25</v>
      </c>
      <c r="O469" s="2" t="s">
        <v>165</v>
      </c>
      <c r="P469" s="3">
        <v>124</v>
      </c>
      <c r="Q469" s="3">
        <v>124</v>
      </c>
      <c r="R469" s="4">
        <f t="shared" si="7"/>
        <v>248</v>
      </c>
      <c r="S469" s="2" t="s">
        <v>40</v>
      </c>
      <c r="T469" s="2"/>
    </row>
    <row r="470" spans="1:20" x14ac:dyDescent="0.3">
      <c r="A470" s="2" t="s">
        <v>509</v>
      </c>
      <c r="B470" s="2" t="s">
        <v>510</v>
      </c>
      <c r="C470" s="2" t="s">
        <v>511</v>
      </c>
      <c r="D470" s="2" t="s">
        <v>512</v>
      </c>
      <c r="E470" s="2" t="s">
        <v>513</v>
      </c>
      <c r="F470" s="2" t="s">
        <v>152</v>
      </c>
      <c r="G470" s="2" t="s">
        <v>159</v>
      </c>
      <c r="H470" s="2" t="s">
        <v>152</v>
      </c>
      <c r="I470" s="2" t="s">
        <v>581</v>
      </c>
      <c r="J470" s="2" t="s">
        <v>132</v>
      </c>
      <c r="K470" s="2" t="s">
        <v>133</v>
      </c>
      <c r="L470" s="2" t="s">
        <v>29</v>
      </c>
      <c r="M470" s="2"/>
      <c r="N470" s="2" t="s">
        <v>246</v>
      </c>
      <c r="O470" s="2" t="s">
        <v>294</v>
      </c>
      <c r="P470" s="3">
        <v>303</v>
      </c>
      <c r="Q470" s="3">
        <v>303</v>
      </c>
      <c r="R470" s="4">
        <f t="shared" si="7"/>
        <v>606</v>
      </c>
      <c r="S470" s="2" t="s">
        <v>31</v>
      </c>
      <c r="T470" s="2"/>
    </row>
    <row r="471" spans="1:20" x14ac:dyDescent="0.3">
      <c r="A471" s="2" t="s">
        <v>509</v>
      </c>
      <c r="B471" s="2" t="s">
        <v>510</v>
      </c>
      <c r="C471" s="2" t="s">
        <v>511</v>
      </c>
      <c r="D471" s="2" t="s">
        <v>512</v>
      </c>
      <c r="E471" s="2" t="s">
        <v>513</v>
      </c>
      <c r="F471" s="2" t="s">
        <v>152</v>
      </c>
      <c r="G471" s="2" t="s">
        <v>159</v>
      </c>
      <c r="H471" s="2" t="s">
        <v>152</v>
      </c>
      <c r="I471" s="2" t="s">
        <v>582</v>
      </c>
      <c r="J471" s="2" t="s">
        <v>140</v>
      </c>
      <c r="K471" s="2" t="s">
        <v>133</v>
      </c>
      <c r="L471" s="2" t="s">
        <v>29</v>
      </c>
      <c r="M471" s="2"/>
      <c r="N471" s="2" t="s">
        <v>344</v>
      </c>
      <c r="O471" s="2" t="s">
        <v>583</v>
      </c>
      <c r="P471" s="3">
        <v>463</v>
      </c>
      <c r="Q471" s="3">
        <v>463</v>
      </c>
      <c r="R471" s="4">
        <f t="shared" si="7"/>
        <v>926</v>
      </c>
      <c r="S471" s="2" t="s">
        <v>31</v>
      </c>
      <c r="T471" s="2"/>
    </row>
    <row r="472" spans="1:20" x14ac:dyDescent="0.3">
      <c r="A472" s="2" t="s">
        <v>509</v>
      </c>
      <c r="B472" s="2" t="s">
        <v>510</v>
      </c>
      <c r="C472" s="2" t="s">
        <v>511</v>
      </c>
      <c r="D472" s="2" t="s">
        <v>512</v>
      </c>
      <c r="E472" s="2" t="s">
        <v>513</v>
      </c>
      <c r="F472" s="2" t="s">
        <v>152</v>
      </c>
      <c r="G472" s="2" t="s">
        <v>159</v>
      </c>
      <c r="H472" s="2" t="s">
        <v>152</v>
      </c>
      <c r="I472" s="2" t="s">
        <v>192</v>
      </c>
      <c r="J472" s="2" t="s">
        <v>37</v>
      </c>
      <c r="K472" s="2" t="s">
        <v>38</v>
      </c>
      <c r="L472" s="2" t="s">
        <v>29</v>
      </c>
      <c r="M472" s="2"/>
      <c r="N472" s="2" t="s">
        <v>192</v>
      </c>
      <c r="O472" s="2" t="s">
        <v>514</v>
      </c>
      <c r="P472" s="3">
        <v>31</v>
      </c>
      <c r="Q472" s="3">
        <v>31</v>
      </c>
      <c r="R472" s="4">
        <f t="shared" si="7"/>
        <v>62</v>
      </c>
      <c r="S472" s="2" t="s">
        <v>31</v>
      </c>
      <c r="T472" s="2"/>
    </row>
    <row r="473" spans="1:20" x14ac:dyDescent="0.3">
      <c r="A473" s="2" t="s">
        <v>509</v>
      </c>
      <c r="B473" s="2" t="s">
        <v>510</v>
      </c>
      <c r="C473" s="2" t="s">
        <v>511</v>
      </c>
      <c r="D473" s="2" t="s">
        <v>512</v>
      </c>
      <c r="E473" s="2" t="s">
        <v>513</v>
      </c>
      <c r="F473" s="2" t="s">
        <v>152</v>
      </c>
      <c r="G473" s="2" t="s">
        <v>159</v>
      </c>
      <c r="H473" s="2" t="s">
        <v>152</v>
      </c>
      <c r="I473" s="2" t="s">
        <v>292</v>
      </c>
      <c r="J473" s="2" t="s">
        <v>37</v>
      </c>
      <c r="K473" s="2" t="s">
        <v>38</v>
      </c>
      <c r="L473" s="2" t="s">
        <v>29</v>
      </c>
      <c r="M473" s="2"/>
      <c r="N473" s="2" t="s">
        <v>292</v>
      </c>
      <c r="O473" s="2" t="s">
        <v>293</v>
      </c>
      <c r="P473" s="3">
        <v>85</v>
      </c>
      <c r="Q473" s="3">
        <v>85</v>
      </c>
      <c r="R473" s="4">
        <f t="shared" si="7"/>
        <v>170</v>
      </c>
      <c r="S473" s="2" t="s">
        <v>31</v>
      </c>
      <c r="T473" s="2"/>
    </row>
    <row r="474" spans="1:20" x14ac:dyDescent="0.3">
      <c r="A474" s="2" t="s">
        <v>509</v>
      </c>
      <c r="B474" s="2" t="s">
        <v>510</v>
      </c>
      <c r="C474" s="2" t="s">
        <v>511</v>
      </c>
      <c r="D474" s="2" t="s">
        <v>512</v>
      </c>
      <c r="E474" s="2" t="s">
        <v>513</v>
      </c>
      <c r="F474" s="2" t="s">
        <v>152</v>
      </c>
      <c r="G474" s="2" t="s">
        <v>159</v>
      </c>
      <c r="H474" s="2" t="s">
        <v>152</v>
      </c>
      <c r="I474" s="2" t="s">
        <v>212</v>
      </c>
      <c r="J474" s="2" t="s">
        <v>37</v>
      </c>
      <c r="K474" s="2" t="s">
        <v>38</v>
      </c>
      <c r="L474" s="2" t="s">
        <v>29</v>
      </c>
      <c r="M474" s="2"/>
      <c r="N474" s="2" t="s">
        <v>212</v>
      </c>
      <c r="O474" s="2" t="s">
        <v>557</v>
      </c>
      <c r="P474" s="3">
        <v>85</v>
      </c>
      <c r="Q474" s="3">
        <v>85</v>
      </c>
      <c r="R474" s="4">
        <f t="shared" si="7"/>
        <v>170</v>
      </c>
      <c r="S474" s="2" t="s">
        <v>31</v>
      </c>
      <c r="T474" s="2"/>
    </row>
    <row r="475" spans="1:20" x14ac:dyDescent="0.3">
      <c r="A475" s="2" t="s">
        <v>509</v>
      </c>
      <c r="B475" s="2" t="s">
        <v>510</v>
      </c>
      <c r="C475" s="2" t="s">
        <v>511</v>
      </c>
      <c r="D475" s="2" t="s">
        <v>512</v>
      </c>
      <c r="E475" s="2" t="s">
        <v>513</v>
      </c>
      <c r="F475" s="2" t="s">
        <v>152</v>
      </c>
      <c r="G475" s="2" t="s">
        <v>159</v>
      </c>
      <c r="H475" s="2" t="s">
        <v>152</v>
      </c>
      <c r="I475" s="2" t="s">
        <v>204</v>
      </c>
      <c r="J475" s="2" t="s">
        <v>37</v>
      </c>
      <c r="K475" s="2" t="s">
        <v>38</v>
      </c>
      <c r="L475" s="2" t="s">
        <v>29</v>
      </c>
      <c r="M475" s="2"/>
      <c r="N475" s="2" t="s">
        <v>204</v>
      </c>
      <c r="O475" s="2" t="s">
        <v>558</v>
      </c>
      <c r="P475" s="3">
        <v>55</v>
      </c>
      <c r="Q475" s="3">
        <v>55</v>
      </c>
      <c r="R475" s="4">
        <f t="shared" si="7"/>
        <v>110</v>
      </c>
      <c r="S475" s="2" t="s">
        <v>31</v>
      </c>
      <c r="T475" s="2"/>
    </row>
    <row r="476" spans="1:20" x14ac:dyDescent="0.3">
      <c r="A476" s="2" t="s">
        <v>509</v>
      </c>
      <c r="B476" s="2" t="s">
        <v>510</v>
      </c>
      <c r="C476" s="2" t="s">
        <v>511</v>
      </c>
      <c r="D476" s="2" t="s">
        <v>512</v>
      </c>
      <c r="E476" s="2" t="s">
        <v>513</v>
      </c>
      <c r="F476" s="2" t="s">
        <v>152</v>
      </c>
      <c r="G476" s="2" t="s">
        <v>159</v>
      </c>
      <c r="H476" s="2" t="s">
        <v>152</v>
      </c>
      <c r="I476" s="2" t="s">
        <v>25</v>
      </c>
      <c r="J476" s="2" t="s">
        <v>26</v>
      </c>
      <c r="K476" s="2" t="s">
        <v>38</v>
      </c>
      <c r="L476" s="2" t="s">
        <v>29</v>
      </c>
      <c r="M476" s="2"/>
      <c r="N476" s="2" t="s">
        <v>25</v>
      </c>
      <c r="O476" s="2" t="s">
        <v>165</v>
      </c>
      <c r="P476" s="3">
        <v>124</v>
      </c>
      <c r="Q476" s="3">
        <v>124</v>
      </c>
      <c r="R476" s="4">
        <f t="shared" si="7"/>
        <v>248</v>
      </c>
      <c r="S476" s="2" t="s">
        <v>40</v>
      </c>
      <c r="T476" s="2"/>
    </row>
    <row r="477" spans="1:20" x14ac:dyDescent="0.3">
      <c r="A477" s="2" t="s">
        <v>509</v>
      </c>
      <c r="B477" s="2" t="s">
        <v>510</v>
      </c>
      <c r="C477" s="2" t="s">
        <v>511</v>
      </c>
      <c r="D477" s="2" t="s">
        <v>512</v>
      </c>
      <c r="E477" s="2" t="s">
        <v>513</v>
      </c>
      <c r="F477" s="2" t="s">
        <v>152</v>
      </c>
      <c r="G477" s="2" t="s">
        <v>159</v>
      </c>
      <c r="H477" s="2" t="s">
        <v>152</v>
      </c>
      <c r="I477" s="2" t="s">
        <v>278</v>
      </c>
      <c r="J477" s="2" t="s">
        <v>277</v>
      </c>
      <c r="K477" s="2" t="s">
        <v>38</v>
      </c>
      <c r="L477" s="2" t="s">
        <v>29</v>
      </c>
      <c r="M477" s="2"/>
      <c r="N477" s="2" t="s">
        <v>278</v>
      </c>
      <c r="O477" s="2" t="s">
        <v>279</v>
      </c>
      <c r="P477" s="3">
        <v>305</v>
      </c>
      <c r="Q477" s="3">
        <v>305</v>
      </c>
      <c r="R477" s="4">
        <f t="shared" si="7"/>
        <v>610</v>
      </c>
      <c r="S477" s="2" t="s">
        <v>31</v>
      </c>
      <c r="T477" s="2"/>
    </row>
    <row r="478" spans="1:20" x14ac:dyDescent="0.3">
      <c r="A478" s="2" t="s">
        <v>509</v>
      </c>
      <c r="B478" s="2" t="s">
        <v>510</v>
      </c>
      <c r="C478" s="2" t="s">
        <v>511</v>
      </c>
      <c r="D478" s="2" t="s">
        <v>512</v>
      </c>
      <c r="E478" s="2" t="s">
        <v>513</v>
      </c>
      <c r="F478" s="2" t="s">
        <v>152</v>
      </c>
      <c r="G478" s="2" t="s">
        <v>159</v>
      </c>
      <c r="H478" s="2" t="s">
        <v>152</v>
      </c>
      <c r="I478" s="2" t="s">
        <v>282</v>
      </c>
      <c r="J478" s="2" t="s">
        <v>281</v>
      </c>
      <c r="K478" s="2" t="s">
        <v>38</v>
      </c>
      <c r="L478" s="2" t="s">
        <v>29</v>
      </c>
      <c r="M478" s="2"/>
      <c r="N478" s="2" t="s">
        <v>282</v>
      </c>
      <c r="O478" s="2" t="s">
        <v>283</v>
      </c>
      <c r="P478" s="3">
        <v>278</v>
      </c>
      <c r="Q478" s="3">
        <v>278</v>
      </c>
      <c r="R478" s="4">
        <f t="shared" si="7"/>
        <v>556</v>
      </c>
      <c r="S478" s="2" t="s">
        <v>31</v>
      </c>
      <c r="T478" s="2"/>
    </row>
    <row r="479" spans="1:20" x14ac:dyDescent="0.3">
      <c r="A479" s="2" t="s">
        <v>509</v>
      </c>
      <c r="B479" s="2" t="s">
        <v>510</v>
      </c>
      <c r="C479" s="2" t="s">
        <v>511</v>
      </c>
      <c r="D479" s="2" t="s">
        <v>512</v>
      </c>
      <c r="E479" s="2" t="s">
        <v>513</v>
      </c>
      <c r="F479" s="2" t="s">
        <v>152</v>
      </c>
      <c r="G479" s="2" t="s">
        <v>159</v>
      </c>
      <c r="H479" s="2" t="s">
        <v>152</v>
      </c>
      <c r="I479" s="2" t="s">
        <v>229</v>
      </c>
      <c r="J479" s="2" t="s">
        <v>230</v>
      </c>
      <c r="K479" s="2" t="s">
        <v>45</v>
      </c>
      <c r="L479" s="2" t="s">
        <v>29</v>
      </c>
      <c r="M479" s="2"/>
      <c r="N479" s="2" t="s">
        <v>229</v>
      </c>
      <c r="O479" s="2" t="s">
        <v>289</v>
      </c>
      <c r="P479" s="3">
        <v>351</v>
      </c>
      <c r="Q479" s="3">
        <v>351</v>
      </c>
      <c r="R479" s="4">
        <f t="shared" si="7"/>
        <v>702</v>
      </c>
      <c r="S479" s="2" t="s">
        <v>31</v>
      </c>
      <c r="T479" s="2"/>
    </row>
    <row r="480" spans="1:20" x14ac:dyDescent="0.3">
      <c r="A480" s="2" t="s">
        <v>509</v>
      </c>
      <c r="B480" s="2" t="s">
        <v>510</v>
      </c>
      <c r="C480" s="2" t="s">
        <v>511</v>
      </c>
      <c r="D480" s="2" t="s">
        <v>512</v>
      </c>
      <c r="E480" s="2" t="s">
        <v>513</v>
      </c>
      <c r="F480" s="2" t="s">
        <v>152</v>
      </c>
      <c r="G480" s="2" t="s">
        <v>159</v>
      </c>
      <c r="H480" s="2" t="s">
        <v>152</v>
      </c>
      <c r="I480" s="2" t="s">
        <v>584</v>
      </c>
      <c r="J480" s="2" t="s">
        <v>44</v>
      </c>
      <c r="K480" s="2" t="s">
        <v>45</v>
      </c>
      <c r="L480" s="2" t="s">
        <v>29</v>
      </c>
      <c r="M480" s="2"/>
      <c r="N480" s="2" t="s">
        <v>43</v>
      </c>
      <c r="O480" s="2" t="s">
        <v>163</v>
      </c>
      <c r="P480" s="3">
        <v>740</v>
      </c>
      <c r="Q480" s="3">
        <v>740</v>
      </c>
      <c r="R480" s="4">
        <f t="shared" si="7"/>
        <v>1480</v>
      </c>
      <c r="S480" s="2" t="s">
        <v>40</v>
      </c>
      <c r="T480" s="2"/>
    </row>
    <row r="481" spans="1:20" x14ac:dyDescent="0.3">
      <c r="A481" s="2" t="s">
        <v>585</v>
      </c>
      <c r="B481" s="2" t="s">
        <v>586</v>
      </c>
      <c r="C481" s="2" t="s">
        <v>511</v>
      </c>
      <c r="D481" s="2" t="s">
        <v>587</v>
      </c>
      <c r="E481" s="2" t="s">
        <v>513</v>
      </c>
      <c r="F481" s="2" t="s">
        <v>152</v>
      </c>
      <c r="G481" s="2" t="s">
        <v>159</v>
      </c>
      <c r="H481" s="2" t="s">
        <v>152</v>
      </c>
      <c r="I481" s="2" t="s">
        <v>192</v>
      </c>
      <c r="J481" s="2" t="s">
        <v>37</v>
      </c>
      <c r="K481" s="2" t="s">
        <v>38</v>
      </c>
      <c r="L481" s="2" t="s">
        <v>29</v>
      </c>
      <c r="M481" s="2"/>
      <c r="N481" s="2" t="s">
        <v>192</v>
      </c>
      <c r="O481" s="2" t="s">
        <v>514</v>
      </c>
      <c r="P481" s="3">
        <v>31</v>
      </c>
      <c r="Q481" s="3">
        <v>31</v>
      </c>
      <c r="R481" s="4">
        <f t="shared" si="7"/>
        <v>62</v>
      </c>
      <c r="S481" s="2" t="s">
        <v>31</v>
      </c>
      <c r="T481" s="2"/>
    </row>
    <row r="482" spans="1:20" x14ac:dyDescent="0.3">
      <c r="A482" s="2" t="s">
        <v>585</v>
      </c>
      <c r="B482" s="2" t="s">
        <v>586</v>
      </c>
      <c r="C482" s="2" t="s">
        <v>511</v>
      </c>
      <c r="D482" s="2" t="s">
        <v>587</v>
      </c>
      <c r="E482" s="2" t="s">
        <v>513</v>
      </c>
      <c r="F482" s="2" t="s">
        <v>152</v>
      </c>
      <c r="G482" s="2" t="s">
        <v>159</v>
      </c>
      <c r="H482" s="2" t="s">
        <v>152</v>
      </c>
      <c r="I482" s="2" t="s">
        <v>515</v>
      </c>
      <c r="J482" s="2" t="s">
        <v>152</v>
      </c>
      <c r="K482" s="2" t="s">
        <v>38</v>
      </c>
      <c r="L482" s="2" t="s">
        <v>127</v>
      </c>
      <c r="M482" s="2" t="s">
        <v>188</v>
      </c>
      <c r="N482" s="2" t="s">
        <v>515</v>
      </c>
      <c r="O482" s="2" t="s">
        <v>516</v>
      </c>
      <c r="P482" s="3">
        <v>19</v>
      </c>
      <c r="Q482" s="3">
        <v>19</v>
      </c>
      <c r="R482" s="4">
        <f t="shared" si="7"/>
        <v>38</v>
      </c>
      <c r="S482" s="2" t="s">
        <v>31</v>
      </c>
      <c r="T482" s="2"/>
    </row>
    <row r="483" spans="1:20" x14ac:dyDescent="0.3">
      <c r="A483" s="2" t="s">
        <v>585</v>
      </c>
      <c r="B483" s="2" t="s">
        <v>586</v>
      </c>
      <c r="C483" s="2" t="s">
        <v>511</v>
      </c>
      <c r="D483" s="2" t="s">
        <v>587</v>
      </c>
      <c r="E483" s="2" t="s">
        <v>513</v>
      </c>
      <c r="F483" s="2" t="s">
        <v>152</v>
      </c>
      <c r="G483" s="2" t="s">
        <v>159</v>
      </c>
      <c r="H483" s="2" t="s">
        <v>152</v>
      </c>
      <c r="I483" s="2" t="s">
        <v>517</v>
      </c>
      <c r="J483" s="2" t="s">
        <v>37</v>
      </c>
      <c r="K483" s="2" t="s">
        <v>38</v>
      </c>
      <c r="L483" s="2" t="s">
        <v>29</v>
      </c>
      <c r="M483" s="2" t="s">
        <v>188</v>
      </c>
      <c r="N483" s="2" t="s">
        <v>517</v>
      </c>
      <c r="O483" s="2" t="s">
        <v>518</v>
      </c>
      <c r="P483" s="3">
        <v>24</v>
      </c>
      <c r="Q483" s="3">
        <v>24</v>
      </c>
      <c r="R483" s="4">
        <f t="shared" si="7"/>
        <v>48</v>
      </c>
      <c r="S483" s="2" t="s">
        <v>31</v>
      </c>
      <c r="T483" s="2"/>
    </row>
    <row r="484" spans="1:20" x14ac:dyDescent="0.3">
      <c r="A484" s="2" t="s">
        <v>585</v>
      </c>
      <c r="B484" s="2" t="s">
        <v>586</v>
      </c>
      <c r="C484" s="2" t="s">
        <v>511</v>
      </c>
      <c r="D484" s="2" t="s">
        <v>587</v>
      </c>
      <c r="E484" s="2" t="s">
        <v>513</v>
      </c>
      <c r="F484" s="2" t="s">
        <v>152</v>
      </c>
      <c r="G484" s="2" t="s">
        <v>159</v>
      </c>
      <c r="H484" s="2" t="s">
        <v>152</v>
      </c>
      <c r="I484" s="2" t="s">
        <v>519</v>
      </c>
      <c r="J484" s="2" t="s">
        <v>152</v>
      </c>
      <c r="K484" s="2" t="s">
        <v>38</v>
      </c>
      <c r="L484" s="2" t="s">
        <v>127</v>
      </c>
      <c r="M484" s="2" t="s">
        <v>188</v>
      </c>
      <c r="N484" s="2" t="s">
        <v>519</v>
      </c>
      <c r="O484" s="2" t="s">
        <v>520</v>
      </c>
      <c r="P484" s="3">
        <v>17</v>
      </c>
      <c r="Q484" s="3">
        <v>17</v>
      </c>
      <c r="R484" s="4">
        <f t="shared" si="7"/>
        <v>34</v>
      </c>
      <c r="S484" s="2" t="s">
        <v>31</v>
      </c>
      <c r="T484" s="2"/>
    </row>
    <row r="485" spans="1:20" x14ac:dyDescent="0.3">
      <c r="A485" s="2" t="s">
        <v>585</v>
      </c>
      <c r="B485" s="2" t="s">
        <v>586</v>
      </c>
      <c r="C485" s="2" t="s">
        <v>511</v>
      </c>
      <c r="D485" s="2" t="s">
        <v>587</v>
      </c>
      <c r="E485" s="2" t="s">
        <v>513</v>
      </c>
      <c r="F485" s="2" t="s">
        <v>152</v>
      </c>
      <c r="G485" s="2" t="s">
        <v>159</v>
      </c>
      <c r="H485" s="2" t="s">
        <v>152</v>
      </c>
      <c r="I485" s="2" t="s">
        <v>185</v>
      </c>
      <c r="J485" s="2" t="s">
        <v>37</v>
      </c>
      <c r="K485" s="2" t="s">
        <v>38</v>
      </c>
      <c r="L485" s="2" t="s">
        <v>29</v>
      </c>
      <c r="M485" s="2" t="s">
        <v>186</v>
      </c>
      <c r="N485" s="2" t="s">
        <v>185</v>
      </c>
      <c r="O485" s="2" t="s">
        <v>521</v>
      </c>
      <c r="P485" s="3">
        <v>46</v>
      </c>
      <c r="Q485" s="3">
        <v>46</v>
      </c>
      <c r="R485" s="4">
        <f t="shared" si="7"/>
        <v>92</v>
      </c>
      <c r="S485" s="2" t="s">
        <v>31</v>
      </c>
      <c r="T485" s="2"/>
    </row>
    <row r="486" spans="1:20" x14ac:dyDescent="0.3">
      <c r="A486" s="2" t="s">
        <v>585</v>
      </c>
      <c r="B486" s="2" t="s">
        <v>586</v>
      </c>
      <c r="C486" s="2" t="s">
        <v>511</v>
      </c>
      <c r="D486" s="2" t="s">
        <v>587</v>
      </c>
      <c r="E486" s="2" t="s">
        <v>513</v>
      </c>
      <c r="F486" s="2" t="s">
        <v>152</v>
      </c>
      <c r="G486" s="2" t="s">
        <v>159</v>
      </c>
      <c r="H486" s="2" t="s">
        <v>152</v>
      </c>
      <c r="I486" s="2" t="s">
        <v>522</v>
      </c>
      <c r="J486" s="2" t="s">
        <v>152</v>
      </c>
      <c r="K486" s="2" t="s">
        <v>38</v>
      </c>
      <c r="L486" s="2" t="s">
        <v>127</v>
      </c>
      <c r="M486" s="2" t="s">
        <v>188</v>
      </c>
      <c r="N486" s="2" t="s">
        <v>522</v>
      </c>
      <c r="O486" s="2" t="s">
        <v>523</v>
      </c>
      <c r="P486" s="3">
        <v>21</v>
      </c>
      <c r="Q486" s="3">
        <v>21</v>
      </c>
      <c r="R486" s="4">
        <f t="shared" si="7"/>
        <v>42</v>
      </c>
      <c r="S486" s="2" t="s">
        <v>31</v>
      </c>
      <c r="T486" s="2"/>
    </row>
    <row r="487" spans="1:20" x14ac:dyDescent="0.3">
      <c r="A487" s="2" t="s">
        <v>585</v>
      </c>
      <c r="B487" s="2" t="s">
        <v>586</v>
      </c>
      <c r="C487" s="2" t="s">
        <v>511</v>
      </c>
      <c r="D487" s="2" t="s">
        <v>587</v>
      </c>
      <c r="E487" s="2" t="s">
        <v>513</v>
      </c>
      <c r="F487" s="2" t="s">
        <v>152</v>
      </c>
      <c r="G487" s="2" t="s">
        <v>159</v>
      </c>
      <c r="H487" s="2" t="s">
        <v>152</v>
      </c>
      <c r="I487" s="2" t="s">
        <v>240</v>
      </c>
      <c r="J487" s="2" t="s">
        <v>152</v>
      </c>
      <c r="K487" s="2" t="s">
        <v>38</v>
      </c>
      <c r="L487" s="2" t="s">
        <v>127</v>
      </c>
      <c r="M487" s="2" t="s">
        <v>188</v>
      </c>
      <c r="N487" s="2" t="s">
        <v>240</v>
      </c>
      <c r="O487" s="2" t="s">
        <v>524</v>
      </c>
      <c r="P487" s="3">
        <v>18</v>
      </c>
      <c r="Q487" s="3">
        <v>18</v>
      </c>
      <c r="R487" s="4">
        <f t="shared" si="7"/>
        <v>36</v>
      </c>
      <c r="S487" s="2" t="s">
        <v>31</v>
      </c>
      <c r="T487" s="2"/>
    </row>
    <row r="488" spans="1:20" x14ac:dyDescent="0.3">
      <c r="A488" s="2" t="s">
        <v>585</v>
      </c>
      <c r="B488" s="2" t="s">
        <v>586</v>
      </c>
      <c r="C488" s="2" t="s">
        <v>511</v>
      </c>
      <c r="D488" s="2" t="s">
        <v>587</v>
      </c>
      <c r="E488" s="2" t="s">
        <v>513</v>
      </c>
      <c r="F488" s="2" t="s">
        <v>152</v>
      </c>
      <c r="G488" s="2" t="s">
        <v>159</v>
      </c>
      <c r="H488" s="2" t="s">
        <v>152</v>
      </c>
      <c r="I488" s="2" t="s">
        <v>525</v>
      </c>
      <c r="J488" s="2" t="s">
        <v>152</v>
      </c>
      <c r="K488" s="2" t="s">
        <v>38</v>
      </c>
      <c r="L488" s="2" t="s">
        <v>127</v>
      </c>
      <c r="M488" s="2" t="s">
        <v>186</v>
      </c>
      <c r="N488" s="2" t="s">
        <v>525</v>
      </c>
      <c r="O488" s="2" t="s">
        <v>526</v>
      </c>
      <c r="P488" s="3">
        <v>35</v>
      </c>
      <c r="Q488" s="3">
        <v>35</v>
      </c>
      <c r="R488" s="4">
        <f t="shared" si="7"/>
        <v>70</v>
      </c>
      <c r="S488" s="2" t="s">
        <v>31</v>
      </c>
      <c r="T488" s="2"/>
    </row>
    <row r="489" spans="1:20" x14ac:dyDescent="0.3">
      <c r="A489" s="2" t="s">
        <v>585</v>
      </c>
      <c r="B489" s="2" t="s">
        <v>586</v>
      </c>
      <c r="C489" s="2" t="s">
        <v>511</v>
      </c>
      <c r="D489" s="2" t="s">
        <v>587</v>
      </c>
      <c r="E489" s="2" t="s">
        <v>513</v>
      </c>
      <c r="F489" s="2" t="s">
        <v>152</v>
      </c>
      <c r="G489" s="2" t="s">
        <v>159</v>
      </c>
      <c r="H489" s="2" t="s">
        <v>152</v>
      </c>
      <c r="I489" s="2" t="s">
        <v>527</v>
      </c>
      <c r="J489" s="2" t="s">
        <v>152</v>
      </c>
      <c r="K489" s="2" t="s">
        <v>38</v>
      </c>
      <c r="L489" s="2" t="s">
        <v>127</v>
      </c>
      <c r="M489" s="2" t="s">
        <v>188</v>
      </c>
      <c r="N489" s="2" t="s">
        <v>527</v>
      </c>
      <c r="O489" s="2" t="s">
        <v>528</v>
      </c>
      <c r="P489" s="3">
        <v>10</v>
      </c>
      <c r="Q489" s="3">
        <v>10</v>
      </c>
      <c r="R489" s="4">
        <f t="shared" si="7"/>
        <v>20</v>
      </c>
      <c r="S489" s="2" t="s">
        <v>31</v>
      </c>
      <c r="T489" s="2"/>
    </row>
    <row r="490" spans="1:20" x14ac:dyDescent="0.3">
      <c r="A490" s="2" t="s">
        <v>585</v>
      </c>
      <c r="B490" s="2" t="s">
        <v>586</v>
      </c>
      <c r="C490" s="2" t="s">
        <v>511</v>
      </c>
      <c r="D490" s="2" t="s">
        <v>587</v>
      </c>
      <c r="E490" s="2" t="s">
        <v>513</v>
      </c>
      <c r="F490" s="2" t="s">
        <v>152</v>
      </c>
      <c r="G490" s="2" t="s">
        <v>159</v>
      </c>
      <c r="H490" s="2" t="s">
        <v>152</v>
      </c>
      <c r="I490" s="2" t="s">
        <v>529</v>
      </c>
      <c r="J490" s="2" t="s">
        <v>152</v>
      </c>
      <c r="K490" s="2" t="s">
        <v>38</v>
      </c>
      <c r="L490" s="2" t="s">
        <v>127</v>
      </c>
      <c r="M490" s="2" t="s">
        <v>188</v>
      </c>
      <c r="N490" s="2" t="s">
        <v>529</v>
      </c>
      <c r="O490" s="2" t="s">
        <v>530</v>
      </c>
      <c r="P490" s="3">
        <v>14</v>
      </c>
      <c r="Q490" s="3">
        <v>14</v>
      </c>
      <c r="R490" s="4">
        <f t="shared" si="7"/>
        <v>28</v>
      </c>
      <c r="S490" s="2" t="s">
        <v>31</v>
      </c>
      <c r="T490" s="2"/>
    </row>
    <row r="491" spans="1:20" x14ac:dyDescent="0.3">
      <c r="A491" s="2" t="s">
        <v>585</v>
      </c>
      <c r="B491" s="2" t="s">
        <v>586</v>
      </c>
      <c r="C491" s="2" t="s">
        <v>511</v>
      </c>
      <c r="D491" s="2" t="s">
        <v>587</v>
      </c>
      <c r="E491" s="2" t="s">
        <v>513</v>
      </c>
      <c r="F491" s="2" t="s">
        <v>152</v>
      </c>
      <c r="G491" s="2" t="s">
        <v>159</v>
      </c>
      <c r="H491" s="2" t="s">
        <v>152</v>
      </c>
      <c r="I491" s="2" t="s">
        <v>200</v>
      </c>
      <c r="J491" s="2" t="s">
        <v>152</v>
      </c>
      <c r="K491" s="2" t="s">
        <v>38</v>
      </c>
      <c r="L491" s="2" t="s">
        <v>127</v>
      </c>
      <c r="M491" s="2" t="s">
        <v>188</v>
      </c>
      <c r="N491" s="2" t="s">
        <v>200</v>
      </c>
      <c r="O491" s="2" t="s">
        <v>531</v>
      </c>
      <c r="P491" s="3">
        <v>9</v>
      </c>
      <c r="Q491" s="3">
        <v>9</v>
      </c>
      <c r="R491" s="4">
        <f t="shared" si="7"/>
        <v>18</v>
      </c>
      <c r="S491" s="2" t="s">
        <v>31</v>
      </c>
      <c r="T491" s="2"/>
    </row>
    <row r="492" spans="1:20" x14ac:dyDescent="0.3">
      <c r="A492" s="2" t="s">
        <v>585</v>
      </c>
      <c r="B492" s="2" t="s">
        <v>586</v>
      </c>
      <c r="C492" s="2" t="s">
        <v>511</v>
      </c>
      <c r="D492" s="2" t="s">
        <v>587</v>
      </c>
      <c r="E492" s="2" t="s">
        <v>513</v>
      </c>
      <c r="F492" s="2" t="s">
        <v>152</v>
      </c>
      <c r="G492" s="2" t="s">
        <v>159</v>
      </c>
      <c r="H492" s="2" t="s">
        <v>152</v>
      </c>
      <c r="I492" s="2" t="s">
        <v>532</v>
      </c>
      <c r="J492" s="2" t="s">
        <v>152</v>
      </c>
      <c r="K492" s="2" t="s">
        <v>38</v>
      </c>
      <c r="L492" s="2" t="s">
        <v>127</v>
      </c>
      <c r="M492" s="2" t="s">
        <v>188</v>
      </c>
      <c r="N492" s="2" t="s">
        <v>532</v>
      </c>
      <c r="O492" s="2" t="s">
        <v>533</v>
      </c>
      <c r="P492" s="3">
        <v>19</v>
      </c>
      <c r="Q492" s="3">
        <v>19</v>
      </c>
      <c r="R492" s="4">
        <f t="shared" si="7"/>
        <v>38</v>
      </c>
      <c r="S492" s="2" t="s">
        <v>31</v>
      </c>
      <c r="T492" s="2"/>
    </row>
    <row r="493" spans="1:20" x14ac:dyDescent="0.3">
      <c r="A493" s="2" t="s">
        <v>585</v>
      </c>
      <c r="B493" s="2" t="s">
        <v>586</v>
      </c>
      <c r="C493" s="2" t="s">
        <v>511</v>
      </c>
      <c r="D493" s="2" t="s">
        <v>587</v>
      </c>
      <c r="E493" s="2" t="s">
        <v>513</v>
      </c>
      <c r="F493" s="2" t="s">
        <v>152</v>
      </c>
      <c r="G493" s="2" t="s">
        <v>159</v>
      </c>
      <c r="H493" s="2" t="s">
        <v>152</v>
      </c>
      <c r="I493" s="2" t="s">
        <v>534</v>
      </c>
      <c r="J493" s="2" t="s">
        <v>152</v>
      </c>
      <c r="K493" s="2" t="s">
        <v>38</v>
      </c>
      <c r="L493" s="2" t="s">
        <v>127</v>
      </c>
      <c r="M493" s="2" t="s">
        <v>188</v>
      </c>
      <c r="N493" s="2" t="s">
        <v>534</v>
      </c>
      <c r="O493" s="2" t="s">
        <v>535</v>
      </c>
      <c r="P493" s="3">
        <v>21</v>
      </c>
      <c r="Q493" s="3">
        <v>21</v>
      </c>
      <c r="R493" s="4">
        <f t="shared" si="7"/>
        <v>42</v>
      </c>
      <c r="S493" s="2" t="s">
        <v>31</v>
      </c>
      <c r="T493" s="2"/>
    </row>
    <row r="494" spans="1:20" x14ac:dyDescent="0.3">
      <c r="A494" s="2" t="s">
        <v>585</v>
      </c>
      <c r="B494" s="2" t="s">
        <v>586</v>
      </c>
      <c r="C494" s="2" t="s">
        <v>511</v>
      </c>
      <c r="D494" s="2" t="s">
        <v>587</v>
      </c>
      <c r="E494" s="2" t="s">
        <v>513</v>
      </c>
      <c r="F494" s="2" t="s">
        <v>152</v>
      </c>
      <c r="G494" s="2" t="s">
        <v>159</v>
      </c>
      <c r="H494" s="2" t="s">
        <v>152</v>
      </c>
      <c r="I494" s="2" t="s">
        <v>536</v>
      </c>
      <c r="J494" s="2" t="s">
        <v>152</v>
      </c>
      <c r="K494" s="2" t="s">
        <v>38</v>
      </c>
      <c r="L494" s="2" t="s">
        <v>127</v>
      </c>
      <c r="M494" s="2" t="s">
        <v>188</v>
      </c>
      <c r="N494" s="2" t="s">
        <v>536</v>
      </c>
      <c r="O494" s="2" t="s">
        <v>537</v>
      </c>
      <c r="P494" s="3">
        <v>14</v>
      </c>
      <c r="Q494" s="3">
        <v>14</v>
      </c>
      <c r="R494" s="4">
        <f t="shared" si="7"/>
        <v>28</v>
      </c>
      <c r="S494" s="2" t="s">
        <v>31</v>
      </c>
      <c r="T494" s="2"/>
    </row>
    <row r="495" spans="1:20" x14ac:dyDescent="0.3">
      <c r="A495" s="2" t="s">
        <v>585</v>
      </c>
      <c r="B495" s="2" t="s">
        <v>586</v>
      </c>
      <c r="C495" s="2" t="s">
        <v>511</v>
      </c>
      <c r="D495" s="2" t="s">
        <v>587</v>
      </c>
      <c r="E495" s="2" t="s">
        <v>513</v>
      </c>
      <c r="F495" s="2" t="s">
        <v>152</v>
      </c>
      <c r="G495" s="2" t="s">
        <v>159</v>
      </c>
      <c r="H495" s="2" t="s">
        <v>152</v>
      </c>
      <c r="I495" s="2" t="s">
        <v>190</v>
      </c>
      <c r="J495" s="2" t="s">
        <v>152</v>
      </c>
      <c r="K495" s="2" t="s">
        <v>38</v>
      </c>
      <c r="L495" s="2" t="s">
        <v>127</v>
      </c>
      <c r="M495" s="2" t="s">
        <v>188</v>
      </c>
      <c r="N495" s="2" t="s">
        <v>190</v>
      </c>
      <c r="O495" s="2" t="s">
        <v>538</v>
      </c>
      <c r="P495" s="3">
        <v>11</v>
      </c>
      <c r="Q495" s="3">
        <v>11</v>
      </c>
      <c r="R495" s="4">
        <f t="shared" si="7"/>
        <v>22</v>
      </c>
      <c r="S495" s="2" t="s">
        <v>31</v>
      </c>
      <c r="T495" s="2"/>
    </row>
    <row r="496" spans="1:20" x14ac:dyDescent="0.3">
      <c r="A496" s="2" t="s">
        <v>585</v>
      </c>
      <c r="B496" s="2" t="s">
        <v>586</v>
      </c>
      <c r="C496" s="2" t="s">
        <v>511</v>
      </c>
      <c r="D496" s="2" t="s">
        <v>587</v>
      </c>
      <c r="E496" s="2" t="s">
        <v>513</v>
      </c>
      <c r="F496" s="2" t="s">
        <v>152</v>
      </c>
      <c r="G496" s="2" t="s">
        <v>159</v>
      </c>
      <c r="H496" s="2" t="s">
        <v>152</v>
      </c>
      <c r="I496" s="2" t="s">
        <v>221</v>
      </c>
      <c r="J496" s="2" t="s">
        <v>152</v>
      </c>
      <c r="K496" s="2" t="s">
        <v>38</v>
      </c>
      <c r="L496" s="2" t="s">
        <v>127</v>
      </c>
      <c r="M496" s="2" t="s">
        <v>188</v>
      </c>
      <c r="N496" s="2" t="s">
        <v>221</v>
      </c>
      <c r="O496" s="2" t="s">
        <v>539</v>
      </c>
      <c r="P496" s="3">
        <v>7</v>
      </c>
      <c r="Q496" s="3">
        <v>7</v>
      </c>
      <c r="R496" s="4">
        <f t="shared" si="7"/>
        <v>14</v>
      </c>
      <c r="S496" s="2" t="s">
        <v>31</v>
      </c>
      <c r="T496" s="2"/>
    </row>
    <row r="497" spans="1:20" x14ac:dyDescent="0.3">
      <c r="A497" s="2" t="s">
        <v>585</v>
      </c>
      <c r="B497" s="2" t="s">
        <v>586</v>
      </c>
      <c r="C497" s="2" t="s">
        <v>511</v>
      </c>
      <c r="D497" s="2" t="s">
        <v>587</v>
      </c>
      <c r="E497" s="2" t="s">
        <v>513</v>
      </c>
      <c r="F497" s="2" t="s">
        <v>152</v>
      </c>
      <c r="G497" s="2" t="s">
        <v>159</v>
      </c>
      <c r="H497" s="2" t="s">
        <v>152</v>
      </c>
      <c r="I497" s="2" t="s">
        <v>540</v>
      </c>
      <c r="J497" s="2" t="s">
        <v>152</v>
      </c>
      <c r="K497" s="2" t="s">
        <v>38</v>
      </c>
      <c r="L497" s="2" t="s">
        <v>127</v>
      </c>
      <c r="M497" s="2" t="s">
        <v>188</v>
      </c>
      <c r="N497" s="2" t="s">
        <v>540</v>
      </c>
      <c r="O497" s="2" t="s">
        <v>541</v>
      </c>
      <c r="P497" s="3">
        <v>7</v>
      </c>
      <c r="Q497" s="3">
        <v>7</v>
      </c>
      <c r="R497" s="4">
        <f t="shared" si="7"/>
        <v>14</v>
      </c>
      <c r="S497" s="2" t="s">
        <v>31</v>
      </c>
      <c r="T497" s="2"/>
    </row>
    <row r="498" spans="1:20" x14ac:dyDescent="0.3">
      <c r="A498" s="2" t="s">
        <v>585</v>
      </c>
      <c r="B498" s="2" t="s">
        <v>586</v>
      </c>
      <c r="C498" s="2" t="s">
        <v>511</v>
      </c>
      <c r="D498" s="2" t="s">
        <v>587</v>
      </c>
      <c r="E498" s="2" t="s">
        <v>513</v>
      </c>
      <c r="F498" s="2" t="s">
        <v>152</v>
      </c>
      <c r="G498" s="2" t="s">
        <v>159</v>
      </c>
      <c r="H498" s="2" t="s">
        <v>152</v>
      </c>
      <c r="I498" s="2" t="s">
        <v>542</v>
      </c>
      <c r="J498" s="2" t="s">
        <v>152</v>
      </c>
      <c r="K498" s="2" t="s">
        <v>38</v>
      </c>
      <c r="L498" s="2" t="s">
        <v>127</v>
      </c>
      <c r="M498" s="2" t="s">
        <v>188</v>
      </c>
      <c r="N498" s="2" t="s">
        <v>542</v>
      </c>
      <c r="O498" s="2" t="s">
        <v>543</v>
      </c>
      <c r="P498" s="3">
        <v>4</v>
      </c>
      <c r="Q498" s="3">
        <v>4</v>
      </c>
      <c r="R498" s="4">
        <f t="shared" si="7"/>
        <v>8</v>
      </c>
      <c r="S498" s="2" t="s">
        <v>31</v>
      </c>
      <c r="T498" s="2"/>
    </row>
    <row r="499" spans="1:20" x14ac:dyDescent="0.3">
      <c r="A499" s="2" t="s">
        <v>585</v>
      </c>
      <c r="B499" s="2" t="s">
        <v>586</v>
      </c>
      <c r="C499" s="2" t="s">
        <v>511</v>
      </c>
      <c r="D499" s="2" t="s">
        <v>587</v>
      </c>
      <c r="E499" s="2" t="s">
        <v>513</v>
      </c>
      <c r="F499" s="2" t="s">
        <v>152</v>
      </c>
      <c r="G499" s="2" t="s">
        <v>159</v>
      </c>
      <c r="H499" s="2" t="s">
        <v>152</v>
      </c>
      <c r="I499" s="2" t="s">
        <v>219</v>
      </c>
      <c r="J499" s="2" t="s">
        <v>152</v>
      </c>
      <c r="K499" s="2" t="s">
        <v>38</v>
      </c>
      <c r="L499" s="2" t="s">
        <v>127</v>
      </c>
      <c r="M499" s="2" t="s">
        <v>188</v>
      </c>
      <c r="N499" s="2" t="s">
        <v>219</v>
      </c>
      <c r="O499" s="2" t="s">
        <v>544</v>
      </c>
      <c r="P499" s="3">
        <v>14</v>
      </c>
      <c r="Q499" s="3">
        <v>14</v>
      </c>
      <c r="R499" s="4">
        <f t="shared" si="7"/>
        <v>28</v>
      </c>
      <c r="S499" s="2" t="s">
        <v>31</v>
      </c>
      <c r="T499" s="2"/>
    </row>
    <row r="500" spans="1:20" x14ac:dyDescent="0.3">
      <c r="A500" s="2" t="s">
        <v>585</v>
      </c>
      <c r="B500" s="2" t="s">
        <v>586</v>
      </c>
      <c r="C500" s="2" t="s">
        <v>511</v>
      </c>
      <c r="D500" s="2" t="s">
        <v>587</v>
      </c>
      <c r="E500" s="2" t="s">
        <v>513</v>
      </c>
      <c r="F500" s="2" t="s">
        <v>152</v>
      </c>
      <c r="G500" s="2" t="s">
        <v>159</v>
      </c>
      <c r="H500" s="2" t="s">
        <v>152</v>
      </c>
      <c r="I500" s="2" t="s">
        <v>172</v>
      </c>
      <c r="J500" s="2" t="s">
        <v>152</v>
      </c>
      <c r="K500" s="2" t="s">
        <v>38</v>
      </c>
      <c r="L500" s="2" t="s">
        <v>127</v>
      </c>
      <c r="M500" s="2" t="s">
        <v>188</v>
      </c>
      <c r="N500" s="2" t="s">
        <v>172</v>
      </c>
      <c r="O500" s="2" t="s">
        <v>545</v>
      </c>
      <c r="P500" s="3">
        <v>17</v>
      </c>
      <c r="Q500" s="3">
        <v>17</v>
      </c>
      <c r="R500" s="4">
        <f t="shared" si="7"/>
        <v>34</v>
      </c>
      <c r="S500" s="2" t="s">
        <v>31</v>
      </c>
      <c r="T500" s="2"/>
    </row>
    <row r="501" spans="1:20" x14ac:dyDescent="0.3">
      <c r="A501" s="2" t="s">
        <v>585</v>
      </c>
      <c r="B501" s="2" t="s">
        <v>586</v>
      </c>
      <c r="C501" s="2" t="s">
        <v>511</v>
      </c>
      <c r="D501" s="2" t="s">
        <v>587</v>
      </c>
      <c r="E501" s="2" t="s">
        <v>513</v>
      </c>
      <c r="F501" s="2" t="s">
        <v>152</v>
      </c>
      <c r="G501" s="2" t="s">
        <v>159</v>
      </c>
      <c r="H501" s="2" t="s">
        <v>152</v>
      </c>
      <c r="I501" s="2" t="s">
        <v>194</v>
      </c>
      <c r="J501" s="2" t="s">
        <v>152</v>
      </c>
      <c r="K501" s="2" t="s">
        <v>38</v>
      </c>
      <c r="L501" s="2" t="s">
        <v>127</v>
      </c>
      <c r="M501" s="2" t="s">
        <v>188</v>
      </c>
      <c r="N501" s="2" t="s">
        <v>194</v>
      </c>
      <c r="O501" s="2" t="s">
        <v>546</v>
      </c>
      <c r="P501" s="3">
        <v>9</v>
      </c>
      <c r="Q501" s="3">
        <v>9</v>
      </c>
      <c r="R501" s="4">
        <f t="shared" si="7"/>
        <v>18</v>
      </c>
      <c r="S501" s="2" t="s">
        <v>31</v>
      </c>
      <c r="T501" s="2"/>
    </row>
    <row r="502" spans="1:20" x14ac:dyDescent="0.3">
      <c r="A502" s="2" t="s">
        <v>585</v>
      </c>
      <c r="B502" s="2" t="s">
        <v>586</v>
      </c>
      <c r="C502" s="2" t="s">
        <v>511</v>
      </c>
      <c r="D502" s="2" t="s">
        <v>587</v>
      </c>
      <c r="E502" s="2" t="s">
        <v>513</v>
      </c>
      <c r="F502" s="2" t="s">
        <v>152</v>
      </c>
      <c r="G502" s="2" t="s">
        <v>159</v>
      </c>
      <c r="H502" s="2" t="s">
        <v>152</v>
      </c>
      <c r="I502" s="2" t="s">
        <v>547</v>
      </c>
      <c r="J502" s="2" t="s">
        <v>152</v>
      </c>
      <c r="K502" s="2" t="s">
        <v>38</v>
      </c>
      <c r="L502" s="2" t="s">
        <v>127</v>
      </c>
      <c r="M502" s="2" t="s">
        <v>188</v>
      </c>
      <c r="N502" s="2" t="s">
        <v>547</v>
      </c>
      <c r="O502" s="2" t="s">
        <v>548</v>
      </c>
      <c r="P502" s="3">
        <v>3</v>
      </c>
      <c r="Q502" s="3">
        <v>3</v>
      </c>
      <c r="R502" s="4">
        <f t="shared" si="7"/>
        <v>6</v>
      </c>
      <c r="S502" s="2" t="s">
        <v>31</v>
      </c>
      <c r="T502" s="2"/>
    </row>
    <row r="503" spans="1:20" x14ac:dyDescent="0.3">
      <c r="A503" s="2" t="s">
        <v>585</v>
      </c>
      <c r="B503" s="2" t="s">
        <v>586</v>
      </c>
      <c r="C503" s="2" t="s">
        <v>511</v>
      </c>
      <c r="D503" s="2" t="s">
        <v>587</v>
      </c>
      <c r="E503" s="2" t="s">
        <v>513</v>
      </c>
      <c r="F503" s="2" t="s">
        <v>152</v>
      </c>
      <c r="G503" s="2" t="s">
        <v>159</v>
      </c>
      <c r="H503" s="2" t="s">
        <v>152</v>
      </c>
      <c r="I503" s="2" t="s">
        <v>215</v>
      </c>
      <c r="J503" s="2" t="s">
        <v>152</v>
      </c>
      <c r="K503" s="2" t="s">
        <v>38</v>
      </c>
      <c r="L503" s="2" t="s">
        <v>127</v>
      </c>
      <c r="M503" s="2" t="s">
        <v>188</v>
      </c>
      <c r="N503" s="2" t="s">
        <v>215</v>
      </c>
      <c r="O503" s="2" t="s">
        <v>549</v>
      </c>
      <c r="P503" s="3">
        <v>5</v>
      </c>
      <c r="Q503" s="3">
        <v>5</v>
      </c>
      <c r="R503" s="4">
        <f t="shared" si="7"/>
        <v>10</v>
      </c>
      <c r="S503" s="2" t="s">
        <v>31</v>
      </c>
      <c r="T503" s="2"/>
    </row>
    <row r="504" spans="1:20" x14ac:dyDescent="0.3">
      <c r="A504" s="2" t="s">
        <v>585</v>
      </c>
      <c r="B504" s="2" t="s">
        <v>586</v>
      </c>
      <c r="C504" s="2" t="s">
        <v>511</v>
      </c>
      <c r="D504" s="2" t="s">
        <v>587</v>
      </c>
      <c r="E504" s="2" t="s">
        <v>513</v>
      </c>
      <c r="F504" s="2" t="s">
        <v>152</v>
      </c>
      <c r="G504" s="2" t="s">
        <v>159</v>
      </c>
      <c r="H504" s="2" t="s">
        <v>152</v>
      </c>
      <c r="I504" s="2" t="s">
        <v>550</v>
      </c>
      <c r="J504" s="2" t="s">
        <v>152</v>
      </c>
      <c r="K504" s="2" t="s">
        <v>38</v>
      </c>
      <c r="L504" s="2" t="s">
        <v>127</v>
      </c>
      <c r="M504" s="2" t="s">
        <v>550</v>
      </c>
      <c r="N504" s="2" t="s">
        <v>550</v>
      </c>
      <c r="O504" s="2" t="s">
        <v>551</v>
      </c>
      <c r="P504" s="3">
        <v>20</v>
      </c>
      <c r="Q504" s="3">
        <v>20</v>
      </c>
      <c r="R504" s="4">
        <f t="shared" si="7"/>
        <v>40</v>
      </c>
      <c r="S504" s="2" t="s">
        <v>31</v>
      </c>
      <c r="T504" s="2"/>
    </row>
    <row r="505" spans="1:20" x14ac:dyDescent="0.3">
      <c r="A505" s="2" t="s">
        <v>585</v>
      </c>
      <c r="B505" s="2" t="s">
        <v>586</v>
      </c>
      <c r="C505" s="2" t="s">
        <v>511</v>
      </c>
      <c r="D505" s="2" t="s">
        <v>587</v>
      </c>
      <c r="E505" s="2" t="s">
        <v>513</v>
      </c>
      <c r="F505" s="2" t="s">
        <v>152</v>
      </c>
      <c r="G505" s="2" t="s">
        <v>159</v>
      </c>
      <c r="H505" s="2" t="s">
        <v>152</v>
      </c>
      <c r="I505" s="2" t="s">
        <v>552</v>
      </c>
      <c r="J505" s="2" t="s">
        <v>152</v>
      </c>
      <c r="K505" s="2" t="s">
        <v>38</v>
      </c>
      <c r="L505" s="2" t="s">
        <v>127</v>
      </c>
      <c r="M505" s="2" t="s">
        <v>188</v>
      </c>
      <c r="N505" s="2" t="s">
        <v>552</v>
      </c>
      <c r="O505" s="2" t="s">
        <v>553</v>
      </c>
      <c r="P505" s="3">
        <v>6</v>
      </c>
      <c r="Q505" s="3">
        <v>6</v>
      </c>
      <c r="R505" s="4">
        <f t="shared" si="7"/>
        <v>12</v>
      </c>
      <c r="S505" s="2" t="s">
        <v>31</v>
      </c>
      <c r="T505" s="2"/>
    </row>
    <row r="506" spans="1:20" x14ac:dyDescent="0.3">
      <c r="A506" s="2" t="s">
        <v>585</v>
      </c>
      <c r="B506" s="2" t="s">
        <v>586</v>
      </c>
      <c r="C506" s="2" t="s">
        <v>511</v>
      </c>
      <c r="D506" s="2" t="s">
        <v>587</v>
      </c>
      <c r="E506" s="2" t="s">
        <v>513</v>
      </c>
      <c r="F506" s="2" t="s">
        <v>152</v>
      </c>
      <c r="G506" s="2" t="s">
        <v>159</v>
      </c>
      <c r="H506" s="2" t="s">
        <v>152</v>
      </c>
      <c r="I506" s="2" t="s">
        <v>497</v>
      </c>
      <c r="J506" s="2" t="s">
        <v>152</v>
      </c>
      <c r="K506" s="2" t="s">
        <v>38</v>
      </c>
      <c r="L506" s="2" t="s">
        <v>127</v>
      </c>
      <c r="M506" s="2" t="s">
        <v>225</v>
      </c>
      <c r="N506" s="2" t="s">
        <v>497</v>
      </c>
      <c r="O506" s="2" t="s">
        <v>554</v>
      </c>
      <c r="P506" s="3">
        <v>16</v>
      </c>
      <c r="Q506" s="3">
        <v>16</v>
      </c>
      <c r="R506" s="4">
        <f t="shared" si="7"/>
        <v>32</v>
      </c>
      <c r="S506" s="2" t="s">
        <v>31</v>
      </c>
      <c r="T506" s="2"/>
    </row>
    <row r="507" spans="1:20" x14ac:dyDescent="0.3">
      <c r="A507" s="2" t="s">
        <v>585</v>
      </c>
      <c r="B507" s="2" t="s">
        <v>586</v>
      </c>
      <c r="C507" s="2" t="s">
        <v>511</v>
      </c>
      <c r="D507" s="2" t="s">
        <v>587</v>
      </c>
      <c r="E507" s="2" t="s">
        <v>513</v>
      </c>
      <c r="F507" s="2" t="s">
        <v>152</v>
      </c>
      <c r="G507" s="2" t="s">
        <v>159</v>
      </c>
      <c r="H507" s="2" t="s">
        <v>152</v>
      </c>
      <c r="I507" s="2" t="s">
        <v>555</v>
      </c>
      <c r="J507" s="2" t="s">
        <v>152</v>
      </c>
      <c r="K507" s="2" t="s">
        <v>38</v>
      </c>
      <c r="L507" s="2" t="s">
        <v>127</v>
      </c>
      <c r="M507" s="2" t="s">
        <v>225</v>
      </c>
      <c r="N507" s="2" t="s">
        <v>555</v>
      </c>
      <c r="O507" s="2" t="s">
        <v>556</v>
      </c>
      <c r="P507" s="3">
        <v>16</v>
      </c>
      <c r="Q507" s="3">
        <v>16</v>
      </c>
      <c r="R507" s="4">
        <f t="shared" si="7"/>
        <v>32</v>
      </c>
      <c r="S507" s="2" t="s">
        <v>31</v>
      </c>
      <c r="T507" s="2"/>
    </row>
    <row r="508" spans="1:20" x14ac:dyDescent="0.3">
      <c r="A508" s="2" t="s">
        <v>585</v>
      </c>
      <c r="B508" s="2" t="s">
        <v>586</v>
      </c>
      <c r="C508" s="2" t="s">
        <v>511</v>
      </c>
      <c r="D508" s="2" t="s">
        <v>587</v>
      </c>
      <c r="E508" s="2" t="s">
        <v>513</v>
      </c>
      <c r="F508" s="2" t="s">
        <v>152</v>
      </c>
      <c r="G508" s="2" t="s">
        <v>159</v>
      </c>
      <c r="H508" s="2" t="s">
        <v>152</v>
      </c>
      <c r="I508" s="2" t="s">
        <v>292</v>
      </c>
      <c r="J508" s="2" t="s">
        <v>37</v>
      </c>
      <c r="K508" s="2" t="s">
        <v>38</v>
      </c>
      <c r="L508" s="2" t="s">
        <v>29</v>
      </c>
      <c r="M508" s="2"/>
      <c r="N508" s="2" t="s">
        <v>292</v>
      </c>
      <c r="O508" s="2" t="s">
        <v>293</v>
      </c>
      <c r="P508" s="3">
        <v>85</v>
      </c>
      <c r="Q508" s="3">
        <v>85</v>
      </c>
      <c r="R508" s="4">
        <f t="shared" si="7"/>
        <v>170</v>
      </c>
      <c r="S508" s="2" t="s">
        <v>31</v>
      </c>
      <c r="T508" s="2"/>
    </row>
    <row r="509" spans="1:20" x14ac:dyDescent="0.3">
      <c r="A509" s="2" t="s">
        <v>585</v>
      </c>
      <c r="B509" s="2" t="s">
        <v>586</v>
      </c>
      <c r="C509" s="2" t="s">
        <v>511</v>
      </c>
      <c r="D509" s="2" t="s">
        <v>587</v>
      </c>
      <c r="E509" s="2" t="s">
        <v>513</v>
      </c>
      <c r="F509" s="2" t="s">
        <v>152</v>
      </c>
      <c r="G509" s="2" t="s">
        <v>159</v>
      </c>
      <c r="H509" s="2" t="s">
        <v>152</v>
      </c>
      <c r="I509" s="2" t="s">
        <v>212</v>
      </c>
      <c r="J509" s="2" t="s">
        <v>37</v>
      </c>
      <c r="K509" s="2" t="s">
        <v>38</v>
      </c>
      <c r="L509" s="2" t="s">
        <v>29</v>
      </c>
      <c r="M509" s="2"/>
      <c r="N509" s="2" t="s">
        <v>212</v>
      </c>
      <c r="O509" s="2" t="s">
        <v>557</v>
      </c>
      <c r="P509" s="3">
        <v>85</v>
      </c>
      <c r="Q509" s="3">
        <v>85</v>
      </c>
      <c r="R509" s="4">
        <f t="shared" si="7"/>
        <v>170</v>
      </c>
      <c r="S509" s="2" t="s">
        <v>31</v>
      </c>
      <c r="T509" s="2"/>
    </row>
    <row r="510" spans="1:20" x14ac:dyDescent="0.3">
      <c r="A510" s="2" t="s">
        <v>585</v>
      </c>
      <c r="B510" s="2" t="s">
        <v>586</v>
      </c>
      <c r="C510" s="2" t="s">
        <v>511</v>
      </c>
      <c r="D510" s="2" t="s">
        <v>587</v>
      </c>
      <c r="E510" s="2" t="s">
        <v>513</v>
      </c>
      <c r="F510" s="2" t="s">
        <v>152</v>
      </c>
      <c r="G510" s="2" t="s">
        <v>159</v>
      </c>
      <c r="H510" s="2" t="s">
        <v>152</v>
      </c>
      <c r="I510" s="2" t="s">
        <v>204</v>
      </c>
      <c r="J510" s="2" t="s">
        <v>37</v>
      </c>
      <c r="K510" s="2" t="s">
        <v>38</v>
      </c>
      <c r="L510" s="2" t="s">
        <v>29</v>
      </c>
      <c r="M510" s="2"/>
      <c r="N510" s="2" t="s">
        <v>204</v>
      </c>
      <c r="O510" s="2" t="s">
        <v>558</v>
      </c>
      <c r="P510" s="3">
        <v>55</v>
      </c>
      <c r="Q510" s="3">
        <v>55</v>
      </c>
      <c r="R510" s="4">
        <f t="shared" si="7"/>
        <v>110</v>
      </c>
      <c r="S510" s="2" t="s">
        <v>31</v>
      </c>
      <c r="T510" s="2"/>
    </row>
    <row r="511" spans="1:20" x14ac:dyDescent="0.3">
      <c r="A511" s="2" t="s">
        <v>585</v>
      </c>
      <c r="B511" s="2" t="s">
        <v>586</v>
      </c>
      <c r="C511" s="2" t="s">
        <v>511</v>
      </c>
      <c r="D511" s="2" t="s">
        <v>587</v>
      </c>
      <c r="E511" s="2" t="s">
        <v>513</v>
      </c>
      <c r="F511" s="2" t="s">
        <v>152</v>
      </c>
      <c r="G511" s="2" t="s">
        <v>159</v>
      </c>
      <c r="H511" s="2" t="s">
        <v>152</v>
      </c>
      <c r="I511" s="2" t="s">
        <v>559</v>
      </c>
      <c r="J511" s="2" t="s">
        <v>37</v>
      </c>
      <c r="K511" s="2" t="s">
        <v>38</v>
      </c>
      <c r="L511" s="2" t="s">
        <v>29</v>
      </c>
      <c r="M511" s="2"/>
      <c r="N511" s="2" t="s">
        <v>559</v>
      </c>
      <c r="O511" s="2" t="s">
        <v>560</v>
      </c>
      <c r="P511" s="3">
        <v>24</v>
      </c>
      <c r="Q511" s="3">
        <v>24</v>
      </c>
      <c r="R511" s="4">
        <f t="shared" si="7"/>
        <v>48</v>
      </c>
      <c r="S511" s="2" t="s">
        <v>31</v>
      </c>
      <c r="T511" s="2"/>
    </row>
    <row r="512" spans="1:20" x14ac:dyDescent="0.3">
      <c r="A512" s="2" t="s">
        <v>585</v>
      </c>
      <c r="B512" s="2" t="s">
        <v>586</v>
      </c>
      <c r="C512" s="2" t="s">
        <v>511</v>
      </c>
      <c r="D512" s="2" t="s">
        <v>587</v>
      </c>
      <c r="E512" s="2" t="s">
        <v>513</v>
      </c>
      <c r="F512" s="2" t="s">
        <v>152</v>
      </c>
      <c r="G512" s="2" t="s">
        <v>159</v>
      </c>
      <c r="H512" s="2" t="s">
        <v>152</v>
      </c>
      <c r="I512" s="2" t="s">
        <v>561</v>
      </c>
      <c r="J512" s="2" t="s">
        <v>37</v>
      </c>
      <c r="K512" s="2" t="s">
        <v>38</v>
      </c>
      <c r="L512" s="2" t="s">
        <v>29</v>
      </c>
      <c r="M512" s="2"/>
      <c r="N512" s="2" t="s">
        <v>561</v>
      </c>
      <c r="O512" s="2" t="s">
        <v>562</v>
      </c>
      <c r="P512" s="3">
        <v>19</v>
      </c>
      <c r="Q512" s="3">
        <v>19</v>
      </c>
      <c r="R512" s="4">
        <f t="shared" si="7"/>
        <v>38</v>
      </c>
      <c r="S512" s="2" t="s">
        <v>31</v>
      </c>
      <c r="T512" s="2"/>
    </row>
    <row r="513" spans="1:20" x14ac:dyDescent="0.3">
      <c r="A513" s="2" t="s">
        <v>585</v>
      </c>
      <c r="B513" s="2" t="s">
        <v>586</v>
      </c>
      <c r="C513" s="2" t="s">
        <v>511</v>
      </c>
      <c r="D513" s="2" t="s">
        <v>587</v>
      </c>
      <c r="E513" s="2" t="s">
        <v>513</v>
      </c>
      <c r="F513" s="2" t="s">
        <v>152</v>
      </c>
      <c r="G513" s="2" t="s">
        <v>159</v>
      </c>
      <c r="H513" s="2" t="s">
        <v>152</v>
      </c>
      <c r="I513" s="2" t="s">
        <v>563</v>
      </c>
      <c r="J513" s="2" t="s">
        <v>152</v>
      </c>
      <c r="K513" s="2" t="s">
        <v>38</v>
      </c>
      <c r="L513" s="2" t="s">
        <v>127</v>
      </c>
      <c r="M513" s="2" t="s">
        <v>188</v>
      </c>
      <c r="N513" s="2" t="s">
        <v>563</v>
      </c>
      <c r="O513" s="2" t="s">
        <v>564</v>
      </c>
      <c r="P513" s="3">
        <v>13</v>
      </c>
      <c r="Q513" s="3">
        <v>13</v>
      </c>
      <c r="R513" s="4">
        <f t="shared" si="7"/>
        <v>26</v>
      </c>
      <c r="S513" s="2" t="s">
        <v>31</v>
      </c>
      <c r="T513" s="2"/>
    </row>
    <row r="514" spans="1:20" x14ac:dyDescent="0.3">
      <c r="A514" s="2" t="s">
        <v>585</v>
      </c>
      <c r="B514" s="2" t="s">
        <v>586</v>
      </c>
      <c r="C514" s="2" t="s">
        <v>511</v>
      </c>
      <c r="D514" s="2" t="s">
        <v>587</v>
      </c>
      <c r="E514" s="2" t="s">
        <v>513</v>
      </c>
      <c r="F514" s="2" t="s">
        <v>152</v>
      </c>
      <c r="G514" s="2" t="s">
        <v>159</v>
      </c>
      <c r="H514" s="2" t="s">
        <v>152</v>
      </c>
      <c r="I514" s="2" t="s">
        <v>565</v>
      </c>
      <c r="J514" s="2" t="s">
        <v>152</v>
      </c>
      <c r="K514" s="2" t="s">
        <v>38</v>
      </c>
      <c r="L514" s="2" t="s">
        <v>127</v>
      </c>
      <c r="M514" s="2" t="s">
        <v>188</v>
      </c>
      <c r="N514" s="2" t="s">
        <v>565</v>
      </c>
      <c r="O514" s="2" t="s">
        <v>566</v>
      </c>
      <c r="P514" s="3">
        <v>7</v>
      </c>
      <c r="Q514" s="3">
        <v>7</v>
      </c>
      <c r="R514" s="4">
        <f t="shared" ref="R514:R577" si="8">IF(P514="","",P514+Q514)</f>
        <v>14</v>
      </c>
      <c r="S514" s="2" t="s">
        <v>31</v>
      </c>
      <c r="T514" s="2"/>
    </row>
    <row r="515" spans="1:20" x14ac:dyDescent="0.3">
      <c r="A515" s="2" t="s">
        <v>585</v>
      </c>
      <c r="B515" s="2" t="s">
        <v>586</v>
      </c>
      <c r="C515" s="2" t="s">
        <v>511</v>
      </c>
      <c r="D515" s="2" t="s">
        <v>587</v>
      </c>
      <c r="E515" s="2" t="s">
        <v>513</v>
      </c>
      <c r="F515" s="2" t="s">
        <v>152</v>
      </c>
      <c r="G515" s="2" t="s">
        <v>159</v>
      </c>
      <c r="H515" s="2" t="s">
        <v>152</v>
      </c>
      <c r="I515" s="2" t="s">
        <v>567</v>
      </c>
      <c r="J515" s="2" t="s">
        <v>152</v>
      </c>
      <c r="K515" s="2" t="s">
        <v>38</v>
      </c>
      <c r="L515" s="2" t="s">
        <v>127</v>
      </c>
      <c r="M515" s="2" t="s">
        <v>188</v>
      </c>
      <c r="N515" s="2" t="s">
        <v>567</v>
      </c>
      <c r="O515" s="2" t="s">
        <v>568</v>
      </c>
      <c r="P515" s="3">
        <v>10</v>
      </c>
      <c r="Q515" s="3">
        <v>10</v>
      </c>
      <c r="R515" s="4">
        <f t="shared" si="8"/>
        <v>20</v>
      </c>
      <c r="S515" s="2" t="s">
        <v>31</v>
      </c>
      <c r="T515" s="2"/>
    </row>
    <row r="516" spans="1:20" x14ac:dyDescent="0.3">
      <c r="A516" s="2" t="s">
        <v>585</v>
      </c>
      <c r="B516" s="2" t="s">
        <v>586</v>
      </c>
      <c r="C516" s="2" t="s">
        <v>511</v>
      </c>
      <c r="D516" s="2" t="s">
        <v>587</v>
      </c>
      <c r="E516" s="2" t="s">
        <v>513</v>
      </c>
      <c r="F516" s="2" t="s">
        <v>152</v>
      </c>
      <c r="G516" s="2" t="s">
        <v>159</v>
      </c>
      <c r="H516" s="2" t="s">
        <v>152</v>
      </c>
      <c r="I516" s="2" t="s">
        <v>569</v>
      </c>
      <c r="J516" s="2" t="s">
        <v>152</v>
      </c>
      <c r="K516" s="2" t="s">
        <v>38</v>
      </c>
      <c r="L516" s="2" t="s">
        <v>127</v>
      </c>
      <c r="M516" s="2" t="s">
        <v>188</v>
      </c>
      <c r="N516" s="2" t="s">
        <v>569</v>
      </c>
      <c r="O516" s="2" t="s">
        <v>570</v>
      </c>
      <c r="P516" s="3">
        <v>8</v>
      </c>
      <c r="Q516" s="3">
        <v>8</v>
      </c>
      <c r="R516" s="4">
        <f t="shared" si="8"/>
        <v>16</v>
      </c>
      <c r="S516" s="2" t="s">
        <v>31</v>
      </c>
      <c r="T516" s="2"/>
    </row>
    <row r="517" spans="1:20" x14ac:dyDescent="0.3">
      <c r="A517" s="2" t="s">
        <v>585</v>
      </c>
      <c r="B517" s="2" t="s">
        <v>586</v>
      </c>
      <c r="C517" s="2" t="s">
        <v>511</v>
      </c>
      <c r="D517" s="2" t="s">
        <v>587</v>
      </c>
      <c r="E517" s="2" t="s">
        <v>513</v>
      </c>
      <c r="F517" s="2" t="s">
        <v>152</v>
      </c>
      <c r="G517" s="2" t="s">
        <v>159</v>
      </c>
      <c r="H517" s="2" t="s">
        <v>152</v>
      </c>
      <c r="I517" s="2" t="s">
        <v>571</v>
      </c>
      <c r="J517" s="2" t="s">
        <v>152</v>
      </c>
      <c r="K517" s="2" t="s">
        <v>38</v>
      </c>
      <c r="L517" s="2" t="s">
        <v>127</v>
      </c>
      <c r="M517" s="2" t="s">
        <v>272</v>
      </c>
      <c r="N517" s="2" t="s">
        <v>571</v>
      </c>
      <c r="O517" s="2" t="s">
        <v>572</v>
      </c>
      <c r="P517" s="3">
        <v>72</v>
      </c>
      <c r="Q517" s="3">
        <v>72</v>
      </c>
      <c r="R517" s="4">
        <f t="shared" si="8"/>
        <v>144</v>
      </c>
      <c r="S517" s="2" t="s">
        <v>31</v>
      </c>
      <c r="T517" s="2"/>
    </row>
    <row r="518" spans="1:20" x14ac:dyDescent="0.3">
      <c r="A518" s="2" t="s">
        <v>585</v>
      </c>
      <c r="B518" s="2" t="s">
        <v>586</v>
      </c>
      <c r="C518" s="2" t="s">
        <v>511</v>
      </c>
      <c r="D518" s="2" t="s">
        <v>587</v>
      </c>
      <c r="E518" s="2" t="s">
        <v>513</v>
      </c>
      <c r="F518" s="2" t="s">
        <v>152</v>
      </c>
      <c r="G518" s="2" t="s">
        <v>159</v>
      </c>
      <c r="H518" s="2" t="s">
        <v>152</v>
      </c>
      <c r="I518" s="2" t="s">
        <v>573</v>
      </c>
      <c r="J518" s="2" t="s">
        <v>152</v>
      </c>
      <c r="K518" s="2" t="s">
        <v>38</v>
      </c>
      <c r="L518" s="2" t="s">
        <v>127</v>
      </c>
      <c r="M518" s="2" t="s">
        <v>574</v>
      </c>
      <c r="N518" s="2" t="s">
        <v>573</v>
      </c>
      <c r="O518" s="2" t="s">
        <v>575</v>
      </c>
      <c r="P518" s="3">
        <v>30</v>
      </c>
      <c r="Q518" s="3">
        <v>30</v>
      </c>
      <c r="R518" s="4">
        <f t="shared" si="8"/>
        <v>60</v>
      </c>
      <c r="S518" s="2" t="s">
        <v>31</v>
      </c>
      <c r="T518" s="2"/>
    </row>
    <row r="519" spans="1:20" x14ac:dyDescent="0.3">
      <c r="A519" s="2" t="s">
        <v>585</v>
      </c>
      <c r="B519" s="2" t="s">
        <v>586</v>
      </c>
      <c r="C519" s="2" t="s">
        <v>511</v>
      </c>
      <c r="D519" s="2" t="s">
        <v>587</v>
      </c>
      <c r="E519" s="2" t="s">
        <v>513</v>
      </c>
      <c r="F519" s="2" t="s">
        <v>152</v>
      </c>
      <c r="G519" s="2" t="s">
        <v>159</v>
      </c>
      <c r="H519" s="2" t="s">
        <v>152</v>
      </c>
      <c r="I519" s="2" t="s">
        <v>224</v>
      </c>
      <c r="J519" s="2" t="s">
        <v>152</v>
      </c>
      <c r="K519" s="2" t="s">
        <v>38</v>
      </c>
      <c r="L519" s="2" t="s">
        <v>127</v>
      </c>
      <c r="M519" s="2" t="s">
        <v>225</v>
      </c>
      <c r="N519" s="2" t="s">
        <v>224</v>
      </c>
      <c r="O519" s="2" t="s">
        <v>576</v>
      </c>
      <c r="P519" s="3">
        <v>21</v>
      </c>
      <c r="Q519" s="3">
        <v>21</v>
      </c>
      <c r="R519" s="4">
        <f t="shared" si="8"/>
        <v>42</v>
      </c>
      <c r="S519" s="2" t="s">
        <v>31</v>
      </c>
      <c r="T519" s="2"/>
    </row>
    <row r="520" spans="1:20" x14ac:dyDescent="0.3">
      <c r="A520" s="2" t="s">
        <v>585</v>
      </c>
      <c r="B520" s="2" t="s">
        <v>586</v>
      </c>
      <c r="C520" s="2" t="s">
        <v>511</v>
      </c>
      <c r="D520" s="2" t="s">
        <v>587</v>
      </c>
      <c r="E520" s="2" t="s">
        <v>513</v>
      </c>
      <c r="F520" s="2" t="s">
        <v>152</v>
      </c>
      <c r="G520" s="2" t="s">
        <v>159</v>
      </c>
      <c r="H520" s="2" t="s">
        <v>152</v>
      </c>
      <c r="I520" s="2" t="s">
        <v>577</v>
      </c>
      <c r="J520" s="2" t="s">
        <v>152</v>
      </c>
      <c r="K520" s="2" t="s">
        <v>38</v>
      </c>
      <c r="L520" s="2" t="s">
        <v>127</v>
      </c>
      <c r="M520" s="2" t="s">
        <v>225</v>
      </c>
      <c r="N520" s="2" t="s">
        <v>577</v>
      </c>
      <c r="O520" s="2" t="s">
        <v>578</v>
      </c>
      <c r="P520" s="3">
        <v>20</v>
      </c>
      <c r="Q520" s="3">
        <v>20</v>
      </c>
      <c r="R520" s="4">
        <f t="shared" si="8"/>
        <v>40</v>
      </c>
      <c r="S520" s="2" t="s">
        <v>31</v>
      </c>
      <c r="T520" s="2"/>
    </row>
    <row r="521" spans="1:20" x14ac:dyDescent="0.3">
      <c r="A521" s="2" t="s">
        <v>585</v>
      </c>
      <c r="B521" s="2" t="s">
        <v>586</v>
      </c>
      <c r="C521" s="2" t="s">
        <v>511</v>
      </c>
      <c r="D521" s="2" t="s">
        <v>587</v>
      </c>
      <c r="E521" s="2" t="s">
        <v>513</v>
      </c>
      <c r="F521" s="2" t="s">
        <v>152</v>
      </c>
      <c r="G521" s="2" t="s">
        <v>159</v>
      </c>
      <c r="H521" s="2" t="s">
        <v>152</v>
      </c>
      <c r="I521" s="2" t="s">
        <v>579</v>
      </c>
      <c r="J521" s="2" t="s">
        <v>152</v>
      </c>
      <c r="K521" s="2" t="s">
        <v>38</v>
      </c>
      <c r="L521" s="2" t="s">
        <v>127</v>
      </c>
      <c r="M521" s="2" t="s">
        <v>225</v>
      </c>
      <c r="N521" s="2" t="s">
        <v>579</v>
      </c>
      <c r="O521" s="2" t="s">
        <v>580</v>
      </c>
      <c r="P521" s="3">
        <v>21</v>
      </c>
      <c r="Q521" s="3">
        <v>21</v>
      </c>
      <c r="R521" s="4">
        <f t="shared" si="8"/>
        <v>42</v>
      </c>
      <c r="S521" s="2" t="s">
        <v>31</v>
      </c>
      <c r="T521" s="2"/>
    </row>
    <row r="522" spans="1:20" x14ac:dyDescent="0.3">
      <c r="A522" s="2" t="s">
        <v>585</v>
      </c>
      <c r="B522" s="2" t="s">
        <v>586</v>
      </c>
      <c r="C522" s="2" t="s">
        <v>511</v>
      </c>
      <c r="D522" s="2" t="s">
        <v>587</v>
      </c>
      <c r="E522" s="2" t="s">
        <v>513</v>
      </c>
      <c r="F522" s="2" t="s">
        <v>152</v>
      </c>
      <c r="G522" s="2" t="s">
        <v>159</v>
      </c>
      <c r="H522" s="2" t="s">
        <v>152</v>
      </c>
      <c r="I522" s="2" t="s">
        <v>25</v>
      </c>
      <c r="J522" s="2" t="s">
        <v>26</v>
      </c>
      <c r="K522" s="2" t="s">
        <v>38</v>
      </c>
      <c r="L522" s="2" t="s">
        <v>29</v>
      </c>
      <c r="M522" s="2"/>
      <c r="N522" s="2" t="s">
        <v>25</v>
      </c>
      <c r="O522" s="2" t="s">
        <v>165</v>
      </c>
      <c r="P522" s="3">
        <v>124</v>
      </c>
      <c r="Q522" s="3">
        <v>124</v>
      </c>
      <c r="R522" s="4">
        <f t="shared" si="8"/>
        <v>248</v>
      </c>
      <c r="S522" s="2" t="s">
        <v>40</v>
      </c>
      <c r="T522" s="2"/>
    </row>
    <row r="523" spans="1:20" x14ac:dyDescent="0.3">
      <c r="A523" s="2" t="s">
        <v>585</v>
      </c>
      <c r="B523" s="2" t="s">
        <v>586</v>
      </c>
      <c r="C523" s="2" t="s">
        <v>511</v>
      </c>
      <c r="D523" s="2" t="s">
        <v>587</v>
      </c>
      <c r="E523" s="2" t="s">
        <v>513</v>
      </c>
      <c r="F523" s="2" t="s">
        <v>152</v>
      </c>
      <c r="G523" s="2" t="s">
        <v>159</v>
      </c>
      <c r="H523" s="2" t="s">
        <v>152</v>
      </c>
      <c r="I523" s="2" t="s">
        <v>581</v>
      </c>
      <c r="J523" s="2" t="s">
        <v>132</v>
      </c>
      <c r="K523" s="2" t="s">
        <v>133</v>
      </c>
      <c r="L523" s="2" t="s">
        <v>29</v>
      </c>
      <c r="M523" s="2"/>
      <c r="N523" s="2" t="s">
        <v>246</v>
      </c>
      <c r="O523" s="2" t="s">
        <v>294</v>
      </c>
      <c r="P523" s="3">
        <v>303</v>
      </c>
      <c r="Q523" s="3">
        <v>303</v>
      </c>
      <c r="R523" s="4">
        <f t="shared" si="8"/>
        <v>606</v>
      </c>
      <c r="S523" s="2" t="s">
        <v>31</v>
      </c>
      <c r="T523" s="2"/>
    </row>
    <row r="524" spans="1:20" x14ac:dyDescent="0.3">
      <c r="A524" s="2" t="s">
        <v>585</v>
      </c>
      <c r="B524" s="2" t="s">
        <v>586</v>
      </c>
      <c r="C524" s="2" t="s">
        <v>511</v>
      </c>
      <c r="D524" s="2" t="s">
        <v>587</v>
      </c>
      <c r="E524" s="2" t="s">
        <v>513</v>
      </c>
      <c r="F524" s="2" t="s">
        <v>152</v>
      </c>
      <c r="G524" s="2" t="s">
        <v>159</v>
      </c>
      <c r="H524" s="2" t="s">
        <v>152</v>
      </c>
      <c r="I524" s="2" t="s">
        <v>582</v>
      </c>
      <c r="J524" s="2" t="s">
        <v>140</v>
      </c>
      <c r="K524" s="2" t="s">
        <v>133</v>
      </c>
      <c r="L524" s="2" t="s">
        <v>29</v>
      </c>
      <c r="M524" s="2"/>
      <c r="N524" s="2" t="s">
        <v>344</v>
      </c>
      <c r="O524" s="2" t="s">
        <v>583</v>
      </c>
      <c r="P524" s="3">
        <v>463</v>
      </c>
      <c r="Q524" s="3">
        <v>463</v>
      </c>
      <c r="R524" s="4">
        <f t="shared" si="8"/>
        <v>926</v>
      </c>
      <c r="S524" s="2" t="s">
        <v>31</v>
      </c>
      <c r="T524" s="2"/>
    </row>
    <row r="525" spans="1:20" x14ac:dyDescent="0.3">
      <c r="A525" s="2" t="s">
        <v>585</v>
      </c>
      <c r="B525" s="2" t="s">
        <v>586</v>
      </c>
      <c r="C525" s="2" t="s">
        <v>511</v>
      </c>
      <c r="D525" s="2" t="s">
        <v>587</v>
      </c>
      <c r="E525" s="2" t="s">
        <v>513</v>
      </c>
      <c r="F525" s="2" t="s">
        <v>152</v>
      </c>
      <c r="G525" s="2" t="s">
        <v>159</v>
      </c>
      <c r="H525" s="2" t="s">
        <v>152</v>
      </c>
      <c r="I525" s="2" t="s">
        <v>192</v>
      </c>
      <c r="J525" s="2" t="s">
        <v>37</v>
      </c>
      <c r="K525" s="2" t="s">
        <v>38</v>
      </c>
      <c r="L525" s="2" t="s">
        <v>29</v>
      </c>
      <c r="M525" s="2"/>
      <c r="N525" s="2" t="s">
        <v>192</v>
      </c>
      <c r="O525" s="2" t="s">
        <v>514</v>
      </c>
      <c r="P525" s="3">
        <v>31</v>
      </c>
      <c r="Q525" s="3">
        <v>31</v>
      </c>
      <c r="R525" s="4">
        <f t="shared" si="8"/>
        <v>62</v>
      </c>
      <c r="S525" s="2" t="s">
        <v>31</v>
      </c>
      <c r="T525" s="2"/>
    </row>
    <row r="526" spans="1:20" x14ac:dyDescent="0.3">
      <c r="A526" s="2" t="s">
        <v>585</v>
      </c>
      <c r="B526" s="2" t="s">
        <v>586</v>
      </c>
      <c r="C526" s="2" t="s">
        <v>511</v>
      </c>
      <c r="D526" s="2" t="s">
        <v>587</v>
      </c>
      <c r="E526" s="2" t="s">
        <v>513</v>
      </c>
      <c r="F526" s="2" t="s">
        <v>152</v>
      </c>
      <c r="G526" s="2" t="s">
        <v>159</v>
      </c>
      <c r="H526" s="2" t="s">
        <v>152</v>
      </c>
      <c r="I526" s="2" t="s">
        <v>292</v>
      </c>
      <c r="J526" s="2" t="s">
        <v>37</v>
      </c>
      <c r="K526" s="2" t="s">
        <v>38</v>
      </c>
      <c r="L526" s="2" t="s">
        <v>29</v>
      </c>
      <c r="M526" s="2"/>
      <c r="N526" s="2" t="s">
        <v>292</v>
      </c>
      <c r="O526" s="2" t="s">
        <v>293</v>
      </c>
      <c r="P526" s="3">
        <v>85</v>
      </c>
      <c r="Q526" s="3">
        <v>85</v>
      </c>
      <c r="R526" s="4">
        <f t="shared" si="8"/>
        <v>170</v>
      </c>
      <c r="S526" s="2" t="s">
        <v>31</v>
      </c>
      <c r="T526" s="2"/>
    </row>
    <row r="527" spans="1:20" x14ac:dyDescent="0.3">
      <c r="A527" s="2" t="s">
        <v>585</v>
      </c>
      <c r="B527" s="2" t="s">
        <v>586</v>
      </c>
      <c r="C527" s="2" t="s">
        <v>511</v>
      </c>
      <c r="D527" s="2" t="s">
        <v>587</v>
      </c>
      <c r="E527" s="2" t="s">
        <v>513</v>
      </c>
      <c r="F527" s="2" t="s">
        <v>152</v>
      </c>
      <c r="G527" s="2" t="s">
        <v>159</v>
      </c>
      <c r="H527" s="2" t="s">
        <v>152</v>
      </c>
      <c r="I527" s="2" t="s">
        <v>212</v>
      </c>
      <c r="J527" s="2" t="s">
        <v>37</v>
      </c>
      <c r="K527" s="2" t="s">
        <v>38</v>
      </c>
      <c r="L527" s="2" t="s">
        <v>29</v>
      </c>
      <c r="M527" s="2"/>
      <c r="N527" s="2" t="s">
        <v>212</v>
      </c>
      <c r="O527" s="2" t="s">
        <v>557</v>
      </c>
      <c r="P527" s="3">
        <v>85</v>
      </c>
      <c r="Q527" s="3">
        <v>85</v>
      </c>
      <c r="R527" s="4">
        <f t="shared" si="8"/>
        <v>170</v>
      </c>
      <c r="S527" s="2" t="s">
        <v>31</v>
      </c>
      <c r="T527" s="2"/>
    </row>
    <row r="528" spans="1:20" x14ac:dyDescent="0.3">
      <c r="A528" s="2" t="s">
        <v>585</v>
      </c>
      <c r="B528" s="2" t="s">
        <v>586</v>
      </c>
      <c r="C528" s="2" t="s">
        <v>511</v>
      </c>
      <c r="D528" s="2" t="s">
        <v>587</v>
      </c>
      <c r="E528" s="2" t="s">
        <v>513</v>
      </c>
      <c r="F528" s="2" t="s">
        <v>152</v>
      </c>
      <c r="G528" s="2" t="s">
        <v>159</v>
      </c>
      <c r="H528" s="2" t="s">
        <v>152</v>
      </c>
      <c r="I528" s="2" t="s">
        <v>204</v>
      </c>
      <c r="J528" s="2" t="s">
        <v>37</v>
      </c>
      <c r="K528" s="2" t="s">
        <v>38</v>
      </c>
      <c r="L528" s="2" t="s">
        <v>29</v>
      </c>
      <c r="M528" s="2"/>
      <c r="N528" s="2" t="s">
        <v>204</v>
      </c>
      <c r="O528" s="2" t="s">
        <v>558</v>
      </c>
      <c r="P528" s="3">
        <v>55</v>
      </c>
      <c r="Q528" s="3">
        <v>55</v>
      </c>
      <c r="R528" s="4">
        <f t="shared" si="8"/>
        <v>110</v>
      </c>
      <c r="S528" s="2" t="s">
        <v>31</v>
      </c>
      <c r="T528" s="2"/>
    </row>
    <row r="529" spans="1:20" x14ac:dyDescent="0.3">
      <c r="A529" s="2" t="s">
        <v>585</v>
      </c>
      <c r="B529" s="2" t="s">
        <v>586</v>
      </c>
      <c r="C529" s="2" t="s">
        <v>511</v>
      </c>
      <c r="D529" s="2" t="s">
        <v>587</v>
      </c>
      <c r="E529" s="2" t="s">
        <v>513</v>
      </c>
      <c r="F529" s="2" t="s">
        <v>152</v>
      </c>
      <c r="G529" s="2" t="s">
        <v>159</v>
      </c>
      <c r="H529" s="2" t="s">
        <v>152</v>
      </c>
      <c r="I529" s="2" t="s">
        <v>25</v>
      </c>
      <c r="J529" s="2" t="s">
        <v>26</v>
      </c>
      <c r="K529" s="2" t="s">
        <v>38</v>
      </c>
      <c r="L529" s="2" t="s">
        <v>29</v>
      </c>
      <c r="M529" s="2"/>
      <c r="N529" s="2" t="s">
        <v>25</v>
      </c>
      <c r="O529" s="2" t="s">
        <v>165</v>
      </c>
      <c r="P529" s="3">
        <v>124</v>
      </c>
      <c r="Q529" s="3">
        <v>124</v>
      </c>
      <c r="R529" s="4">
        <f t="shared" si="8"/>
        <v>248</v>
      </c>
      <c r="S529" s="2" t="s">
        <v>40</v>
      </c>
      <c r="T529" s="2"/>
    </row>
    <row r="530" spans="1:20" x14ac:dyDescent="0.3">
      <c r="A530" s="2" t="s">
        <v>585</v>
      </c>
      <c r="B530" s="2" t="s">
        <v>586</v>
      </c>
      <c r="C530" s="2" t="s">
        <v>511</v>
      </c>
      <c r="D530" s="2" t="s">
        <v>587</v>
      </c>
      <c r="E530" s="2" t="s">
        <v>513</v>
      </c>
      <c r="F530" s="2" t="s">
        <v>152</v>
      </c>
      <c r="G530" s="2" t="s">
        <v>159</v>
      </c>
      <c r="H530" s="2" t="s">
        <v>152</v>
      </c>
      <c r="I530" s="2" t="s">
        <v>278</v>
      </c>
      <c r="J530" s="2" t="s">
        <v>277</v>
      </c>
      <c r="K530" s="2" t="s">
        <v>38</v>
      </c>
      <c r="L530" s="2" t="s">
        <v>29</v>
      </c>
      <c r="M530" s="2"/>
      <c r="N530" s="2" t="s">
        <v>278</v>
      </c>
      <c r="O530" s="2" t="s">
        <v>279</v>
      </c>
      <c r="P530" s="3">
        <v>305</v>
      </c>
      <c r="Q530" s="3">
        <v>305</v>
      </c>
      <c r="R530" s="4">
        <f t="shared" si="8"/>
        <v>610</v>
      </c>
      <c r="S530" s="2" t="s">
        <v>31</v>
      </c>
      <c r="T530" s="2"/>
    </row>
    <row r="531" spans="1:20" x14ac:dyDescent="0.3">
      <c r="A531" s="2" t="s">
        <v>585</v>
      </c>
      <c r="B531" s="2" t="s">
        <v>586</v>
      </c>
      <c r="C531" s="2" t="s">
        <v>511</v>
      </c>
      <c r="D531" s="2" t="s">
        <v>587</v>
      </c>
      <c r="E531" s="2" t="s">
        <v>513</v>
      </c>
      <c r="F531" s="2" t="s">
        <v>152</v>
      </c>
      <c r="G531" s="2" t="s">
        <v>159</v>
      </c>
      <c r="H531" s="2" t="s">
        <v>152</v>
      </c>
      <c r="I531" s="2" t="s">
        <v>282</v>
      </c>
      <c r="J531" s="2" t="s">
        <v>281</v>
      </c>
      <c r="K531" s="2" t="s">
        <v>38</v>
      </c>
      <c r="L531" s="2" t="s">
        <v>29</v>
      </c>
      <c r="M531" s="2"/>
      <c r="N531" s="2" t="s">
        <v>282</v>
      </c>
      <c r="O531" s="2" t="s">
        <v>283</v>
      </c>
      <c r="P531" s="3">
        <v>278</v>
      </c>
      <c r="Q531" s="3">
        <v>278</v>
      </c>
      <c r="R531" s="4">
        <f t="shared" si="8"/>
        <v>556</v>
      </c>
      <c r="S531" s="2" t="s">
        <v>31</v>
      </c>
      <c r="T531" s="2"/>
    </row>
    <row r="532" spans="1:20" x14ac:dyDescent="0.3">
      <c r="A532" s="2" t="s">
        <v>585</v>
      </c>
      <c r="B532" s="2" t="s">
        <v>586</v>
      </c>
      <c r="C532" s="2" t="s">
        <v>511</v>
      </c>
      <c r="D532" s="2" t="s">
        <v>587</v>
      </c>
      <c r="E532" s="2" t="s">
        <v>513</v>
      </c>
      <c r="F532" s="2" t="s">
        <v>152</v>
      </c>
      <c r="G532" s="2" t="s">
        <v>159</v>
      </c>
      <c r="H532" s="2" t="s">
        <v>152</v>
      </c>
      <c r="I532" s="2" t="s">
        <v>229</v>
      </c>
      <c r="J532" s="2" t="s">
        <v>230</v>
      </c>
      <c r="K532" s="2" t="s">
        <v>45</v>
      </c>
      <c r="L532" s="2" t="s">
        <v>29</v>
      </c>
      <c r="M532" s="2"/>
      <c r="N532" s="2" t="s">
        <v>229</v>
      </c>
      <c r="O532" s="2" t="s">
        <v>289</v>
      </c>
      <c r="P532" s="3">
        <v>351</v>
      </c>
      <c r="Q532" s="3">
        <v>351</v>
      </c>
      <c r="R532" s="4">
        <f t="shared" si="8"/>
        <v>702</v>
      </c>
      <c r="S532" s="2" t="s">
        <v>31</v>
      </c>
      <c r="T532" s="2"/>
    </row>
    <row r="533" spans="1:20" x14ac:dyDescent="0.3">
      <c r="A533" s="2" t="s">
        <v>585</v>
      </c>
      <c r="B533" s="2" t="s">
        <v>586</v>
      </c>
      <c r="C533" s="2" t="s">
        <v>511</v>
      </c>
      <c r="D533" s="2" t="s">
        <v>587</v>
      </c>
      <c r="E533" s="2" t="s">
        <v>513</v>
      </c>
      <c r="F533" s="2" t="s">
        <v>152</v>
      </c>
      <c r="G533" s="2" t="s">
        <v>159</v>
      </c>
      <c r="H533" s="2" t="s">
        <v>152</v>
      </c>
      <c r="I533" s="2" t="s">
        <v>584</v>
      </c>
      <c r="J533" s="2" t="s">
        <v>44</v>
      </c>
      <c r="K533" s="2" t="s">
        <v>45</v>
      </c>
      <c r="L533" s="2" t="s">
        <v>29</v>
      </c>
      <c r="M533" s="2"/>
      <c r="N533" s="2" t="s">
        <v>43</v>
      </c>
      <c r="O533" s="2" t="s">
        <v>163</v>
      </c>
      <c r="P533" s="3">
        <v>740</v>
      </c>
      <c r="Q533" s="3">
        <v>740</v>
      </c>
      <c r="R533" s="4">
        <f t="shared" si="8"/>
        <v>1480</v>
      </c>
      <c r="S533" s="2" t="s">
        <v>40</v>
      </c>
      <c r="T533" s="2"/>
    </row>
    <row r="534" spans="1:20" x14ac:dyDescent="0.3">
      <c r="A534" s="2" t="s">
        <v>588</v>
      </c>
      <c r="B534" s="2" t="s">
        <v>589</v>
      </c>
      <c r="C534" s="2" t="s">
        <v>590</v>
      </c>
      <c r="D534" s="2" t="s">
        <v>591</v>
      </c>
      <c r="E534" s="2" t="s">
        <v>168</v>
      </c>
      <c r="F534" s="2" t="s">
        <v>160</v>
      </c>
      <c r="G534" s="2" t="s">
        <v>160</v>
      </c>
      <c r="H534" s="2" t="s">
        <v>161</v>
      </c>
      <c r="I534" s="2" t="s">
        <v>592</v>
      </c>
      <c r="J534" s="2" t="s">
        <v>236</v>
      </c>
      <c r="K534" s="2" t="s">
        <v>133</v>
      </c>
      <c r="L534" s="2" t="s">
        <v>29</v>
      </c>
      <c r="M534" s="2"/>
      <c r="N534" s="2" t="s">
        <v>592</v>
      </c>
      <c r="O534" s="2" t="s">
        <v>593</v>
      </c>
      <c r="P534" s="3">
        <v>412</v>
      </c>
      <c r="Q534" s="3">
        <v>412</v>
      </c>
      <c r="R534" s="4">
        <f t="shared" si="8"/>
        <v>824</v>
      </c>
      <c r="S534" s="2" t="s">
        <v>31</v>
      </c>
      <c r="T534" s="2" t="s">
        <v>594</v>
      </c>
    </row>
    <row r="535" spans="1:20" x14ac:dyDescent="0.3">
      <c r="A535" s="2" t="s">
        <v>588</v>
      </c>
      <c r="B535" s="2" t="s">
        <v>589</v>
      </c>
      <c r="C535" s="2" t="s">
        <v>590</v>
      </c>
      <c r="D535" s="2" t="s">
        <v>591</v>
      </c>
      <c r="E535" s="2" t="s">
        <v>168</v>
      </c>
      <c r="F535" s="2" t="s">
        <v>160</v>
      </c>
      <c r="G535" s="2" t="s">
        <v>160</v>
      </c>
      <c r="H535" s="2" t="s">
        <v>161</v>
      </c>
      <c r="I535" s="2" t="s">
        <v>81</v>
      </c>
      <c r="J535" s="2" t="s">
        <v>82</v>
      </c>
      <c r="K535" s="2" t="s">
        <v>45</v>
      </c>
      <c r="L535" s="2" t="s">
        <v>29</v>
      </c>
      <c r="M535" s="2"/>
      <c r="N535" s="2" t="s">
        <v>81</v>
      </c>
      <c r="O535" s="2" t="s">
        <v>595</v>
      </c>
      <c r="P535" s="3">
        <v>483</v>
      </c>
      <c r="Q535" s="3">
        <v>483</v>
      </c>
      <c r="R535" s="4">
        <f t="shared" si="8"/>
        <v>966</v>
      </c>
      <c r="S535" s="2" t="s">
        <v>31</v>
      </c>
      <c r="T535" s="2" t="s">
        <v>594</v>
      </c>
    </row>
    <row r="536" spans="1:20" x14ac:dyDescent="0.3">
      <c r="A536" s="2" t="s">
        <v>588</v>
      </c>
      <c r="B536" s="2" t="s">
        <v>589</v>
      </c>
      <c r="C536" s="2" t="s">
        <v>590</v>
      </c>
      <c r="D536" s="2" t="s">
        <v>591</v>
      </c>
      <c r="E536" s="2" t="s">
        <v>168</v>
      </c>
      <c r="F536" s="2" t="s">
        <v>160</v>
      </c>
      <c r="G536" s="2" t="s">
        <v>160</v>
      </c>
      <c r="H536" s="2" t="s">
        <v>161</v>
      </c>
      <c r="I536" s="2" t="s">
        <v>596</v>
      </c>
      <c r="J536" s="2" t="s">
        <v>143</v>
      </c>
      <c r="K536" s="2" t="s">
        <v>137</v>
      </c>
      <c r="L536" s="2" t="s">
        <v>29</v>
      </c>
      <c r="M536" s="2"/>
      <c r="N536" s="2" t="s">
        <v>597</v>
      </c>
      <c r="O536" s="2" t="s">
        <v>598</v>
      </c>
      <c r="P536" s="3">
        <v>191</v>
      </c>
      <c r="Q536" s="3">
        <v>191</v>
      </c>
      <c r="R536" s="4">
        <f t="shared" si="8"/>
        <v>382</v>
      </c>
      <c r="S536" s="2" t="s">
        <v>31</v>
      </c>
      <c r="T536" s="2" t="s">
        <v>594</v>
      </c>
    </row>
    <row r="537" spans="1:20" x14ac:dyDescent="0.3">
      <c r="A537" s="2" t="s">
        <v>588</v>
      </c>
      <c r="B537" s="2" t="s">
        <v>589</v>
      </c>
      <c r="C537" s="2" t="s">
        <v>590</v>
      </c>
      <c r="D537" s="2" t="s">
        <v>591</v>
      </c>
      <c r="E537" s="2" t="s">
        <v>168</v>
      </c>
      <c r="F537" s="2" t="s">
        <v>160</v>
      </c>
      <c r="G537" s="2" t="s">
        <v>160</v>
      </c>
      <c r="H537" s="2" t="s">
        <v>161</v>
      </c>
      <c r="I537" s="2" t="s">
        <v>599</v>
      </c>
      <c r="J537" s="2" t="s">
        <v>236</v>
      </c>
      <c r="K537" s="2" t="s">
        <v>133</v>
      </c>
      <c r="L537" s="2" t="s">
        <v>29</v>
      </c>
      <c r="M537" s="2"/>
      <c r="N537" s="2" t="s">
        <v>599</v>
      </c>
      <c r="O537" s="2" t="s">
        <v>600</v>
      </c>
      <c r="P537" s="3">
        <v>375</v>
      </c>
      <c r="Q537" s="3">
        <v>375</v>
      </c>
      <c r="R537" s="4">
        <f t="shared" si="8"/>
        <v>750</v>
      </c>
      <c r="S537" s="2" t="s">
        <v>31</v>
      </c>
      <c r="T537" s="2" t="s">
        <v>594</v>
      </c>
    </row>
    <row r="538" spans="1:20" x14ac:dyDescent="0.3">
      <c r="A538" s="2" t="s">
        <v>588</v>
      </c>
      <c r="B538" s="2" t="s">
        <v>589</v>
      </c>
      <c r="C538" s="2" t="s">
        <v>590</v>
      </c>
      <c r="D538" s="2" t="s">
        <v>591</v>
      </c>
      <c r="E538" s="2" t="s">
        <v>168</v>
      </c>
      <c r="F538" s="2" t="s">
        <v>160</v>
      </c>
      <c r="G538" s="2" t="s">
        <v>160</v>
      </c>
      <c r="H538" s="2" t="s">
        <v>161</v>
      </c>
      <c r="I538" s="2" t="s">
        <v>148</v>
      </c>
      <c r="J538" s="2" t="s">
        <v>82</v>
      </c>
      <c r="K538" s="2" t="s">
        <v>45</v>
      </c>
      <c r="L538" s="2" t="s">
        <v>29</v>
      </c>
      <c r="M538" s="2"/>
      <c r="N538" s="2" t="s">
        <v>148</v>
      </c>
      <c r="O538" s="2" t="s">
        <v>601</v>
      </c>
      <c r="P538" s="3">
        <v>386</v>
      </c>
      <c r="Q538" s="3">
        <v>386</v>
      </c>
      <c r="R538" s="4">
        <f t="shared" si="8"/>
        <v>772</v>
      </c>
      <c r="S538" s="2" t="s">
        <v>31</v>
      </c>
      <c r="T538" s="2" t="s">
        <v>594</v>
      </c>
    </row>
    <row r="539" spans="1:20" x14ac:dyDescent="0.3">
      <c r="A539" s="2" t="s">
        <v>588</v>
      </c>
      <c r="B539" s="2" t="s">
        <v>589</v>
      </c>
      <c r="C539" s="2" t="s">
        <v>590</v>
      </c>
      <c r="D539" s="2" t="s">
        <v>591</v>
      </c>
      <c r="E539" s="2" t="s">
        <v>168</v>
      </c>
      <c r="F539" s="2" t="s">
        <v>160</v>
      </c>
      <c r="G539" s="2" t="s">
        <v>160</v>
      </c>
      <c r="H539" s="2" t="s">
        <v>161</v>
      </c>
      <c r="I539" s="2" t="s">
        <v>373</v>
      </c>
      <c r="J539" s="2" t="s">
        <v>236</v>
      </c>
      <c r="K539" s="2" t="s">
        <v>133</v>
      </c>
      <c r="L539" s="2" t="s">
        <v>29</v>
      </c>
      <c r="M539" s="2"/>
      <c r="N539" s="2" t="s">
        <v>373</v>
      </c>
      <c r="O539" s="2" t="s">
        <v>602</v>
      </c>
      <c r="P539" s="3">
        <v>291</v>
      </c>
      <c r="Q539" s="3">
        <v>291</v>
      </c>
      <c r="R539" s="4">
        <f t="shared" si="8"/>
        <v>582</v>
      </c>
      <c r="S539" s="2" t="s">
        <v>31</v>
      </c>
      <c r="T539" s="2" t="s">
        <v>594</v>
      </c>
    </row>
    <row r="540" spans="1:20" x14ac:dyDescent="0.3">
      <c r="A540" s="2" t="s">
        <v>588</v>
      </c>
      <c r="B540" s="2" t="s">
        <v>589</v>
      </c>
      <c r="C540" s="2" t="s">
        <v>590</v>
      </c>
      <c r="D540" s="2" t="s">
        <v>591</v>
      </c>
      <c r="E540" s="2" t="s">
        <v>168</v>
      </c>
      <c r="F540" s="2" t="s">
        <v>160</v>
      </c>
      <c r="G540" s="2" t="s">
        <v>160</v>
      </c>
      <c r="H540" s="2" t="s">
        <v>161</v>
      </c>
      <c r="I540" s="2" t="s">
        <v>131</v>
      </c>
      <c r="J540" s="2" t="s">
        <v>132</v>
      </c>
      <c r="K540" s="2" t="s">
        <v>133</v>
      </c>
      <c r="L540" s="2" t="s">
        <v>29</v>
      </c>
      <c r="M540" s="2"/>
      <c r="N540" s="2" t="s">
        <v>131</v>
      </c>
      <c r="O540" s="2" t="s">
        <v>603</v>
      </c>
      <c r="P540" s="3">
        <v>308</v>
      </c>
      <c r="Q540" s="3">
        <v>308</v>
      </c>
      <c r="R540" s="4">
        <f t="shared" si="8"/>
        <v>616</v>
      </c>
      <c r="S540" s="2" t="s">
        <v>31</v>
      </c>
      <c r="T540" s="2" t="s">
        <v>594</v>
      </c>
    </row>
    <row r="541" spans="1:20" x14ac:dyDescent="0.3">
      <c r="A541" s="2" t="s">
        <v>588</v>
      </c>
      <c r="B541" s="2" t="s">
        <v>589</v>
      </c>
      <c r="C541" s="2" t="s">
        <v>590</v>
      </c>
      <c r="D541" s="2" t="s">
        <v>591</v>
      </c>
      <c r="E541" s="2" t="s">
        <v>168</v>
      </c>
      <c r="F541" s="2" t="s">
        <v>160</v>
      </c>
      <c r="G541" s="2" t="s">
        <v>160</v>
      </c>
      <c r="H541" s="2" t="s">
        <v>161</v>
      </c>
      <c r="I541" s="2" t="s">
        <v>426</v>
      </c>
      <c r="J541" s="2" t="s">
        <v>132</v>
      </c>
      <c r="K541" s="2" t="s">
        <v>133</v>
      </c>
      <c r="L541" s="2" t="s">
        <v>29</v>
      </c>
      <c r="M541" s="2"/>
      <c r="N541" s="2" t="s">
        <v>426</v>
      </c>
      <c r="O541" s="2" t="s">
        <v>604</v>
      </c>
      <c r="P541" s="3">
        <v>352</v>
      </c>
      <c r="Q541" s="3">
        <v>352</v>
      </c>
      <c r="R541" s="4">
        <f t="shared" si="8"/>
        <v>704</v>
      </c>
      <c r="S541" s="2" t="s">
        <v>31</v>
      </c>
      <c r="T541" s="2" t="s">
        <v>594</v>
      </c>
    </row>
    <row r="542" spans="1:20" x14ac:dyDescent="0.3">
      <c r="A542" s="2" t="s">
        <v>588</v>
      </c>
      <c r="B542" s="2" t="s">
        <v>589</v>
      </c>
      <c r="C542" s="2" t="s">
        <v>590</v>
      </c>
      <c r="D542" s="2" t="s">
        <v>591</v>
      </c>
      <c r="E542" s="2" t="s">
        <v>168</v>
      </c>
      <c r="F542" s="2" t="s">
        <v>160</v>
      </c>
      <c r="G542" s="2" t="s">
        <v>160</v>
      </c>
      <c r="H542" s="2" t="s">
        <v>161</v>
      </c>
      <c r="I542" s="2" t="s">
        <v>605</v>
      </c>
      <c r="J542" s="2" t="s">
        <v>82</v>
      </c>
      <c r="K542" s="2" t="s">
        <v>45</v>
      </c>
      <c r="L542" s="2" t="s">
        <v>29</v>
      </c>
      <c r="M542" s="2"/>
      <c r="N542" s="2" t="s">
        <v>605</v>
      </c>
      <c r="O542" s="2" t="s">
        <v>606</v>
      </c>
      <c r="P542" s="3">
        <v>349</v>
      </c>
      <c r="Q542" s="3">
        <v>349</v>
      </c>
      <c r="R542" s="4">
        <f t="shared" si="8"/>
        <v>698</v>
      </c>
      <c r="S542" s="2" t="s">
        <v>31</v>
      </c>
      <c r="T542" s="2" t="s">
        <v>594</v>
      </c>
    </row>
    <row r="543" spans="1:20" x14ac:dyDescent="0.3">
      <c r="A543" s="2" t="s">
        <v>588</v>
      </c>
      <c r="B543" s="2" t="s">
        <v>589</v>
      </c>
      <c r="C543" s="2" t="s">
        <v>590</v>
      </c>
      <c r="D543" s="2" t="s">
        <v>591</v>
      </c>
      <c r="E543" s="2" t="s">
        <v>168</v>
      </c>
      <c r="F543" s="2" t="s">
        <v>160</v>
      </c>
      <c r="G543" s="2" t="s">
        <v>160</v>
      </c>
      <c r="H543" s="2" t="s">
        <v>161</v>
      </c>
      <c r="I543" s="2" t="s">
        <v>360</v>
      </c>
      <c r="J543" s="2" t="s">
        <v>358</v>
      </c>
      <c r="K543" s="2" t="s">
        <v>137</v>
      </c>
      <c r="L543" s="2" t="s">
        <v>29</v>
      </c>
      <c r="M543" s="2"/>
      <c r="N543" s="2" t="s">
        <v>360</v>
      </c>
      <c r="O543" s="2" t="s">
        <v>607</v>
      </c>
      <c r="P543" s="3">
        <v>300</v>
      </c>
      <c r="Q543" s="3">
        <v>300</v>
      </c>
      <c r="R543" s="4">
        <f t="shared" si="8"/>
        <v>600</v>
      </c>
      <c r="S543" s="2" t="s">
        <v>31</v>
      </c>
      <c r="T543" s="2" t="s">
        <v>594</v>
      </c>
    </row>
    <row r="544" spans="1:20" x14ac:dyDescent="0.3">
      <c r="A544" s="2" t="s">
        <v>588</v>
      </c>
      <c r="B544" s="2" t="s">
        <v>589</v>
      </c>
      <c r="C544" s="2" t="s">
        <v>590</v>
      </c>
      <c r="D544" s="2" t="s">
        <v>591</v>
      </c>
      <c r="E544" s="2" t="s">
        <v>168</v>
      </c>
      <c r="F544" s="2" t="s">
        <v>160</v>
      </c>
      <c r="G544" s="2" t="s">
        <v>160</v>
      </c>
      <c r="H544" s="2" t="s">
        <v>161</v>
      </c>
      <c r="I544" s="2" t="s">
        <v>246</v>
      </c>
      <c r="J544" s="2" t="s">
        <v>132</v>
      </c>
      <c r="K544" s="2" t="s">
        <v>133</v>
      </c>
      <c r="L544" s="2" t="s">
        <v>29</v>
      </c>
      <c r="M544" s="2"/>
      <c r="N544" s="2" t="s">
        <v>246</v>
      </c>
      <c r="O544" s="2" t="s">
        <v>468</v>
      </c>
      <c r="P544" s="3">
        <v>300</v>
      </c>
      <c r="Q544" s="3">
        <v>300</v>
      </c>
      <c r="R544" s="4">
        <f t="shared" si="8"/>
        <v>600</v>
      </c>
      <c r="S544" s="2" t="s">
        <v>31</v>
      </c>
      <c r="T544" s="2" t="s">
        <v>594</v>
      </c>
    </row>
    <row r="545" spans="1:20" x14ac:dyDescent="0.3">
      <c r="A545" s="2" t="s">
        <v>588</v>
      </c>
      <c r="B545" s="2" t="s">
        <v>589</v>
      </c>
      <c r="C545" s="2" t="s">
        <v>590</v>
      </c>
      <c r="D545" s="2" t="s">
        <v>591</v>
      </c>
      <c r="E545" s="2" t="s">
        <v>168</v>
      </c>
      <c r="F545" s="2" t="s">
        <v>160</v>
      </c>
      <c r="G545" s="2" t="s">
        <v>160</v>
      </c>
      <c r="H545" s="2" t="s">
        <v>161</v>
      </c>
      <c r="I545" s="2" t="s">
        <v>434</v>
      </c>
      <c r="J545" s="2" t="s">
        <v>132</v>
      </c>
      <c r="K545" s="2" t="s">
        <v>133</v>
      </c>
      <c r="L545" s="2" t="s">
        <v>29</v>
      </c>
      <c r="M545" s="2"/>
      <c r="N545" s="2" t="s">
        <v>434</v>
      </c>
      <c r="O545" s="2" t="s">
        <v>608</v>
      </c>
      <c r="P545" s="3">
        <v>291</v>
      </c>
      <c r="Q545" s="3">
        <v>291</v>
      </c>
      <c r="R545" s="4">
        <f t="shared" si="8"/>
        <v>582</v>
      </c>
      <c r="S545" s="2" t="s">
        <v>31</v>
      </c>
      <c r="T545" s="2" t="s">
        <v>594</v>
      </c>
    </row>
    <row r="546" spans="1:20" x14ac:dyDescent="0.3">
      <c r="A546" s="2" t="s">
        <v>588</v>
      </c>
      <c r="B546" s="2" t="s">
        <v>589</v>
      </c>
      <c r="C546" s="2" t="s">
        <v>590</v>
      </c>
      <c r="D546" s="2" t="s">
        <v>591</v>
      </c>
      <c r="E546" s="2" t="s">
        <v>168</v>
      </c>
      <c r="F546" s="2" t="s">
        <v>160</v>
      </c>
      <c r="G546" s="2" t="s">
        <v>160</v>
      </c>
      <c r="H546" s="2" t="s">
        <v>161</v>
      </c>
      <c r="I546" s="2" t="s">
        <v>609</v>
      </c>
      <c r="J546" s="2" t="s">
        <v>146</v>
      </c>
      <c r="K546" s="2" t="s">
        <v>137</v>
      </c>
      <c r="L546" s="2" t="s">
        <v>29</v>
      </c>
      <c r="M546" s="2"/>
      <c r="N546" s="2" t="s">
        <v>145</v>
      </c>
      <c r="O546" s="2" t="s">
        <v>610</v>
      </c>
      <c r="P546" s="3">
        <v>266</v>
      </c>
      <c r="Q546" s="3">
        <v>266</v>
      </c>
      <c r="R546" s="4">
        <f t="shared" si="8"/>
        <v>532</v>
      </c>
      <c r="S546" s="2" t="s">
        <v>31</v>
      </c>
      <c r="T546" s="2" t="s">
        <v>594</v>
      </c>
    </row>
    <row r="547" spans="1:20" x14ac:dyDescent="0.3">
      <c r="A547" s="2" t="s">
        <v>588</v>
      </c>
      <c r="B547" s="2" t="s">
        <v>589</v>
      </c>
      <c r="C547" s="2" t="s">
        <v>590</v>
      </c>
      <c r="D547" s="2" t="s">
        <v>591</v>
      </c>
      <c r="E547" s="2" t="s">
        <v>168</v>
      </c>
      <c r="F547" s="2" t="s">
        <v>160</v>
      </c>
      <c r="G547" s="2" t="s">
        <v>160</v>
      </c>
      <c r="H547" s="2" t="s">
        <v>161</v>
      </c>
      <c r="I547" s="2" t="s">
        <v>145</v>
      </c>
      <c r="J547" s="2" t="s">
        <v>146</v>
      </c>
      <c r="K547" s="2" t="s">
        <v>137</v>
      </c>
      <c r="L547" s="2" t="s">
        <v>29</v>
      </c>
      <c r="M547" s="2"/>
      <c r="N547" s="2" t="s">
        <v>145</v>
      </c>
      <c r="O547" s="2" t="s">
        <v>610</v>
      </c>
      <c r="P547" s="3">
        <v>266</v>
      </c>
      <c r="Q547" s="3">
        <v>266</v>
      </c>
      <c r="R547" s="4">
        <f t="shared" si="8"/>
        <v>532</v>
      </c>
      <c r="S547" s="2" t="s">
        <v>31</v>
      </c>
      <c r="T547" s="2" t="s">
        <v>594</v>
      </c>
    </row>
    <row r="548" spans="1:20" x14ac:dyDescent="0.3">
      <c r="A548" s="2" t="s">
        <v>588</v>
      </c>
      <c r="B548" s="2" t="s">
        <v>589</v>
      </c>
      <c r="C548" s="2" t="s">
        <v>590</v>
      </c>
      <c r="D548" s="2" t="s">
        <v>591</v>
      </c>
      <c r="E548" s="2" t="s">
        <v>168</v>
      </c>
      <c r="F548" s="2" t="s">
        <v>160</v>
      </c>
      <c r="G548" s="2" t="s">
        <v>160</v>
      </c>
      <c r="H548" s="2" t="s">
        <v>161</v>
      </c>
      <c r="I548" s="2" t="s">
        <v>139</v>
      </c>
      <c r="J548" s="2" t="s">
        <v>140</v>
      </c>
      <c r="K548" s="2" t="s">
        <v>133</v>
      </c>
      <c r="L548" s="2" t="s">
        <v>29</v>
      </c>
      <c r="M548" s="2"/>
      <c r="N548" s="2" t="s">
        <v>139</v>
      </c>
      <c r="O548" s="2" t="s">
        <v>611</v>
      </c>
      <c r="P548" s="3">
        <v>241</v>
      </c>
      <c r="Q548" s="3">
        <v>241</v>
      </c>
      <c r="R548" s="4">
        <f t="shared" si="8"/>
        <v>482</v>
      </c>
      <c r="S548" s="2" t="s">
        <v>31</v>
      </c>
      <c r="T548" s="2" t="s">
        <v>594</v>
      </c>
    </row>
    <row r="549" spans="1:20" x14ac:dyDescent="0.3">
      <c r="A549" s="2" t="s">
        <v>588</v>
      </c>
      <c r="B549" s="2" t="s">
        <v>589</v>
      </c>
      <c r="C549" s="2" t="s">
        <v>590</v>
      </c>
      <c r="D549" s="2" t="s">
        <v>591</v>
      </c>
      <c r="E549" s="2" t="s">
        <v>168</v>
      </c>
      <c r="F549" s="2" t="s">
        <v>160</v>
      </c>
      <c r="G549" s="2" t="s">
        <v>160</v>
      </c>
      <c r="H549" s="2" t="s">
        <v>161</v>
      </c>
      <c r="I549" s="2" t="s">
        <v>612</v>
      </c>
      <c r="J549" s="2" t="s">
        <v>236</v>
      </c>
      <c r="K549" s="2" t="s">
        <v>133</v>
      </c>
      <c r="L549" s="2" t="s">
        <v>29</v>
      </c>
      <c r="M549" s="2"/>
      <c r="N549" s="2" t="s">
        <v>612</v>
      </c>
      <c r="O549" s="2" t="s">
        <v>613</v>
      </c>
      <c r="P549" s="3">
        <v>200</v>
      </c>
      <c r="Q549" s="3">
        <v>200</v>
      </c>
      <c r="R549" s="4">
        <f t="shared" si="8"/>
        <v>400</v>
      </c>
      <c r="S549" s="2" t="s">
        <v>31</v>
      </c>
      <c r="T549" s="2" t="s">
        <v>594</v>
      </c>
    </row>
    <row r="550" spans="1:20" x14ac:dyDescent="0.3">
      <c r="A550" s="2" t="s">
        <v>588</v>
      </c>
      <c r="B550" s="2" t="s">
        <v>589</v>
      </c>
      <c r="C550" s="2" t="s">
        <v>590</v>
      </c>
      <c r="D550" s="2" t="s">
        <v>591</v>
      </c>
      <c r="E550" s="2" t="s">
        <v>168</v>
      </c>
      <c r="F550" s="2" t="s">
        <v>160</v>
      </c>
      <c r="G550" s="2" t="s">
        <v>160</v>
      </c>
      <c r="H550" s="2" t="s">
        <v>161</v>
      </c>
      <c r="I550" s="2" t="s">
        <v>358</v>
      </c>
      <c r="J550" s="2" t="s">
        <v>358</v>
      </c>
      <c r="K550" s="2" t="s">
        <v>137</v>
      </c>
      <c r="L550" s="2" t="s">
        <v>29</v>
      </c>
      <c r="M550" s="2"/>
      <c r="N550" s="2" t="s">
        <v>358</v>
      </c>
      <c r="O550" s="2" t="s">
        <v>614</v>
      </c>
      <c r="P550" s="3">
        <v>246</v>
      </c>
      <c r="Q550" s="3">
        <v>246</v>
      </c>
      <c r="R550" s="4">
        <f t="shared" si="8"/>
        <v>492</v>
      </c>
      <c r="S550" s="2" t="s">
        <v>31</v>
      </c>
      <c r="T550" s="2" t="s">
        <v>594</v>
      </c>
    </row>
    <row r="551" spans="1:20" x14ac:dyDescent="0.3">
      <c r="A551" s="2" t="s">
        <v>588</v>
      </c>
      <c r="B551" s="2" t="s">
        <v>589</v>
      </c>
      <c r="C551" s="2" t="s">
        <v>590</v>
      </c>
      <c r="D551" s="2" t="s">
        <v>591</v>
      </c>
      <c r="E551" s="2" t="s">
        <v>168</v>
      </c>
      <c r="F551" s="2" t="s">
        <v>160</v>
      </c>
      <c r="G551" s="2" t="s">
        <v>160</v>
      </c>
      <c r="H551" s="2" t="s">
        <v>161</v>
      </c>
      <c r="I551" s="2" t="s">
        <v>615</v>
      </c>
      <c r="J551" s="2" t="s">
        <v>140</v>
      </c>
      <c r="K551" s="2" t="s">
        <v>133</v>
      </c>
      <c r="L551" s="2" t="s">
        <v>29</v>
      </c>
      <c r="M551" s="2"/>
      <c r="N551" s="2" t="s">
        <v>615</v>
      </c>
      <c r="O551" s="2" t="s">
        <v>616</v>
      </c>
      <c r="P551" s="3">
        <v>252</v>
      </c>
      <c r="Q551" s="3">
        <v>252</v>
      </c>
      <c r="R551" s="4">
        <f t="shared" si="8"/>
        <v>504</v>
      </c>
      <c r="S551" s="2" t="s">
        <v>31</v>
      </c>
      <c r="T551" s="2" t="s">
        <v>594</v>
      </c>
    </row>
    <row r="552" spans="1:20" x14ac:dyDescent="0.3">
      <c r="A552" s="2" t="s">
        <v>588</v>
      </c>
      <c r="B552" s="2" t="s">
        <v>589</v>
      </c>
      <c r="C552" s="2" t="s">
        <v>590</v>
      </c>
      <c r="D552" s="2" t="s">
        <v>591</v>
      </c>
      <c r="E552" s="2" t="s">
        <v>168</v>
      </c>
      <c r="F552" s="2" t="s">
        <v>160</v>
      </c>
      <c r="G552" s="2" t="s">
        <v>160</v>
      </c>
      <c r="H552" s="2" t="s">
        <v>161</v>
      </c>
      <c r="I552" s="2" t="s">
        <v>235</v>
      </c>
      <c r="J552" s="2" t="s">
        <v>236</v>
      </c>
      <c r="K552" s="2" t="s">
        <v>133</v>
      </c>
      <c r="L552" s="2" t="s">
        <v>29</v>
      </c>
      <c r="M552" s="2"/>
      <c r="N552" s="2" t="s">
        <v>235</v>
      </c>
      <c r="O552" s="2" t="s">
        <v>617</v>
      </c>
      <c r="P552" s="3">
        <v>185</v>
      </c>
      <c r="Q552" s="3">
        <v>185</v>
      </c>
      <c r="R552" s="4">
        <f t="shared" si="8"/>
        <v>370</v>
      </c>
      <c r="S552" s="2" t="s">
        <v>31</v>
      </c>
      <c r="T552" s="2" t="s">
        <v>594</v>
      </c>
    </row>
    <row r="553" spans="1:20" x14ac:dyDescent="0.3">
      <c r="A553" s="2" t="s">
        <v>588</v>
      </c>
      <c r="B553" s="2" t="s">
        <v>589</v>
      </c>
      <c r="C553" s="2" t="s">
        <v>590</v>
      </c>
      <c r="D553" s="2" t="s">
        <v>591</v>
      </c>
      <c r="E553" s="2" t="s">
        <v>168</v>
      </c>
      <c r="F553" s="2" t="s">
        <v>160</v>
      </c>
      <c r="G553" s="2" t="s">
        <v>160</v>
      </c>
      <c r="H553" s="2" t="s">
        <v>161</v>
      </c>
      <c r="I553" s="2" t="s">
        <v>458</v>
      </c>
      <c r="J553" s="2" t="s">
        <v>140</v>
      </c>
      <c r="K553" s="2" t="s">
        <v>133</v>
      </c>
      <c r="L553" s="2" t="s">
        <v>29</v>
      </c>
      <c r="M553" s="2"/>
      <c r="N553" s="2" t="s">
        <v>458</v>
      </c>
      <c r="O553" s="2" t="s">
        <v>618</v>
      </c>
      <c r="P553" s="3">
        <v>156</v>
      </c>
      <c r="Q553" s="3">
        <v>156</v>
      </c>
      <c r="R553" s="4">
        <f t="shared" si="8"/>
        <v>312</v>
      </c>
      <c r="S553" s="2" t="s">
        <v>31</v>
      </c>
      <c r="T553" s="2" t="s">
        <v>594</v>
      </c>
    </row>
    <row r="554" spans="1:20" x14ac:dyDescent="0.3">
      <c r="A554" s="2" t="s">
        <v>588</v>
      </c>
      <c r="B554" s="2" t="s">
        <v>589</v>
      </c>
      <c r="C554" s="2" t="s">
        <v>590</v>
      </c>
      <c r="D554" s="2" t="s">
        <v>591</v>
      </c>
      <c r="E554" s="2" t="s">
        <v>168</v>
      </c>
      <c r="F554" s="2" t="s">
        <v>160</v>
      </c>
      <c r="G554" s="2" t="s">
        <v>160</v>
      </c>
      <c r="H554" s="2" t="s">
        <v>161</v>
      </c>
      <c r="I554" s="2" t="s">
        <v>619</v>
      </c>
      <c r="J554" s="2" t="s">
        <v>143</v>
      </c>
      <c r="K554" s="2" t="s">
        <v>137</v>
      </c>
      <c r="L554" s="2" t="s">
        <v>29</v>
      </c>
      <c r="M554" s="2"/>
      <c r="N554" s="2" t="s">
        <v>371</v>
      </c>
      <c r="O554" s="2" t="s">
        <v>620</v>
      </c>
      <c r="P554" s="3">
        <v>202</v>
      </c>
      <c r="Q554" s="3">
        <v>202</v>
      </c>
      <c r="R554" s="4">
        <f t="shared" si="8"/>
        <v>404</v>
      </c>
      <c r="S554" s="2" t="s">
        <v>31</v>
      </c>
      <c r="T554" s="2" t="s">
        <v>594</v>
      </c>
    </row>
    <row r="555" spans="1:20" x14ac:dyDescent="0.3">
      <c r="A555" s="2" t="s">
        <v>588</v>
      </c>
      <c r="B555" s="2" t="s">
        <v>589</v>
      </c>
      <c r="C555" s="2" t="s">
        <v>590</v>
      </c>
      <c r="D555" s="2" t="s">
        <v>591</v>
      </c>
      <c r="E555" s="2" t="s">
        <v>168</v>
      </c>
      <c r="F555" s="2" t="s">
        <v>160</v>
      </c>
      <c r="G555" s="2" t="s">
        <v>160</v>
      </c>
      <c r="H555" s="2" t="s">
        <v>161</v>
      </c>
      <c r="I555" s="2" t="s">
        <v>621</v>
      </c>
      <c r="J555" s="2" t="s">
        <v>236</v>
      </c>
      <c r="K555" s="2" t="s">
        <v>133</v>
      </c>
      <c r="L555" s="2" t="s">
        <v>29</v>
      </c>
      <c r="M555" s="2"/>
      <c r="N555" s="2" t="s">
        <v>621</v>
      </c>
      <c r="O555" s="2" t="s">
        <v>622</v>
      </c>
      <c r="P555" s="3">
        <v>201</v>
      </c>
      <c r="Q555" s="3">
        <v>201</v>
      </c>
      <c r="R555" s="4">
        <f t="shared" si="8"/>
        <v>402</v>
      </c>
      <c r="S555" s="2" t="s">
        <v>31</v>
      </c>
      <c r="T555" s="2" t="s">
        <v>594</v>
      </c>
    </row>
    <row r="556" spans="1:20" x14ac:dyDescent="0.3">
      <c r="A556" s="2" t="s">
        <v>588</v>
      </c>
      <c r="B556" s="2" t="s">
        <v>589</v>
      </c>
      <c r="C556" s="2" t="s">
        <v>590</v>
      </c>
      <c r="D556" s="2" t="s">
        <v>591</v>
      </c>
      <c r="E556" s="2" t="s">
        <v>168</v>
      </c>
      <c r="F556" s="2" t="s">
        <v>160</v>
      </c>
      <c r="G556" s="2" t="s">
        <v>160</v>
      </c>
      <c r="H556" s="2" t="s">
        <v>161</v>
      </c>
      <c r="I556" s="2" t="s">
        <v>371</v>
      </c>
      <c r="J556" s="2" t="s">
        <v>143</v>
      </c>
      <c r="K556" s="2" t="s">
        <v>137</v>
      </c>
      <c r="L556" s="2" t="s">
        <v>29</v>
      </c>
      <c r="M556" s="2"/>
      <c r="N556" s="2" t="s">
        <v>371</v>
      </c>
      <c r="O556" s="2" t="s">
        <v>620</v>
      </c>
      <c r="P556" s="3">
        <v>202</v>
      </c>
      <c r="Q556" s="3">
        <v>202</v>
      </c>
      <c r="R556" s="4">
        <f t="shared" si="8"/>
        <v>404</v>
      </c>
      <c r="S556" s="2" t="s">
        <v>31</v>
      </c>
      <c r="T556" s="2" t="s">
        <v>594</v>
      </c>
    </row>
    <row r="557" spans="1:20" x14ac:dyDescent="0.3">
      <c r="A557" s="2" t="s">
        <v>588</v>
      </c>
      <c r="B557" s="2" t="s">
        <v>589</v>
      </c>
      <c r="C557" s="2" t="s">
        <v>590</v>
      </c>
      <c r="D557" s="2" t="s">
        <v>591</v>
      </c>
      <c r="E557" s="2" t="s">
        <v>168</v>
      </c>
      <c r="F557" s="2" t="s">
        <v>160</v>
      </c>
      <c r="G557" s="2" t="s">
        <v>160</v>
      </c>
      <c r="H557" s="2" t="s">
        <v>161</v>
      </c>
      <c r="I557" s="2" t="s">
        <v>623</v>
      </c>
      <c r="J557" s="2" t="s">
        <v>236</v>
      </c>
      <c r="K557" s="2" t="s">
        <v>133</v>
      </c>
      <c r="L557" s="2" t="s">
        <v>29</v>
      </c>
      <c r="M557" s="2"/>
      <c r="N557" s="2" t="s">
        <v>623</v>
      </c>
      <c r="O557" s="2" t="s">
        <v>624</v>
      </c>
      <c r="P557" s="3">
        <v>191</v>
      </c>
      <c r="Q557" s="3">
        <v>191</v>
      </c>
      <c r="R557" s="4">
        <f t="shared" si="8"/>
        <v>382</v>
      </c>
      <c r="S557" s="2" t="s">
        <v>31</v>
      </c>
      <c r="T557" s="2" t="s">
        <v>594</v>
      </c>
    </row>
    <row r="558" spans="1:20" x14ac:dyDescent="0.3">
      <c r="A558" s="2" t="s">
        <v>588</v>
      </c>
      <c r="B558" s="2" t="s">
        <v>589</v>
      </c>
      <c r="C558" s="2" t="s">
        <v>590</v>
      </c>
      <c r="D558" s="2" t="s">
        <v>591</v>
      </c>
      <c r="E558" s="2" t="s">
        <v>168</v>
      </c>
      <c r="F558" s="2" t="s">
        <v>160</v>
      </c>
      <c r="G558" s="2" t="s">
        <v>160</v>
      </c>
      <c r="H558" s="2" t="s">
        <v>161</v>
      </c>
      <c r="I558" s="2" t="s">
        <v>625</v>
      </c>
      <c r="J558" s="2" t="s">
        <v>140</v>
      </c>
      <c r="K558" s="2" t="s">
        <v>133</v>
      </c>
      <c r="L558" s="2" t="s">
        <v>29</v>
      </c>
      <c r="M558" s="2"/>
      <c r="N558" s="2" t="s">
        <v>625</v>
      </c>
      <c r="O558" s="2" t="s">
        <v>626</v>
      </c>
      <c r="P558" s="3">
        <v>196</v>
      </c>
      <c r="Q558" s="3">
        <v>196</v>
      </c>
      <c r="R558" s="4">
        <f t="shared" si="8"/>
        <v>392</v>
      </c>
      <c r="S558" s="2" t="s">
        <v>31</v>
      </c>
      <c r="T558" s="2" t="s">
        <v>594</v>
      </c>
    </row>
    <row r="559" spans="1:20" x14ac:dyDescent="0.3">
      <c r="A559" s="2" t="s">
        <v>588</v>
      </c>
      <c r="B559" s="2" t="s">
        <v>589</v>
      </c>
      <c r="C559" s="2" t="s">
        <v>590</v>
      </c>
      <c r="D559" s="2" t="s">
        <v>591</v>
      </c>
      <c r="E559" s="2" t="s">
        <v>168</v>
      </c>
      <c r="F559" s="2" t="s">
        <v>160</v>
      </c>
      <c r="G559" s="2" t="s">
        <v>160</v>
      </c>
      <c r="H559" s="2" t="s">
        <v>161</v>
      </c>
      <c r="I559" s="2" t="s">
        <v>627</v>
      </c>
      <c r="J559" s="2" t="s">
        <v>358</v>
      </c>
      <c r="K559" s="2" t="s">
        <v>137</v>
      </c>
      <c r="L559" s="2" t="s">
        <v>29</v>
      </c>
      <c r="M559" s="2"/>
      <c r="N559" s="2" t="s">
        <v>627</v>
      </c>
      <c r="O559" s="2" t="s">
        <v>628</v>
      </c>
      <c r="P559" s="3">
        <v>212</v>
      </c>
      <c r="Q559" s="3">
        <v>212</v>
      </c>
      <c r="R559" s="4">
        <f t="shared" si="8"/>
        <v>424</v>
      </c>
      <c r="S559" s="2" t="s">
        <v>31</v>
      </c>
      <c r="T559" s="2" t="s">
        <v>594</v>
      </c>
    </row>
    <row r="560" spans="1:20" x14ac:dyDescent="0.3">
      <c r="A560" s="2" t="s">
        <v>588</v>
      </c>
      <c r="B560" s="2" t="s">
        <v>589</v>
      </c>
      <c r="C560" s="2" t="s">
        <v>590</v>
      </c>
      <c r="D560" s="2" t="s">
        <v>591</v>
      </c>
      <c r="E560" s="2" t="s">
        <v>168</v>
      </c>
      <c r="F560" s="2" t="s">
        <v>160</v>
      </c>
      <c r="G560" s="2" t="s">
        <v>160</v>
      </c>
      <c r="H560" s="2" t="s">
        <v>161</v>
      </c>
      <c r="I560" s="2" t="s">
        <v>344</v>
      </c>
      <c r="J560" s="2" t="s">
        <v>140</v>
      </c>
      <c r="K560" s="2" t="s">
        <v>133</v>
      </c>
      <c r="L560" s="2" t="s">
        <v>29</v>
      </c>
      <c r="M560" s="2"/>
      <c r="N560" s="2" t="s">
        <v>344</v>
      </c>
      <c r="O560" s="2" t="s">
        <v>629</v>
      </c>
      <c r="P560" s="3">
        <v>205</v>
      </c>
      <c r="Q560" s="3">
        <v>205</v>
      </c>
      <c r="R560" s="4">
        <f t="shared" si="8"/>
        <v>410</v>
      </c>
      <c r="S560" s="2" t="s">
        <v>31</v>
      </c>
      <c r="T560" s="2" t="s">
        <v>594</v>
      </c>
    </row>
    <row r="561" spans="1:20" x14ac:dyDescent="0.3">
      <c r="A561" s="2" t="s">
        <v>588</v>
      </c>
      <c r="B561" s="2" t="s">
        <v>589</v>
      </c>
      <c r="C561" s="2" t="s">
        <v>590</v>
      </c>
      <c r="D561" s="2" t="s">
        <v>591</v>
      </c>
      <c r="E561" s="2" t="s">
        <v>168</v>
      </c>
      <c r="F561" s="2" t="s">
        <v>160</v>
      </c>
      <c r="G561" s="2" t="s">
        <v>160</v>
      </c>
      <c r="H561" s="2" t="s">
        <v>161</v>
      </c>
      <c r="I561" s="2" t="s">
        <v>174</v>
      </c>
      <c r="J561" s="2" t="s">
        <v>140</v>
      </c>
      <c r="K561" s="2" t="s">
        <v>133</v>
      </c>
      <c r="L561" s="2" t="s">
        <v>29</v>
      </c>
      <c r="M561" s="2"/>
      <c r="N561" s="2" t="s">
        <v>174</v>
      </c>
      <c r="O561" s="2" t="s">
        <v>630</v>
      </c>
      <c r="P561" s="3">
        <v>213</v>
      </c>
      <c r="Q561" s="3">
        <v>213</v>
      </c>
      <c r="R561" s="4">
        <f t="shared" si="8"/>
        <v>426</v>
      </c>
      <c r="S561" s="2" t="s">
        <v>31</v>
      </c>
      <c r="T561" s="2" t="s">
        <v>594</v>
      </c>
    </row>
    <row r="562" spans="1:20" x14ac:dyDescent="0.3">
      <c r="A562" s="2" t="s">
        <v>588</v>
      </c>
      <c r="B562" s="2" t="s">
        <v>589</v>
      </c>
      <c r="C562" s="2" t="s">
        <v>590</v>
      </c>
      <c r="D562" s="2" t="s">
        <v>591</v>
      </c>
      <c r="E562" s="2" t="s">
        <v>168</v>
      </c>
      <c r="F562" s="2" t="s">
        <v>160</v>
      </c>
      <c r="G562" s="2" t="s">
        <v>160</v>
      </c>
      <c r="H562" s="2" t="s">
        <v>161</v>
      </c>
      <c r="I562" s="2" t="s">
        <v>631</v>
      </c>
      <c r="J562" s="2" t="s">
        <v>136</v>
      </c>
      <c r="K562" s="2" t="s">
        <v>137</v>
      </c>
      <c r="L562" s="2" t="s">
        <v>29</v>
      </c>
      <c r="M562" s="2"/>
      <c r="N562" s="2" t="s">
        <v>631</v>
      </c>
      <c r="O562" s="2" t="s">
        <v>632</v>
      </c>
      <c r="P562" s="3">
        <v>150</v>
      </c>
      <c r="Q562" s="3">
        <v>150</v>
      </c>
      <c r="R562" s="4">
        <f t="shared" si="8"/>
        <v>300</v>
      </c>
      <c r="S562" s="2" t="s">
        <v>31</v>
      </c>
      <c r="T562" s="2" t="s">
        <v>594</v>
      </c>
    </row>
    <row r="563" spans="1:20" x14ac:dyDescent="0.3">
      <c r="A563" s="2" t="s">
        <v>588</v>
      </c>
      <c r="B563" s="2" t="s">
        <v>589</v>
      </c>
      <c r="C563" s="2" t="s">
        <v>590</v>
      </c>
      <c r="D563" s="2" t="s">
        <v>591</v>
      </c>
      <c r="E563" s="2" t="s">
        <v>168</v>
      </c>
      <c r="F563" s="2" t="s">
        <v>160</v>
      </c>
      <c r="G563" s="2" t="s">
        <v>160</v>
      </c>
      <c r="H563" s="2" t="s">
        <v>161</v>
      </c>
      <c r="I563" s="2" t="s">
        <v>142</v>
      </c>
      <c r="J563" s="2" t="s">
        <v>143</v>
      </c>
      <c r="K563" s="2" t="s">
        <v>137</v>
      </c>
      <c r="L563" s="2" t="s">
        <v>29</v>
      </c>
      <c r="M563" s="2"/>
      <c r="N563" s="2" t="s">
        <v>142</v>
      </c>
      <c r="O563" s="2" t="s">
        <v>633</v>
      </c>
      <c r="P563" s="3">
        <v>196</v>
      </c>
      <c r="Q563" s="3">
        <v>196</v>
      </c>
      <c r="R563" s="4">
        <f t="shared" si="8"/>
        <v>392</v>
      </c>
      <c r="S563" s="2" t="s">
        <v>31</v>
      </c>
      <c r="T563" s="2" t="s">
        <v>594</v>
      </c>
    </row>
    <row r="564" spans="1:20" x14ac:dyDescent="0.3">
      <c r="A564" s="2" t="s">
        <v>588</v>
      </c>
      <c r="B564" s="2" t="s">
        <v>589</v>
      </c>
      <c r="C564" s="2" t="s">
        <v>590</v>
      </c>
      <c r="D564" s="2" t="s">
        <v>591</v>
      </c>
      <c r="E564" s="2" t="s">
        <v>168</v>
      </c>
      <c r="F564" s="2" t="s">
        <v>160</v>
      </c>
      <c r="G564" s="2" t="s">
        <v>160</v>
      </c>
      <c r="H564" s="2" t="s">
        <v>161</v>
      </c>
      <c r="I564" s="2" t="s">
        <v>634</v>
      </c>
      <c r="J564" s="2" t="s">
        <v>143</v>
      </c>
      <c r="K564" s="2" t="s">
        <v>137</v>
      </c>
      <c r="L564" s="2" t="s">
        <v>29</v>
      </c>
      <c r="M564" s="2"/>
      <c r="N564" s="2" t="s">
        <v>634</v>
      </c>
      <c r="O564" s="2" t="s">
        <v>635</v>
      </c>
      <c r="P564" s="3">
        <v>175</v>
      </c>
      <c r="Q564" s="3">
        <v>175</v>
      </c>
      <c r="R564" s="4">
        <f t="shared" si="8"/>
        <v>350</v>
      </c>
      <c r="S564" s="2" t="s">
        <v>31</v>
      </c>
      <c r="T564" s="2" t="s">
        <v>594</v>
      </c>
    </row>
    <row r="565" spans="1:20" x14ac:dyDescent="0.3">
      <c r="A565" s="2" t="s">
        <v>588</v>
      </c>
      <c r="B565" s="2" t="s">
        <v>589</v>
      </c>
      <c r="C565" s="2" t="s">
        <v>590</v>
      </c>
      <c r="D565" s="2" t="s">
        <v>591</v>
      </c>
      <c r="E565" s="2" t="s">
        <v>168</v>
      </c>
      <c r="F565" s="2" t="s">
        <v>160</v>
      </c>
      <c r="G565" s="2" t="s">
        <v>160</v>
      </c>
      <c r="H565" s="2" t="s">
        <v>161</v>
      </c>
      <c r="I565" s="2" t="s">
        <v>636</v>
      </c>
      <c r="J565" s="2" t="s">
        <v>363</v>
      </c>
      <c r="K565" s="2" t="s">
        <v>137</v>
      </c>
      <c r="L565" s="2" t="s">
        <v>29</v>
      </c>
      <c r="M565" s="2"/>
      <c r="N565" s="2" t="s">
        <v>636</v>
      </c>
      <c r="O565" s="2" t="s">
        <v>637</v>
      </c>
      <c r="P565" s="3">
        <v>165</v>
      </c>
      <c r="Q565" s="3">
        <v>165</v>
      </c>
      <c r="R565" s="4">
        <f t="shared" si="8"/>
        <v>330</v>
      </c>
      <c r="S565" s="2" t="s">
        <v>31</v>
      </c>
      <c r="T565" s="2" t="s">
        <v>594</v>
      </c>
    </row>
    <row r="566" spans="1:20" x14ac:dyDescent="0.3">
      <c r="A566" s="2" t="s">
        <v>588</v>
      </c>
      <c r="B566" s="2" t="s">
        <v>589</v>
      </c>
      <c r="C566" s="2" t="s">
        <v>590</v>
      </c>
      <c r="D566" s="2" t="s">
        <v>591</v>
      </c>
      <c r="E566" s="2" t="s">
        <v>168</v>
      </c>
      <c r="F566" s="2" t="s">
        <v>160</v>
      </c>
      <c r="G566" s="2" t="s">
        <v>160</v>
      </c>
      <c r="H566" s="2" t="s">
        <v>161</v>
      </c>
      <c r="I566" s="2" t="s">
        <v>638</v>
      </c>
      <c r="J566" s="2" t="s">
        <v>140</v>
      </c>
      <c r="K566" s="2" t="s">
        <v>133</v>
      </c>
      <c r="L566" s="2" t="s">
        <v>29</v>
      </c>
      <c r="M566" s="2"/>
      <c r="N566" s="2" t="s">
        <v>638</v>
      </c>
      <c r="O566" s="2" t="s">
        <v>639</v>
      </c>
      <c r="P566" s="3">
        <v>183</v>
      </c>
      <c r="Q566" s="3">
        <v>183</v>
      </c>
      <c r="R566" s="4">
        <f t="shared" si="8"/>
        <v>366</v>
      </c>
      <c r="S566" s="2" t="s">
        <v>31</v>
      </c>
      <c r="T566" s="2" t="s">
        <v>594</v>
      </c>
    </row>
    <row r="567" spans="1:20" x14ac:dyDescent="0.3">
      <c r="A567" s="2" t="s">
        <v>588</v>
      </c>
      <c r="B567" s="2" t="s">
        <v>589</v>
      </c>
      <c r="C567" s="2" t="s">
        <v>590</v>
      </c>
      <c r="D567" s="2" t="s">
        <v>591</v>
      </c>
      <c r="E567" s="2" t="s">
        <v>168</v>
      </c>
      <c r="F567" s="2" t="s">
        <v>160</v>
      </c>
      <c r="G567" s="2" t="s">
        <v>160</v>
      </c>
      <c r="H567" s="2" t="s">
        <v>161</v>
      </c>
      <c r="I567" s="2" t="s">
        <v>640</v>
      </c>
      <c r="J567" s="2" t="s">
        <v>136</v>
      </c>
      <c r="K567" s="2" t="s">
        <v>137</v>
      </c>
      <c r="L567" s="2" t="s">
        <v>29</v>
      </c>
      <c r="M567" s="2"/>
      <c r="N567" s="2" t="s">
        <v>640</v>
      </c>
      <c r="O567" s="2" t="s">
        <v>641</v>
      </c>
      <c r="P567" s="3">
        <v>162</v>
      </c>
      <c r="Q567" s="3">
        <v>162</v>
      </c>
      <c r="R567" s="4">
        <f t="shared" si="8"/>
        <v>324</v>
      </c>
      <c r="S567" s="2" t="s">
        <v>31</v>
      </c>
      <c r="T567" s="2" t="s">
        <v>594</v>
      </c>
    </row>
    <row r="568" spans="1:20" x14ac:dyDescent="0.3">
      <c r="A568" s="2" t="s">
        <v>588</v>
      </c>
      <c r="B568" s="2" t="s">
        <v>589</v>
      </c>
      <c r="C568" s="2" t="s">
        <v>590</v>
      </c>
      <c r="D568" s="2" t="s">
        <v>591</v>
      </c>
      <c r="E568" s="2" t="s">
        <v>168</v>
      </c>
      <c r="F568" s="2" t="s">
        <v>160</v>
      </c>
      <c r="G568" s="2" t="s">
        <v>160</v>
      </c>
      <c r="H568" s="2" t="s">
        <v>161</v>
      </c>
      <c r="I568" s="2" t="s">
        <v>642</v>
      </c>
      <c r="J568" s="2" t="s">
        <v>348</v>
      </c>
      <c r="K568" s="2" t="s">
        <v>133</v>
      </c>
      <c r="L568" s="2" t="s">
        <v>29</v>
      </c>
      <c r="M568" s="2"/>
      <c r="N568" s="2" t="s">
        <v>642</v>
      </c>
      <c r="O568" s="2" t="s">
        <v>643</v>
      </c>
      <c r="P568" s="3">
        <v>184</v>
      </c>
      <c r="Q568" s="3">
        <v>184</v>
      </c>
      <c r="R568" s="4">
        <f t="shared" si="8"/>
        <v>368</v>
      </c>
      <c r="S568" s="2" t="s">
        <v>31</v>
      </c>
      <c r="T568" s="2" t="s">
        <v>594</v>
      </c>
    </row>
    <row r="569" spans="1:20" x14ac:dyDescent="0.3">
      <c r="A569" s="2" t="s">
        <v>588</v>
      </c>
      <c r="B569" s="2" t="s">
        <v>589</v>
      </c>
      <c r="C569" s="2" t="s">
        <v>590</v>
      </c>
      <c r="D569" s="2" t="s">
        <v>591</v>
      </c>
      <c r="E569" s="2" t="s">
        <v>168</v>
      </c>
      <c r="F569" s="2" t="s">
        <v>160</v>
      </c>
      <c r="G569" s="2" t="s">
        <v>160</v>
      </c>
      <c r="H569" s="2" t="s">
        <v>161</v>
      </c>
      <c r="I569" s="2" t="s">
        <v>644</v>
      </c>
      <c r="J569" s="2" t="s">
        <v>136</v>
      </c>
      <c r="K569" s="2" t="s">
        <v>137</v>
      </c>
      <c r="L569" s="2" t="s">
        <v>29</v>
      </c>
      <c r="M569" s="2"/>
      <c r="N569" s="2" t="s">
        <v>644</v>
      </c>
      <c r="O569" s="2" t="s">
        <v>645</v>
      </c>
      <c r="P569" s="3">
        <v>156</v>
      </c>
      <c r="Q569" s="3">
        <v>156</v>
      </c>
      <c r="R569" s="4">
        <f t="shared" si="8"/>
        <v>312</v>
      </c>
      <c r="S569" s="2" t="s">
        <v>31</v>
      </c>
      <c r="T569" s="2" t="s">
        <v>594</v>
      </c>
    </row>
    <row r="570" spans="1:20" x14ac:dyDescent="0.3">
      <c r="A570" s="2" t="s">
        <v>588</v>
      </c>
      <c r="B570" s="2" t="s">
        <v>589</v>
      </c>
      <c r="C570" s="2" t="s">
        <v>590</v>
      </c>
      <c r="D570" s="2" t="s">
        <v>591</v>
      </c>
      <c r="E570" s="2" t="s">
        <v>168</v>
      </c>
      <c r="F570" s="2" t="s">
        <v>160</v>
      </c>
      <c r="G570" s="2" t="s">
        <v>160</v>
      </c>
      <c r="H570" s="2" t="s">
        <v>161</v>
      </c>
      <c r="I570" s="2" t="s">
        <v>646</v>
      </c>
      <c r="J570" s="2" t="s">
        <v>348</v>
      </c>
      <c r="K570" s="2" t="s">
        <v>133</v>
      </c>
      <c r="L570" s="2" t="s">
        <v>29</v>
      </c>
      <c r="M570" s="2"/>
      <c r="N570" s="2" t="s">
        <v>646</v>
      </c>
      <c r="O570" s="2" t="s">
        <v>647</v>
      </c>
      <c r="P570" s="3">
        <v>157</v>
      </c>
      <c r="Q570" s="3">
        <v>157</v>
      </c>
      <c r="R570" s="4">
        <f t="shared" si="8"/>
        <v>314</v>
      </c>
      <c r="S570" s="2" t="s">
        <v>31</v>
      </c>
      <c r="T570" s="2" t="s">
        <v>594</v>
      </c>
    </row>
    <row r="571" spans="1:20" x14ac:dyDescent="0.3">
      <c r="A571" s="2" t="s">
        <v>588</v>
      </c>
      <c r="B571" s="2" t="s">
        <v>589</v>
      </c>
      <c r="C571" s="2" t="s">
        <v>590</v>
      </c>
      <c r="D571" s="2" t="s">
        <v>591</v>
      </c>
      <c r="E571" s="2" t="s">
        <v>168</v>
      </c>
      <c r="F571" s="2" t="s">
        <v>160</v>
      </c>
      <c r="G571" s="2" t="s">
        <v>160</v>
      </c>
      <c r="H571" s="2" t="s">
        <v>161</v>
      </c>
      <c r="I571" s="2" t="s">
        <v>350</v>
      </c>
      <c r="J571" s="2" t="s">
        <v>348</v>
      </c>
      <c r="K571" s="2" t="s">
        <v>133</v>
      </c>
      <c r="L571" s="2" t="s">
        <v>29</v>
      </c>
      <c r="M571" s="2"/>
      <c r="N571" s="2" t="s">
        <v>350</v>
      </c>
      <c r="O571" s="2" t="s">
        <v>648</v>
      </c>
      <c r="P571" s="3">
        <v>171</v>
      </c>
      <c r="Q571" s="3">
        <v>171</v>
      </c>
      <c r="R571" s="4">
        <f t="shared" si="8"/>
        <v>342</v>
      </c>
      <c r="S571" s="2" t="s">
        <v>31</v>
      </c>
      <c r="T571" s="2" t="s">
        <v>594</v>
      </c>
    </row>
    <row r="572" spans="1:20" x14ac:dyDescent="0.3">
      <c r="A572" s="2" t="s">
        <v>588</v>
      </c>
      <c r="B572" s="2" t="s">
        <v>589</v>
      </c>
      <c r="C572" s="2" t="s">
        <v>590</v>
      </c>
      <c r="D572" s="2" t="s">
        <v>591</v>
      </c>
      <c r="E572" s="2" t="s">
        <v>168</v>
      </c>
      <c r="F572" s="2" t="s">
        <v>160</v>
      </c>
      <c r="G572" s="2" t="s">
        <v>160</v>
      </c>
      <c r="H572" s="2" t="s">
        <v>161</v>
      </c>
      <c r="I572" s="2" t="s">
        <v>649</v>
      </c>
      <c r="J572" s="2" t="s">
        <v>363</v>
      </c>
      <c r="K572" s="2" t="s">
        <v>137</v>
      </c>
      <c r="L572" s="2" t="s">
        <v>29</v>
      </c>
      <c r="M572" s="2"/>
      <c r="N572" s="2" t="s">
        <v>649</v>
      </c>
      <c r="O572" s="2" t="s">
        <v>650</v>
      </c>
      <c r="P572" s="3">
        <v>134</v>
      </c>
      <c r="Q572" s="3">
        <v>134</v>
      </c>
      <c r="R572" s="4">
        <f t="shared" si="8"/>
        <v>268</v>
      </c>
      <c r="S572" s="2" t="s">
        <v>31</v>
      </c>
      <c r="T572" s="2" t="s">
        <v>594</v>
      </c>
    </row>
    <row r="573" spans="1:20" x14ac:dyDescent="0.3">
      <c r="A573" s="2" t="s">
        <v>588</v>
      </c>
      <c r="B573" s="2" t="s">
        <v>589</v>
      </c>
      <c r="C573" s="2" t="s">
        <v>590</v>
      </c>
      <c r="D573" s="2" t="s">
        <v>591</v>
      </c>
      <c r="E573" s="2" t="s">
        <v>168</v>
      </c>
      <c r="F573" s="2" t="s">
        <v>160</v>
      </c>
      <c r="G573" s="2" t="s">
        <v>160</v>
      </c>
      <c r="H573" s="2" t="s">
        <v>161</v>
      </c>
      <c r="I573" s="2" t="s">
        <v>651</v>
      </c>
      <c r="J573" s="2" t="s">
        <v>363</v>
      </c>
      <c r="K573" s="2" t="s">
        <v>137</v>
      </c>
      <c r="L573" s="2" t="s">
        <v>29</v>
      </c>
      <c r="M573" s="2"/>
      <c r="N573" s="2" t="s">
        <v>651</v>
      </c>
      <c r="O573" s="2" t="s">
        <v>652</v>
      </c>
      <c r="P573" s="3">
        <v>153</v>
      </c>
      <c r="Q573" s="3">
        <v>153</v>
      </c>
      <c r="R573" s="4">
        <f t="shared" si="8"/>
        <v>306</v>
      </c>
      <c r="S573" s="2" t="s">
        <v>31</v>
      </c>
      <c r="T573" s="2" t="s">
        <v>594</v>
      </c>
    </row>
    <row r="574" spans="1:20" x14ac:dyDescent="0.3">
      <c r="A574" s="2" t="s">
        <v>588</v>
      </c>
      <c r="B574" s="2" t="s">
        <v>589</v>
      </c>
      <c r="C574" s="2" t="s">
        <v>590</v>
      </c>
      <c r="D574" s="2" t="s">
        <v>591</v>
      </c>
      <c r="E574" s="2" t="s">
        <v>168</v>
      </c>
      <c r="F574" s="2" t="s">
        <v>160</v>
      </c>
      <c r="G574" s="2" t="s">
        <v>160</v>
      </c>
      <c r="H574" s="2" t="s">
        <v>161</v>
      </c>
      <c r="I574" s="2" t="s">
        <v>653</v>
      </c>
      <c r="J574" s="2" t="s">
        <v>348</v>
      </c>
      <c r="K574" s="2" t="s">
        <v>133</v>
      </c>
      <c r="L574" s="2" t="s">
        <v>29</v>
      </c>
      <c r="M574" s="2"/>
      <c r="N574" s="2" t="s">
        <v>653</v>
      </c>
      <c r="O574" s="2" t="s">
        <v>654</v>
      </c>
      <c r="P574" s="3">
        <v>146</v>
      </c>
      <c r="Q574" s="3">
        <v>146</v>
      </c>
      <c r="R574" s="4">
        <f t="shared" si="8"/>
        <v>292</v>
      </c>
      <c r="S574" s="2" t="s">
        <v>31</v>
      </c>
      <c r="T574" s="2" t="s">
        <v>594</v>
      </c>
    </row>
    <row r="575" spans="1:20" x14ac:dyDescent="0.3">
      <c r="A575" s="2" t="s">
        <v>588</v>
      </c>
      <c r="B575" s="2" t="s">
        <v>589</v>
      </c>
      <c r="C575" s="2" t="s">
        <v>590</v>
      </c>
      <c r="D575" s="2" t="s">
        <v>591</v>
      </c>
      <c r="E575" s="2" t="s">
        <v>168</v>
      </c>
      <c r="F575" s="2" t="s">
        <v>160</v>
      </c>
      <c r="G575" s="2" t="s">
        <v>160</v>
      </c>
      <c r="H575" s="2" t="s">
        <v>161</v>
      </c>
      <c r="I575" s="2" t="s">
        <v>365</v>
      </c>
      <c r="J575" s="2" t="s">
        <v>348</v>
      </c>
      <c r="K575" s="2" t="s">
        <v>133</v>
      </c>
      <c r="L575" s="2" t="s">
        <v>29</v>
      </c>
      <c r="M575" s="2"/>
      <c r="N575" s="2" t="s">
        <v>365</v>
      </c>
      <c r="O575" s="2" t="s">
        <v>655</v>
      </c>
      <c r="P575" s="3">
        <v>128</v>
      </c>
      <c r="Q575" s="3">
        <v>128</v>
      </c>
      <c r="R575" s="4">
        <f t="shared" si="8"/>
        <v>256</v>
      </c>
      <c r="S575" s="2" t="s">
        <v>31</v>
      </c>
      <c r="T575" s="2" t="s">
        <v>594</v>
      </c>
    </row>
    <row r="576" spans="1:20" x14ac:dyDescent="0.3">
      <c r="A576" s="2" t="s">
        <v>588</v>
      </c>
      <c r="B576" s="2" t="s">
        <v>589</v>
      </c>
      <c r="C576" s="2" t="s">
        <v>590</v>
      </c>
      <c r="D576" s="2" t="s">
        <v>591</v>
      </c>
      <c r="E576" s="2" t="s">
        <v>168</v>
      </c>
      <c r="F576" s="2" t="s">
        <v>160</v>
      </c>
      <c r="G576" s="2" t="s">
        <v>160</v>
      </c>
      <c r="H576" s="2" t="s">
        <v>161</v>
      </c>
      <c r="I576" s="2" t="s">
        <v>347</v>
      </c>
      <c r="J576" s="2" t="s">
        <v>348</v>
      </c>
      <c r="K576" s="2" t="s">
        <v>133</v>
      </c>
      <c r="L576" s="2" t="s">
        <v>29</v>
      </c>
      <c r="M576" s="2"/>
      <c r="N576" s="2" t="s">
        <v>347</v>
      </c>
      <c r="O576" s="2" t="s">
        <v>656</v>
      </c>
      <c r="P576" s="3">
        <v>110</v>
      </c>
      <c r="Q576" s="3">
        <v>110</v>
      </c>
      <c r="R576" s="4">
        <f t="shared" si="8"/>
        <v>220</v>
      </c>
      <c r="S576" s="2" t="s">
        <v>31</v>
      </c>
      <c r="T576" s="2" t="s">
        <v>594</v>
      </c>
    </row>
    <row r="577" spans="1:20" x14ac:dyDescent="0.3">
      <c r="A577" s="2" t="s">
        <v>588</v>
      </c>
      <c r="B577" s="2" t="s">
        <v>589</v>
      </c>
      <c r="C577" s="2" t="s">
        <v>590</v>
      </c>
      <c r="D577" s="2" t="s">
        <v>591</v>
      </c>
      <c r="E577" s="2" t="s">
        <v>168</v>
      </c>
      <c r="F577" s="2" t="s">
        <v>160</v>
      </c>
      <c r="G577" s="2" t="s">
        <v>160</v>
      </c>
      <c r="H577" s="2" t="s">
        <v>161</v>
      </c>
      <c r="I577" s="2" t="s">
        <v>657</v>
      </c>
      <c r="J577" s="2" t="s">
        <v>348</v>
      </c>
      <c r="K577" s="2" t="s">
        <v>133</v>
      </c>
      <c r="L577" s="2" t="s">
        <v>29</v>
      </c>
      <c r="M577" s="2"/>
      <c r="N577" s="2" t="s">
        <v>365</v>
      </c>
      <c r="O577" s="2" t="s">
        <v>655</v>
      </c>
      <c r="P577" s="3">
        <v>128</v>
      </c>
      <c r="Q577" s="3">
        <v>128</v>
      </c>
      <c r="R577" s="4">
        <f t="shared" si="8"/>
        <v>256</v>
      </c>
      <c r="S577" s="2" t="s">
        <v>31</v>
      </c>
      <c r="T577" s="2" t="s">
        <v>594</v>
      </c>
    </row>
    <row r="578" spans="1:20" x14ac:dyDescent="0.3">
      <c r="A578" s="2" t="s">
        <v>588</v>
      </c>
      <c r="B578" s="2" t="s">
        <v>589</v>
      </c>
      <c r="C578" s="2" t="s">
        <v>590</v>
      </c>
      <c r="D578" s="2" t="s">
        <v>591</v>
      </c>
      <c r="E578" s="2" t="s">
        <v>168</v>
      </c>
      <c r="F578" s="2" t="s">
        <v>160</v>
      </c>
      <c r="G578" s="2" t="s">
        <v>160</v>
      </c>
      <c r="H578" s="2" t="s">
        <v>161</v>
      </c>
      <c r="I578" s="2" t="s">
        <v>658</v>
      </c>
      <c r="J578" s="2" t="s">
        <v>348</v>
      </c>
      <c r="K578" s="2" t="s">
        <v>133</v>
      </c>
      <c r="L578" s="2" t="s">
        <v>29</v>
      </c>
      <c r="M578" s="2"/>
      <c r="N578" s="2" t="s">
        <v>658</v>
      </c>
      <c r="O578" s="2" t="s">
        <v>659</v>
      </c>
      <c r="P578" s="3">
        <v>120</v>
      </c>
      <c r="Q578" s="3">
        <v>120</v>
      </c>
      <c r="R578" s="4">
        <f t="shared" ref="R578:R641" si="9">IF(P578="","",P578+Q578)</f>
        <v>240</v>
      </c>
      <c r="S578" s="2" t="s">
        <v>31</v>
      </c>
      <c r="T578" s="2" t="s">
        <v>594</v>
      </c>
    </row>
    <row r="579" spans="1:20" x14ac:dyDescent="0.3">
      <c r="A579" s="2" t="s">
        <v>588</v>
      </c>
      <c r="B579" s="2" t="s">
        <v>589</v>
      </c>
      <c r="C579" s="2" t="s">
        <v>590</v>
      </c>
      <c r="D579" s="2" t="s">
        <v>591</v>
      </c>
      <c r="E579" s="2" t="s">
        <v>168</v>
      </c>
      <c r="F579" s="2" t="s">
        <v>160</v>
      </c>
      <c r="G579" s="2" t="s">
        <v>160</v>
      </c>
      <c r="H579" s="2" t="s">
        <v>161</v>
      </c>
      <c r="I579" s="2" t="s">
        <v>660</v>
      </c>
      <c r="J579" s="2" t="s">
        <v>353</v>
      </c>
      <c r="K579" s="2" t="s">
        <v>133</v>
      </c>
      <c r="L579" s="2" t="s">
        <v>29</v>
      </c>
      <c r="M579" s="2"/>
      <c r="N579" s="2" t="s">
        <v>660</v>
      </c>
      <c r="O579" s="2" t="s">
        <v>661</v>
      </c>
      <c r="P579" s="3">
        <v>132</v>
      </c>
      <c r="Q579" s="3">
        <v>132</v>
      </c>
      <c r="R579" s="4">
        <f t="shared" si="9"/>
        <v>264</v>
      </c>
      <c r="S579" s="2" t="s">
        <v>31</v>
      </c>
      <c r="T579" s="2" t="s">
        <v>594</v>
      </c>
    </row>
    <row r="580" spans="1:20" x14ac:dyDescent="0.3">
      <c r="A580" s="2" t="s">
        <v>588</v>
      </c>
      <c r="B580" s="2" t="s">
        <v>589</v>
      </c>
      <c r="C580" s="2" t="s">
        <v>590</v>
      </c>
      <c r="D580" s="2" t="s">
        <v>591</v>
      </c>
      <c r="E580" s="2" t="s">
        <v>168</v>
      </c>
      <c r="F580" s="2" t="s">
        <v>160</v>
      </c>
      <c r="G580" s="2" t="s">
        <v>160</v>
      </c>
      <c r="H580" s="2" t="s">
        <v>161</v>
      </c>
      <c r="I580" s="2" t="s">
        <v>662</v>
      </c>
      <c r="J580" s="2" t="s">
        <v>363</v>
      </c>
      <c r="K580" s="2" t="s">
        <v>137</v>
      </c>
      <c r="L580" s="2" t="s">
        <v>29</v>
      </c>
      <c r="M580" s="2"/>
      <c r="N580" s="2" t="s">
        <v>362</v>
      </c>
      <c r="O580" s="2" t="s">
        <v>663</v>
      </c>
      <c r="P580" s="3">
        <v>97</v>
      </c>
      <c r="Q580" s="3">
        <v>97</v>
      </c>
      <c r="R580" s="4">
        <f t="shared" si="9"/>
        <v>194</v>
      </c>
      <c r="S580" s="2" t="s">
        <v>31</v>
      </c>
      <c r="T580" s="2" t="s">
        <v>594</v>
      </c>
    </row>
    <row r="581" spans="1:20" x14ac:dyDescent="0.3">
      <c r="A581" s="2" t="s">
        <v>588</v>
      </c>
      <c r="B581" s="2" t="s">
        <v>589</v>
      </c>
      <c r="C581" s="2" t="s">
        <v>590</v>
      </c>
      <c r="D581" s="2" t="s">
        <v>591</v>
      </c>
      <c r="E581" s="2" t="s">
        <v>168</v>
      </c>
      <c r="F581" s="2" t="s">
        <v>160</v>
      </c>
      <c r="G581" s="2" t="s">
        <v>160</v>
      </c>
      <c r="H581" s="2" t="s">
        <v>161</v>
      </c>
      <c r="I581" s="2" t="s">
        <v>352</v>
      </c>
      <c r="J581" s="2" t="s">
        <v>353</v>
      </c>
      <c r="K581" s="2" t="s">
        <v>133</v>
      </c>
      <c r="L581" s="2" t="s">
        <v>29</v>
      </c>
      <c r="M581" s="2"/>
      <c r="N581" s="2" t="s">
        <v>352</v>
      </c>
      <c r="O581" s="2" t="s">
        <v>664</v>
      </c>
      <c r="P581" s="3">
        <v>114</v>
      </c>
      <c r="Q581" s="3">
        <v>114</v>
      </c>
      <c r="R581" s="4">
        <f t="shared" si="9"/>
        <v>228</v>
      </c>
      <c r="S581" s="2" t="s">
        <v>31</v>
      </c>
      <c r="T581" s="2" t="s">
        <v>594</v>
      </c>
    </row>
    <row r="582" spans="1:20" x14ac:dyDescent="0.3">
      <c r="A582" s="2" t="s">
        <v>588</v>
      </c>
      <c r="B582" s="2" t="s">
        <v>589</v>
      </c>
      <c r="C582" s="2" t="s">
        <v>590</v>
      </c>
      <c r="D582" s="2" t="s">
        <v>591</v>
      </c>
      <c r="E582" s="2" t="s">
        <v>168</v>
      </c>
      <c r="F582" s="2" t="s">
        <v>160</v>
      </c>
      <c r="G582" s="2" t="s">
        <v>160</v>
      </c>
      <c r="H582" s="2" t="s">
        <v>161</v>
      </c>
      <c r="I582" s="2" t="s">
        <v>665</v>
      </c>
      <c r="J582" s="2" t="s">
        <v>353</v>
      </c>
      <c r="K582" s="2" t="s">
        <v>133</v>
      </c>
      <c r="L582" s="2" t="s">
        <v>29</v>
      </c>
      <c r="M582" s="2"/>
      <c r="N582" s="2" t="s">
        <v>352</v>
      </c>
      <c r="O582" s="2" t="s">
        <v>664</v>
      </c>
      <c r="P582" s="3">
        <v>114</v>
      </c>
      <c r="Q582" s="3">
        <v>114</v>
      </c>
      <c r="R582" s="4">
        <f t="shared" si="9"/>
        <v>228</v>
      </c>
      <c r="S582" s="2" t="s">
        <v>31</v>
      </c>
      <c r="T582" s="2" t="s">
        <v>594</v>
      </c>
    </row>
    <row r="583" spans="1:20" x14ac:dyDescent="0.3">
      <c r="A583" s="2" t="s">
        <v>588</v>
      </c>
      <c r="B583" s="2" t="s">
        <v>589</v>
      </c>
      <c r="C583" s="2" t="s">
        <v>590</v>
      </c>
      <c r="D583" s="2" t="s">
        <v>591</v>
      </c>
      <c r="E583" s="2" t="s">
        <v>168</v>
      </c>
      <c r="F583" s="2" t="s">
        <v>160</v>
      </c>
      <c r="G583" s="2" t="s">
        <v>160</v>
      </c>
      <c r="H583" s="2" t="s">
        <v>161</v>
      </c>
      <c r="I583" s="2" t="s">
        <v>503</v>
      </c>
      <c r="J583" s="2" t="s">
        <v>136</v>
      </c>
      <c r="K583" s="2" t="s">
        <v>137</v>
      </c>
      <c r="L583" s="2" t="s">
        <v>29</v>
      </c>
      <c r="M583" s="2"/>
      <c r="N583" s="2" t="s">
        <v>503</v>
      </c>
      <c r="O583" s="2" t="s">
        <v>666</v>
      </c>
      <c r="P583" s="3">
        <v>121</v>
      </c>
      <c r="Q583" s="3">
        <v>121</v>
      </c>
      <c r="R583" s="4">
        <f t="shared" si="9"/>
        <v>242</v>
      </c>
      <c r="S583" s="2" t="s">
        <v>31</v>
      </c>
      <c r="T583" s="2" t="s">
        <v>594</v>
      </c>
    </row>
    <row r="584" spans="1:20" x14ac:dyDescent="0.3">
      <c r="A584" s="2" t="s">
        <v>588</v>
      </c>
      <c r="B584" s="2" t="s">
        <v>589</v>
      </c>
      <c r="C584" s="2" t="s">
        <v>590</v>
      </c>
      <c r="D584" s="2" t="s">
        <v>591</v>
      </c>
      <c r="E584" s="2" t="s">
        <v>168</v>
      </c>
      <c r="F584" s="2" t="s">
        <v>160</v>
      </c>
      <c r="G584" s="2" t="s">
        <v>160</v>
      </c>
      <c r="H584" s="2" t="s">
        <v>161</v>
      </c>
      <c r="I584" s="2" t="s">
        <v>379</v>
      </c>
      <c r="J584" s="2" t="s">
        <v>348</v>
      </c>
      <c r="K584" s="2" t="s">
        <v>133</v>
      </c>
      <c r="L584" s="2" t="s">
        <v>29</v>
      </c>
      <c r="M584" s="2"/>
      <c r="N584" s="2" t="s">
        <v>379</v>
      </c>
      <c r="O584" s="2" t="s">
        <v>667</v>
      </c>
      <c r="P584" s="3">
        <v>128</v>
      </c>
      <c r="Q584" s="3">
        <v>128</v>
      </c>
      <c r="R584" s="4">
        <f t="shared" si="9"/>
        <v>256</v>
      </c>
      <c r="S584" s="2" t="s">
        <v>31</v>
      </c>
      <c r="T584" s="2" t="s">
        <v>594</v>
      </c>
    </row>
    <row r="585" spans="1:20" x14ac:dyDescent="0.3">
      <c r="A585" s="2" t="s">
        <v>588</v>
      </c>
      <c r="B585" s="2" t="s">
        <v>589</v>
      </c>
      <c r="C585" s="2" t="s">
        <v>590</v>
      </c>
      <c r="D585" s="2" t="s">
        <v>591</v>
      </c>
      <c r="E585" s="2" t="s">
        <v>168</v>
      </c>
      <c r="F585" s="2" t="s">
        <v>160</v>
      </c>
      <c r="G585" s="2" t="s">
        <v>160</v>
      </c>
      <c r="H585" s="2" t="s">
        <v>161</v>
      </c>
      <c r="I585" s="2" t="s">
        <v>362</v>
      </c>
      <c r="J585" s="2" t="s">
        <v>363</v>
      </c>
      <c r="K585" s="2" t="s">
        <v>137</v>
      </c>
      <c r="L585" s="2" t="s">
        <v>29</v>
      </c>
      <c r="M585" s="2"/>
      <c r="N585" s="2" t="s">
        <v>362</v>
      </c>
      <c r="O585" s="2" t="s">
        <v>663</v>
      </c>
      <c r="P585" s="3">
        <v>97</v>
      </c>
      <c r="Q585" s="3">
        <v>97</v>
      </c>
      <c r="R585" s="4">
        <f t="shared" si="9"/>
        <v>194</v>
      </c>
      <c r="S585" s="2" t="s">
        <v>31</v>
      </c>
      <c r="T585" s="2" t="s">
        <v>594</v>
      </c>
    </row>
    <row r="586" spans="1:20" x14ac:dyDescent="0.3">
      <c r="A586" s="2" t="s">
        <v>588</v>
      </c>
      <c r="B586" s="2" t="s">
        <v>589</v>
      </c>
      <c r="C586" s="2" t="s">
        <v>590</v>
      </c>
      <c r="D586" s="2" t="s">
        <v>591</v>
      </c>
      <c r="E586" s="2" t="s">
        <v>168</v>
      </c>
      <c r="F586" s="2" t="s">
        <v>160</v>
      </c>
      <c r="G586" s="2" t="s">
        <v>160</v>
      </c>
      <c r="H586" s="2" t="s">
        <v>161</v>
      </c>
      <c r="I586" s="2" t="s">
        <v>668</v>
      </c>
      <c r="J586" s="2" t="s">
        <v>348</v>
      </c>
      <c r="K586" s="2" t="s">
        <v>133</v>
      </c>
      <c r="L586" s="2" t="s">
        <v>29</v>
      </c>
      <c r="M586" s="2"/>
      <c r="N586" s="2" t="s">
        <v>668</v>
      </c>
      <c r="O586" s="2" t="s">
        <v>669</v>
      </c>
      <c r="P586" s="3">
        <v>83</v>
      </c>
      <c r="Q586" s="3">
        <v>83</v>
      </c>
      <c r="R586" s="4">
        <f t="shared" si="9"/>
        <v>166</v>
      </c>
      <c r="S586" s="2" t="s">
        <v>31</v>
      </c>
      <c r="T586" s="2" t="s">
        <v>594</v>
      </c>
    </row>
    <row r="587" spans="1:20" x14ac:dyDescent="0.3">
      <c r="A587" s="2" t="s">
        <v>588</v>
      </c>
      <c r="B587" s="2" t="s">
        <v>589</v>
      </c>
      <c r="C587" s="2" t="s">
        <v>590</v>
      </c>
      <c r="D587" s="2" t="s">
        <v>591</v>
      </c>
      <c r="E587" s="2" t="s">
        <v>168</v>
      </c>
      <c r="F587" s="2" t="s">
        <v>160</v>
      </c>
      <c r="G587" s="2" t="s">
        <v>160</v>
      </c>
      <c r="H587" s="2" t="s">
        <v>161</v>
      </c>
      <c r="I587" s="2" t="s">
        <v>670</v>
      </c>
      <c r="J587" s="2" t="s">
        <v>161</v>
      </c>
      <c r="K587" s="2" t="s">
        <v>133</v>
      </c>
      <c r="L587" s="2" t="s">
        <v>127</v>
      </c>
      <c r="M587" s="2" t="s">
        <v>128</v>
      </c>
      <c r="N587" s="2" t="s">
        <v>670</v>
      </c>
      <c r="O587" s="2" t="s">
        <v>671</v>
      </c>
      <c r="P587" s="3">
        <v>95</v>
      </c>
      <c r="Q587" s="3">
        <v>95</v>
      </c>
      <c r="R587" s="4">
        <f t="shared" si="9"/>
        <v>190</v>
      </c>
      <c r="S587" s="2" t="s">
        <v>31</v>
      </c>
      <c r="T587" s="2" t="s">
        <v>594</v>
      </c>
    </row>
    <row r="588" spans="1:20" x14ac:dyDescent="0.3">
      <c r="A588" s="2" t="s">
        <v>588</v>
      </c>
      <c r="B588" s="2" t="s">
        <v>589</v>
      </c>
      <c r="C588" s="2" t="s">
        <v>590</v>
      </c>
      <c r="D588" s="2" t="s">
        <v>591</v>
      </c>
      <c r="E588" s="2" t="s">
        <v>168</v>
      </c>
      <c r="F588" s="2" t="s">
        <v>160</v>
      </c>
      <c r="G588" s="2" t="s">
        <v>160</v>
      </c>
      <c r="H588" s="2" t="s">
        <v>161</v>
      </c>
      <c r="I588" s="2" t="s">
        <v>672</v>
      </c>
      <c r="J588" s="2" t="s">
        <v>161</v>
      </c>
      <c r="K588" s="2" t="s">
        <v>133</v>
      </c>
      <c r="L588" s="2" t="s">
        <v>127</v>
      </c>
      <c r="M588" s="2" t="s">
        <v>128</v>
      </c>
      <c r="N588" s="2" t="s">
        <v>672</v>
      </c>
      <c r="O588" s="2" t="s">
        <v>673</v>
      </c>
      <c r="P588" s="3">
        <v>95</v>
      </c>
      <c r="Q588" s="3">
        <v>95</v>
      </c>
      <c r="R588" s="4">
        <f t="shared" si="9"/>
        <v>190</v>
      </c>
      <c r="S588" s="2" t="s">
        <v>31</v>
      </c>
      <c r="T588" s="2" t="s">
        <v>594</v>
      </c>
    </row>
    <row r="589" spans="1:20" x14ac:dyDescent="0.3">
      <c r="A589" s="2" t="s">
        <v>588</v>
      </c>
      <c r="B589" s="2" t="s">
        <v>589</v>
      </c>
      <c r="C589" s="2" t="s">
        <v>590</v>
      </c>
      <c r="D589" s="2" t="s">
        <v>591</v>
      </c>
      <c r="E589" s="2" t="s">
        <v>168</v>
      </c>
      <c r="F589" s="2" t="s">
        <v>160</v>
      </c>
      <c r="G589" s="2" t="s">
        <v>160</v>
      </c>
      <c r="H589" s="2" t="s">
        <v>161</v>
      </c>
      <c r="I589" s="2" t="s">
        <v>674</v>
      </c>
      <c r="J589" s="2" t="s">
        <v>161</v>
      </c>
      <c r="K589" s="2" t="s">
        <v>133</v>
      </c>
      <c r="L589" s="2" t="s">
        <v>127</v>
      </c>
      <c r="M589" s="2" t="s">
        <v>128</v>
      </c>
      <c r="N589" s="2" t="s">
        <v>674</v>
      </c>
      <c r="O589" s="2" t="s">
        <v>675</v>
      </c>
      <c r="P589" s="3">
        <v>60</v>
      </c>
      <c r="Q589" s="3">
        <v>60</v>
      </c>
      <c r="R589" s="4">
        <f t="shared" si="9"/>
        <v>120</v>
      </c>
      <c r="S589" s="2" t="s">
        <v>31</v>
      </c>
      <c r="T589" s="2" t="s">
        <v>594</v>
      </c>
    </row>
    <row r="590" spans="1:20" x14ac:dyDescent="0.3">
      <c r="A590" s="2" t="s">
        <v>588</v>
      </c>
      <c r="B590" s="2" t="s">
        <v>589</v>
      </c>
      <c r="C590" s="2" t="s">
        <v>590</v>
      </c>
      <c r="D590" s="2" t="s">
        <v>591</v>
      </c>
      <c r="E590" s="2" t="s">
        <v>168</v>
      </c>
      <c r="F590" s="2" t="s">
        <v>160</v>
      </c>
      <c r="G590" s="2" t="s">
        <v>160</v>
      </c>
      <c r="H590" s="2" t="s">
        <v>161</v>
      </c>
      <c r="I590" s="2" t="s">
        <v>676</v>
      </c>
      <c r="J590" s="2" t="s">
        <v>161</v>
      </c>
      <c r="K590" s="2" t="s">
        <v>133</v>
      </c>
      <c r="L590" s="2" t="s">
        <v>127</v>
      </c>
      <c r="M590" s="2" t="s">
        <v>128</v>
      </c>
      <c r="N590" s="2" t="s">
        <v>676</v>
      </c>
      <c r="O590" s="2" t="s">
        <v>677</v>
      </c>
      <c r="P590" s="3">
        <v>69</v>
      </c>
      <c r="Q590" s="3">
        <v>69</v>
      </c>
      <c r="R590" s="4">
        <f t="shared" si="9"/>
        <v>138</v>
      </c>
      <c r="S590" s="2" t="s">
        <v>31</v>
      </c>
      <c r="T590" s="2" t="s">
        <v>594</v>
      </c>
    </row>
    <row r="591" spans="1:20" x14ac:dyDescent="0.3">
      <c r="A591" s="2" t="s">
        <v>588</v>
      </c>
      <c r="B591" s="2" t="s">
        <v>589</v>
      </c>
      <c r="C591" s="2" t="s">
        <v>590</v>
      </c>
      <c r="D591" s="2" t="s">
        <v>591</v>
      </c>
      <c r="E591" s="2" t="s">
        <v>168</v>
      </c>
      <c r="F591" s="2" t="s">
        <v>160</v>
      </c>
      <c r="G591" s="2" t="s">
        <v>160</v>
      </c>
      <c r="H591" s="2" t="s">
        <v>161</v>
      </c>
      <c r="I591" s="2" t="s">
        <v>135</v>
      </c>
      <c r="J591" s="2" t="s">
        <v>136</v>
      </c>
      <c r="K591" s="2" t="s">
        <v>137</v>
      </c>
      <c r="L591" s="2" t="s">
        <v>29</v>
      </c>
      <c r="M591" s="2"/>
      <c r="N591" s="2" t="s">
        <v>135</v>
      </c>
      <c r="O591" s="2" t="s">
        <v>678</v>
      </c>
      <c r="P591" s="3">
        <v>62</v>
      </c>
      <c r="Q591" s="3">
        <v>62</v>
      </c>
      <c r="R591" s="4">
        <f t="shared" si="9"/>
        <v>124</v>
      </c>
      <c r="S591" s="2" t="s">
        <v>31</v>
      </c>
      <c r="T591" s="2" t="s">
        <v>594</v>
      </c>
    </row>
    <row r="592" spans="1:20" x14ac:dyDescent="0.3">
      <c r="A592" s="2" t="s">
        <v>588</v>
      </c>
      <c r="B592" s="2" t="s">
        <v>589</v>
      </c>
      <c r="C592" s="2" t="s">
        <v>590</v>
      </c>
      <c r="D592" s="2" t="s">
        <v>591</v>
      </c>
      <c r="E592" s="2" t="s">
        <v>168</v>
      </c>
      <c r="F592" s="2" t="s">
        <v>160</v>
      </c>
      <c r="G592" s="2" t="s">
        <v>160</v>
      </c>
      <c r="H592" s="2" t="s">
        <v>161</v>
      </c>
      <c r="I592" s="2" t="s">
        <v>679</v>
      </c>
      <c r="J592" s="2" t="s">
        <v>363</v>
      </c>
      <c r="K592" s="2" t="s">
        <v>137</v>
      </c>
      <c r="L592" s="2" t="s">
        <v>29</v>
      </c>
      <c r="M592" s="2"/>
      <c r="N592" s="2" t="s">
        <v>679</v>
      </c>
      <c r="O592" s="2" t="s">
        <v>680</v>
      </c>
      <c r="P592" s="3">
        <v>99</v>
      </c>
      <c r="Q592" s="3">
        <v>99</v>
      </c>
      <c r="R592" s="4">
        <f t="shared" si="9"/>
        <v>198</v>
      </c>
      <c r="S592" s="2" t="s">
        <v>31</v>
      </c>
      <c r="T592" s="2" t="s">
        <v>594</v>
      </c>
    </row>
    <row r="593" spans="1:20" x14ac:dyDescent="0.3">
      <c r="A593" s="2" t="s">
        <v>588</v>
      </c>
      <c r="B593" s="2" t="s">
        <v>589</v>
      </c>
      <c r="C593" s="2" t="s">
        <v>590</v>
      </c>
      <c r="D593" s="2" t="s">
        <v>591</v>
      </c>
      <c r="E593" s="2" t="s">
        <v>168</v>
      </c>
      <c r="F593" s="2" t="s">
        <v>160</v>
      </c>
      <c r="G593" s="2" t="s">
        <v>160</v>
      </c>
      <c r="H593" s="2" t="s">
        <v>161</v>
      </c>
      <c r="I593" s="2" t="s">
        <v>681</v>
      </c>
      <c r="J593" s="2" t="s">
        <v>161</v>
      </c>
      <c r="K593" s="2" t="s">
        <v>133</v>
      </c>
      <c r="L593" s="2" t="s">
        <v>127</v>
      </c>
      <c r="M593" s="2" t="s">
        <v>128</v>
      </c>
      <c r="N593" s="2" t="s">
        <v>681</v>
      </c>
      <c r="O593" s="2" t="s">
        <v>682</v>
      </c>
      <c r="P593" s="3">
        <v>53</v>
      </c>
      <c r="Q593" s="3">
        <v>53</v>
      </c>
      <c r="R593" s="4">
        <f t="shared" si="9"/>
        <v>106</v>
      </c>
      <c r="S593" s="2" t="s">
        <v>31</v>
      </c>
      <c r="T593" s="2" t="s">
        <v>594</v>
      </c>
    </row>
    <row r="594" spans="1:20" x14ac:dyDescent="0.3">
      <c r="A594" s="2" t="s">
        <v>683</v>
      </c>
      <c r="B594" s="2" t="s">
        <v>684</v>
      </c>
      <c r="C594" s="2" t="s">
        <v>590</v>
      </c>
      <c r="D594" s="2" t="s">
        <v>591</v>
      </c>
      <c r="E594" s="2" t="s">
        <v>168</v>
      </c>
      <c r="F594" s="2" t="s">
        <v>160</v>
      </c>
      <c r="G594" s="2" t="s">
        <v>160</v>
      </c>
      <c r="H594" s="2" t="s">
        <v>161</v>
      </c>
      <c r="I594" s="2" t="s">
        <v>377</v>
      </c>
      <c r="J594" s="2" t="s">
        <v>161</v>
      </c>
      <c r="K594" s="2" t="s">
        <v>133</v>
      </c>
      <c r="L594" s="2" t="s">
        <v>127</v>
      </c>
      <c r="M594" s="2" t="s">
        <v>128</v>
      </c>
      <c r="N594" s="2" t="s">
        <v>377</v>
      </c>
      <c r="O594" s="2" t="s">
        <v>685</v>
      </c>
      <c r="P594" s="3">
        <v>53</v>
      </c>
      <c r="Q594" s="3">
        <v>53</v>
      </c>
      <c r="R594" s="4">
        <f t="shared" si="9"/>
        <v>106</v>
      </c>
      <c r="S594" s="2" t="s">
        <v>31</v>
      </c>
      <c r="T594" s="2" t="s">
        <v>594</v>
      </c>
    </row>
    <row r="595" spans="1:20" x14ac:dyDescent="0.3">
      <c r="A595" s="2" t="s">
        <v>683</v>
      </c>
      <c r="B595" s="2" t="s">
        <v>684</v>
      </c>
      <c r="C595" s="2" t="s">
        <v>590</v>
      </c>
      <c r="D595" s="2" t="s">
        <v>591</v>
      </c>
      <c r="E595" s="2" t="s">
        <v>168</v>
      </c>
      <c r="F595" s="2" t="s">
        <v>160</v>
      </c>
      <c r="G595" s="2" t="s">
        <v>160</v>
      </c>
      <c r="H595" s="2" t="s">
        <v>161</v>
      </c>
      <c r="I595" s="2" t="s">
        <v>686</v>
      </c>
      <c r="J595" s="2" t="s">
        <v>161</v>
      </c>
      <c r="K595" s="2" t="s">
        <v>133</v>
      </c>
      <c r="L595" s="2" t="s">
        <v>127</v>
      </c>
      <c r="M595" s="2" t="s">
        <v>687</v>
      </c>
      <c r="N595" s="2" t="s">
        <v>686</v>
      </c>
      <c r="O595" s="2" t="s">
        <v>688</v>
      </c>
      <c r="P595" s="3">
        <v>34</v>
      </c>
      <c r="Q595" s="3">
        <v>34</v>
      </c>
      <c r="R595" s="4">
        <f t="shared" si="9"/>
        <v>68</v>
      </c>
      <c r="S595" s="2" t="s">
        <v>31</v>
      </c>
      <c r="T595" s="2" t="s">
        <v>594</v>
      </c>
    </row>
    <row r="596" spans="1:20" x14ac:dyDescent="0.3">
      <c r="A596" s="2" t="s">
        <v>683</v>
      </c>
      <c r="B596" s="2" t="s">
        <v>684</v>
      </c>
      <c r="C596" s="2" t="s">
        <v>590</v>
      </c>
      <c r="D596" s="2" t="s">
        <v>591</v>
      </c>
      <c r="E596" s="2" t="s">
        <v>168</v>
      </c>
      <c r="F596" s="2" t="s">
        <v>160</v>
      </c>
      <c r="G596" s="2" t="s">
        <v>160</v>
      </c>
      <c r="H596" s="2" t="s">
        <v>161</v>
      </c>
      <c r="I596" s="2" t="s">
        <v>689</v>
      </c>
      <c r="J596" s="2" t="s">
        <v>161</v>
      </c>
      <c r="K596" s="2" t="s">
        <v>133</v>
      </c>
      <c r="L596" s="2" t="s">
        <v>127</v>
      </c>
      <c r="M596" s="2" t="s">
        <v>687</v>
      </c>
      <c r="N596" s="2" t="s">
        <v>689</v>
      </c>
      <c r="O596" s="2" t="s">
        <v>690</v>
      </c>
      <c r="P596" s="3">
        <v>31</v>
      </c>
      <c r="Q596" s="3">
        <v>31</v>
      </c>
      <c r="R596" s="4">
        <f t="shared" si="9"/>
        <v>62</v>
      </c>
      <c r="S596" s="2" t="s">
        <v>31</v>
      </c>
      <c r="T596" s="2" t="s">
        <v>594</v>
      </c>
    </row>
    <row r="597" spans="1:20" x14ac:dyDescent="0.3">
      <c r="A597" s="2" t="s">
        <v>683</v>
      </c>
      <c r="B597" s="2" t="s">
        <v>684</v>
      </c>
      <c r="C597" s="2" t="s">
        <v>590</v>
      </c>
      <c r="D597" s="2" t="s">
        <v>591</v>
      </c>
      <c r="E597" s="2" t="s">
        <v>168</v>
      </c>
      <c r="F597" s="2" t="s">
        <v>160</v>
      </c>
      <c r="G597" s="2" t="s">
        <v>160</v>
      </c>
      <c r="H597" s="2" t="s">
        <v>161</v>
      </c>
      <c r="I597" s="2" t="s">
        <v>691</v>
      </c>
      <c r="J597" s="2" t="s">
        <v>161</v>
      </c>
      <c r="K597" s="2" t="s">
        <v>133</v>
      </c>
      <c r="L597" s="2" t="s">
        <v>127</v>
      </c>
      <c r="M597" s="2" t="s">
        <v>692</v>
      </c>
      <c r="N597" s="2" t="s">
        <v>691</v>
      </c>
      <c r="O597" s="2" t="s">
        <v>693</v>
      </c>
      <c r="P597" s="3">
        <v>26</v>
      </c>
      <c r="Q597" s="3">
        <v>26</v>
      </c>
      <c r="R597" s="4">
        <f t="shared" si="9"/>
        <v>52</v>
      </c>
      <c r="S597" s="2" t="s">
        <v>31</v>
      </c>
      <c r="T597" s="2" t="s">
        <v>594</v>
      </c>
    </row>
    <row r="598" spans="1:20" x14ac:dyDescent="0.3">
      <c r="A598" s="2" t="s">
        <v>683</v>
      </c>
      <c r="B598" s="2" t="s">
        <v>684</v>
      </c>
      <c r="C598" s="2" t="s">
        <v>590</v>
      </c>
      <c r="D598" s="2" t="s">
        <v>591</v>
      </c>
      <c r="E598" s="2" t="s">
        <v>168</v>
      </c>
      <c r="F598" s="2" t="s">
        <v>160</v>
      </c>
      <c r="G598" s="2" t="s">
        <v>160</v>
      </c>
      <c r="H598" s="2" t="s">
        <v>161</v>
      </c>
      <c r="I598" s="2" t="s">
        <v>694</v>
      </c>
      <c r="J598" s="2" t="s">
        <v>161</v>
      </c>
      <c r="K598" s="2" t="s">
        <v>133</v>
      </c>
      <c r="L598" s="2" t="s">
        <v>127</v>
      </c>
      <c r="M598" s="2" t="s">
        <v>695</v>
      </c>
      <c r="N598" s="2" t="s">
        <v>694</v>
      </c>
      <c r="O598" s="2" t="s">
        <v>696</v>
      </c>
      <c r="P598" s="3">
        <v>21</v>
      </c>
      <c r="Q598" s="3">
        <v>21</v>
      </c>
      <c r="R598" s="4">
        <f t="shared" si="9"/>
        <v>42</v>
      </c>
      <c r="S598" s="2" t="s">
        <v>31</v>
      </c>
      <c r="T598" s="2" t="s">
        <v>594</v>
      </c>
    </row>
    <row r="599" spans="1:20" x14ac:dyDescent="0.3">
      <c r="A599" s="2" t="s">
        <v>683</v>
      </c>
      <c r="B599" s="2" t="s">
        <v>684</v>
      </c>
      <c r="C599" s="2" t="s">
        <v>590</v>
      </c>
      <c r="D599" s="2" t="s">
        <v>591</v>
      </c>
      <c r="E599" s="2" t="s">
        <v>168</v>
      </c>
      <c r="F599" s="2" t="s">
        <v>160</v>
      </c>
      <c r="G599" s="2" t="s">
        <v>160</v>
      </c>
      <c r="H599" s="2" t="s">
        <v>161</v>
      </c>
      <c r="I599" s="2" t="s">
        <v>697</v>
      </c>
      <c r="J599" s="2" t="s">
        <v>161</v>
      </c>
      <c r="K599" s="2" t="s">
        <v>133</v>
      </c>
      <c r="L599" s="2" t="s">
        <v>127</v>
      </c>
      <c r="M599" s="2" t="s">
        <v>692</v>
      </c>
      <c r="N599" s="2" t="s">
        <v>697</v>
      </c>
      <c r="O599" s="2" t="s">
        <v>698</v>
      </c>
      <c r="P599" s="3">
        <v>22</v>
      </c>
      <c r="Q599" s="3">
        <v>22</v>
      </c>
      <c r="R599" s="4">
        <f t="shared" si="9"/>
        <v>44</v>
      </c>
      <c r="S599" s="2" t="s">
        <v>31</v>
      </c>
      <c r="T599" s="2" t="s">
        <v>594</v>
      </c>
    </row>
    <row r="600" spans="1:20" x14ac:dyDescent="0.3">
      <c r="A600" s="2" t="s">
        <v>683</v>
      </c>
      <c r="B600" s="2" t="s">
        <v>684</v>
      </c>
      <c r="C600" s="2" t="s">
        <v>590</v>
      </c>
      <c r="D600" s="2" t="s">
        <v>591</v>
      </c>
      <c r="E600" s="2" t="s">
        <v>168</v>
      </c>
      <c r="F600" s="2" t="s">
        <v>160</v>
      </c>
      <c r="G600" s="2" t="s">
        <v>160</v>
      </c>
      <c r="H600" s="2" t="s">
        <v>161</v>
      </c>
      <c r="I600" s="2" t="s">
        <v>699</v>
      </c>
      <c r="J600" s="2" t="s">
        <v>161</v>
      </c>
      <c r="K600" s="2" t="s">
        <v>133</v>
      </c>
      <c r="L600" s="2" t="s">
        <v>127</v>
      </c>
      <c r="M600" s="2" t="s">
        <v>695</v>
      </c>
      <c r="N600" s="2" t="s">
        <v>699</v>
      </c>
      <c r="O600" s="2" t="s">
        <v>700</v>
      </c>
      <c r="P600" s="3">
        <v>16</v>
      </c>
      <c r="Q600" s="3">
        <v>16</v>
      </c>
      <c r="R600" s="4">
        <f t="shared" si="9"/>
        <v>32</v>
      </c>
      <c r="S600" s="2" t="s">
        <v>31</v>
      </c>
      <c r="T600" s="2" t="s">
        <v>594</v>
      </c>
    </row>
    <row r="601" spans="1:20" x14ac:dyDescent="0.3">
      <c r="A601" s="2" t="s">
        <v>683</v>
      </c>
      <c r="B601" s="2" t="s">
        <v>684</v>
      </c>
      <c r="C601" s="2" t="s">
        <v>590</v>
      </c>
      <c r="D601" s="2" t="s">
        <v>591</v>
      </c>
      <c r="E601" s="2" t="s">
        <v>168</v>
      </c>
      <c r="F601" s="2" t="s">
        <v>160</v>
      </c>
      <c r="G601" s="2" t="s">
        <v>160</v>
      </c>
      <c r="H601" s="2" t="s">
        <v>161</v>
      </c>
      <c r="I601" s="2" t="s">
        <v>701</v>
      </c>
      <c r="J601" s="2" t="s">
        <v>161</v>
      </c>
      <c r="K601" s="2" t="s">
        <v>133</v>
      </c>
      <c r="L601" s="2" t="s">
        <v>127</v>
      </c>
      <c r="M601" s="2" t="s">
        <v>128</v>
      </c>
      <c r="N601" s="2" t="s">
        <v>701</v>
      </c>
      <c r="O601" s="2" t="s">
        <v>702</v>
      </c>
      <c r="P601" s="3">
        <v>14</v>
      </c>
      <c r="Q601" s="3">
        <v>14</v>
      </c>
      <c r="R601" s="4">
        <f t="shared" si="9"/>
        <v>28</v>
      </c>
      <c r="S601" s="2" t="s">
        <v>31</v>
      </c>
      <c r="T601" s="2" t="s">
        <v>594</v>
      </c>
    </row>
    <row r="602" spans="1:20" x14ac:dyDescent="0.3">
      <c r="A602" s="2" t="s">
        <v>683</v>
      </c>
      <c r="B602" s="2" t="s">
        <v>684</v>
      </c>
      <c r="C602" s="2" t="s">
        <v>590</v>
      </c>
      <c r="D602" s="2" t="s">
        <v>591</v>
      </c>
      <c r="E602" s="2" t="s">
        <v>168</v>
      </c>
      <c r="F602" s="2" t="s">
        <v>160</v>
      </c>
      <c r="G602" s="2" t="s">
        <v>160</v>
      </c>
      <c r="H602" s="2" t="s">
        <v>161</v>
      </c>
      <c r="I602" s="2" t="s">
        <v>703</v>
      </c>
      <c r="J602" s="2" t="s">
        <v>161</v>
      </c>
      <c r="K602" s="2" t="s">
        <v>133</v>
      </c>
      <c r="L602" s="2" t="s">
        <v>127</v>
      </c>
      <c r="M602" s="2" t="s">
        <v>128</v>
      </c>
      <c r="N602" s="2" t="s">
        <v>377</v>
      </c>
      <c r="O602" s="2" t="s">
        <v>685</v>
      </c>
      <c r="P602" s="3">
        <v>53</v>
      </c>
      <c r="Q602" s="3">
        <v>53</v>
      </c>
      <c r="R602" s="4">
        <f t="shared" si="9"/>
        <v>106</v>
      </c>
      <c r="S602" s="2" t="s">
        <v>31</v>
      </c>
      <c r="T602" s="2" t="s">
        <v>594</v>
      </c>
    </row>
    <row r="603" spans="1:20" x14ac:dyDescent="0.3">
      <c r="A603" s="2" t="s">
        <v>683</v>
      </c>
      <c r="B603" s="2" t="s">
        <v>684</v>
      </c>
      <c r="C603" s="2" t="s">
        <v>590</v>
      </c>
      <c r="D603" s="2" t="s">
        <v>591</v>
      </c>
      <c r="E603" s="2" t="s">
        <v>168</v>
      </c>
      <c r="F603" s="2" t="s">
        <v>160</v>
      </c>
      <c r="G603" s="2" t="s">
        <v>160</v>
      </c>
      <c r="H603" s="2" t="s">
        <v>161</v>
      </c>
      <c r="I603" s="2" t="s">
        <v>687</v>
      </c>
      <c r="J603" s="2" t="s">
        <v>161</v>
      </c>
      <c r="K603" s="2" t="s">
        <v>133</v>
      </c>
      <c r="L603" s="2" t="s">
        <v>127</v>
      </c>
      <c r="M603" s="2" t="s">
        <v>687</v>
      </c>
      <c r="N603" s="2" t="s">
        <v>704</v>
      </c>
      <c r="O603" s="2" t="s">
        <v>705</v>
      </c>
      <c r="P603" s="3">
        <v>19</v>
      </c>
      <c r="Q603" s="3">
        <v>19</v>
      </c>
      <c r="R603" s="4">
        <f t="shared" si="9"/>
        <v>38</v>
      </c>
      <c r="S603" s="2" t="s">
        <v>31</v>
      </c>
      <c r="T603" s="2" t="s">
        <v>594</v>
      </c>
    </row>
    <row r="604" spans="1:20" x14ac:dyDescent="0.3">
      <c r="A604" s="2" t="s">
        <v>683</v>
      </c>
      <c r="B604" s="2" t="s">
        <v>684</v>
      </c>
      <c r="C604" s="2" t="s">
        <v>590</v>
      </c>
      <c r="D604" s="2" t="s">
        <v>591</v>
      </c>
      <c r="E604" s="2" t="s">
        <v>168</v>
      </c>
      <c r="F604" s="2" t="s">
        <v>160</v>
      </c>
      <c r="G604" s="2" t="s">
        <v>160</v>
      </c>
      <c r="H604" s="2" t="s">
        <v>161</v>
      </c>
      <c r="I604" s="2" t="s">
        <v>706</v>
      </c>
      <c r="J604" s="2" t="s">
        <v>161</v>
      </c>
      <c r="K604" s="2" t="s">
        <v>133</v>
      </c>
      <c r="L604" s="2" t="s">
        <v>127</v>
      </c>
      <c r="M604" s="2" t="s">
        <v>695</v>
      </c>
      <c r="N604" s="2" t="s">
        <v>706</v>
      </c>
      <c r="O604" s="2" t="s">
        <v>707</v>
      </c>
      <c r="P604" s="3">
        <v>12</v>
      </c>
      <c r="Q604" s="3">
        <v>12</v>
      </c>
      <c r="R604" s="4">
        <f t="shared" si="9"/>
        <v>24</v>
      </c>
      <c r="S604" s="2" t="s">
        <v>31</v>
      </c>
      <c r="T604" s="2" t="s">
        <v>594</v>
      </c>
    </row>
    <row r="605" spans="1:20" x14ac:dyDescent="0.3">
      <c r="A605" s="2" t="s">
        <v>683</v>
      </c>
      <c r="B605" s="2" t="s">
        <v>684</v>
      </c>
      <c r="C605" s="2" t="s">
        <v>590</v>
      </c>
      <c r="D605" s="2" t="s">
        <v>591</v>
      </c>
      <c r="E605" s="2" t="s">
        <v>168</v>
      </c>
      <c r="F605" s="2" t="s">
        <v>160</v>
      </c>
      <c r="G605" s="2" t="s">
        <v>160</v>
      </c>
      <c r="H605" s="2" t="s">
        <v>161</v>
      </c>
      <c r="I605" s="2" t="s">
        <v>708</v>
      </c>
      <c r="J605" s="2" t="s">
        <v>161</v>
      </c>
      <c r="K605" s="2" t="s">
        <v>133</v>
      </c>
      <c r="L605" s="2" t="s">
        <v>127</v>
      </c>
      <c r="M605" s="2" t="s">
        <v>709</v>
      </c>
      <c r="N605" s="2" t="s">
        <v>708</v>
      </c>
      <c r="O605" s="2" t="s">
        <v>710</v>
      </c>
      <c r="P605" s="3">
        <v>7</v>
      </c>
      <c r="Q605" s="3">
        <v>7</v>
      </c>
      <c r="R605" s="4">
        <f t="shared" si="9"/>
        <v>14</v>
      </c>
      <c r="S605" s="2" t="s">
        <v>31</v>
      </c>
      <c r="T605" s="2" t="s">
        <v>594</v>
      </c>
    </row>
    <row r="606" spans="1:20" x14ac:dyDescent="0.3">
      <c r="A606" s="2" t="s">
        <v>683</v>
      </c>
      <c r="B606" s="2" t="s">
        <v>684</v>
      </c>
      <c r="C606" s="2" t="s">
        <v>590</v>
      </c>
      <c r="D606" s="2" t="s">
        <v>591</v>
      </c>
      <c r="E606" s="2" t="s">
        <v>168</v>
      </c>
      <c r="F606" s="2" t="s">
        <v>160</v>
      </c>
      <c r="G606" s="2" t="s">
        <v>160</v>
      </c>
      <c r="H606" s="2" t="s">
        <v>161</v>
      </c>
      <c r="I606" s="2" t="s">
        <v>711</v>
      </c>
      <c r="J606" s="2" t="s">
        <v>161</v>
      </c>
      <c r="K606" s="2" t="s">
        <v>133</v>
      </c>
      <c r="L606" s="2" t="s">
        <v>127</v>
      </c>
      <c r="M606" s="2" t="s">
        <v>692</v>
      </c>
      <c r="N606" s="2" t="s">
        <v>711</v>
      </c>
      <c r="O606" s="2" t="s">
        <v>712</v>
      </c>
      <c r="P606" s="3">
        <v>14</v>
      </c>
      <c r="Q606" s="3">
        <v>14</v>
      </c>
      <c r="R606" s="4">
        <f t="shared" si="9"/>
        <v>28</v>
      </c>
      <c r="S606" s="2" t="s">
        <v>31</v>
      </c>
      <c r="T606" s="2" t="s">
        <v>594</v>
      </c>
    </row>
    <row r="607" spans="1:20" x14ac:dyDescent="0.3">
      <c r="A607" s="2" t="s">
        <v>683</v>
      </c>
      <c r="B607" s="2" t="s">
        <v>684</v>
      </c>
      <c r="C607" s="2" t="s">
        <v>590</v>
      </c>
      <c r="D607" s="2" t="s">
        <v>591</v>
      </c>
      <c r="E607" s="2" t="s">
        <v>168</v>
      </c>
      <c r="F607" s="2" t="s">
        <v>160</v>
      </c>
      <c r="G607" s="2" t="s">
        <v>160</v>
      </c>
      <c r="H607" s="2" t="s">
        <v>161</v>
      </c>
      <c r="I607" s="2" t="s">
        <v>713</v>
      </c>
      <c r="J607" s="2" t="s">
        <v>161</v>
      </c>
      <c r="K607" s="2" t="s">
        <v>133</v>
      </c>
      <c r="L607" s="2" t="s">
        <v>127</v>
      </c>
      <c r="M607" s="2" t="s">
        <v>709</v>
      </c>
      <c r="N607" s="2" t="s">
        <v>713</v>
      </c>
      <c r="O607" s="2" t="s">
        <v>714</v>
      </c>
      <c r="P607" s="3">
        <v>3</v>
      </c>
      <c r="Q607" s="3">
        <v>3</v>
      </c>
      <c r="R607" s="4">
        <f t="shared" si="9"/>
        <v>6</v>
      </c>
      <c r="S607" s="2" t="s">
        <v>31</v>
      </c>
      <c r="T607" s="2" t="s">
        <v>594</v>
      </c>
    </row>
    <row r="608" spans="1:20" x14ac:dyDescent="0.3">
      <c r="A608" s="2" t="s">
        <v>683</v>
      </c>
      <c r="B608" s="2" t="s">
        <v>684</v>
      </c>
      <c r="C608" s="2" t="s">
        <v>590</v>
      </c>
      <c r="D608" s="2" t="s">
        <v>591</v>
      </c>
      <c r="E608" s="2" t="s">
        <v>168</v>
      </c>
      <c r="F608" s="2" t="s">
        <v>160</v>
      </c>
      <c r="G608" s="2" t="s">
        <v>160</v>
      </c>
      <c r="H608" s="2" t="s">
        <v>161</v>
      </c>
      <c r="I608" s="2" t="s">
        <v>715</v>
      </c>
      <c r="J608" s="2" t="s">
        <v>161</v>
      </c>
      <c r="K608" s="2" t="s">
        <v>133</v>
      </c>
      <c r="L608" s="2" t="s">
        <v>127</v>
      </c>
      <c r="M608" s="2" t="s">
        <v>709</v>
      </c>
      <c r="N608" s="2" t="s">
        <v>715</v>
      </c>
      <c r="O608" s="2" t="s">
        <v>716</v>
      </c>
      <c r="P608" s="3">
        <v>5</v>
      </c>
      <c r="Q608" s="3">
        <v>5</v>
      </c>
      <c r="R608" s="4">
        <f t="shared" si="9"/>
        <v>10</v>
      </c>
      <c r="S608" s="2" t="s">
        <v>31</v>
      </c>
      <c r="T608" s="2" t="s">
        <v>594</v>
      </c>
    </row>
    <row r="609" spans="1:20" x14ac:dyDescent="0.3">
      <c r="A609" s="2" t="s">
        <v>683</v>
      </c>
      <c r="B609" s="2" t="s">
        <v>684</v>
      </c>
      <c r="C609" s="2" t="s">
        <v>590</v>
      </c>
      <c r="D609" s="2" t="s">
        <v>591</v>
      </c>
      <c r="E609" s="2" t="s">
        <v>168</v>
      </c>
      <c r="F609" s="2" t="s">
        <v>160</v>
      </c>
      <c r="G609" s="2" t="s">
        <v>160</v>
      </c>
      <c r="H609" s="2" t="s">
        <v>161</v>
      </c>
      <c r="I609" s="2" t="s">
        <v>717</v>
      </c>
      <c r="J609" s="2" t="s">
        <v>161</v>
      </c>
      <c r="K609" s="2" t="s">
        <v>133</v>
      </c>
      <c r="L609" s="2" t="s">
        <v>127</v>
      </c>
      <c r="M609" s="2" t="s">
        <v>709</v>
      </c>
      <c r="N609" s="2" t="s">
        <v>718</v>
      </c>
      <c r="O609" s="2" t="s">
        <v>719</v>
      </c>
      <c r="P609" s="3">
        <v>3</v>
      </c>
      <c r="Q609" s="3">
        <v>3</v>
      </c>
      <c r="R609" s="4">
        <f t="shared" si="9"/>
        <v>6</v>
      </c>
      <c r="S609" s="2" t="s">
        <v>31</v>
      </c>
      <c r="T609" s="2" t="s">
        <v>594</v>
      </c>
    </row>
    <row r="610" spans="1:20" x14ac:dyDescent="0.3">
      <c r="A610" s="2" t="s">
        <v>588</v>
      </c>
      <c r="B610" s="2" t="s">
        <v>589</v>
      </c>
      <c r="C610" s="2" t="s">
        <v>590</v>
      </c>
      <c r="D610" s="2" t="s">
        <v>591</v>
      </c>
      <c r="E610" s="2" t="s">
        <v>168</v>
      </c>
      <c r="F610" s="2" t="s">
        <v>43</v>
      </c>
      <c r="G610" s="2" t="s">
        <v>43</v>
      </c>
      <c r="H610" s="2" t="s">
        <v>44</v>
      </c>
      <c r="I610" s="2" t="s">
        <v>113</v>
      </c>
      <c r="J610" s="2" t="s">
        <v>73</v>
      </c>
      <c r="K610" s="2" t="s">
        <v>54</v>
      </c>
      <c r="L610" s="2" t="s">
        <v>29</v>
      </c>
      <c r="M610" s="2"/>
      <c r="N610" s="2" t="s">
        <v>113</v>
      </c>
      <c r="O610" s="2" t="s">
        <v>720</v>
      </c>
      <c r="P610" s="3">
        <v>860</v>
      </c>
      <c r="Q610" s="3">
        <v>860</v>
      </c>
      <c r="R610" s="4">
        <f t="shared" si="9"/>
        <v>1720</v>
      </c>
      <c r="S610" s="2" t="s">
        <v>31</v>
      </c>
      <c r="T610" s="2" t="s">
        <v>721</v>
      </c>
    </row>
    <row r="611" spans="1:20" x14ac:dyDescent="0.3">
      <c r="A611" s="2" t="s">
        <v>588</v>
      </c>
      <c r="B611" s="2" t="s">
        <v>589</v>
      </c>
      <c r="C611" s="2" t="s">
        <v>590</v>
      </c>
      <c r="D611" s="2" t="s">
        <v>591</v>
      </c>
      <c r="E611" s="2" t="s">
        <v>168</v>
      </c>
      <c r="F611" s="2" t="s">
        <v>43</v>
      </c>
      <c r="G611" s="2" t="s">
        <v>43</v>
      </c>
      <c r="H611" s="2" t="s">
        <v>44</v>
      </c>
      <c r="I611" s="2" t="s">
        <v>119</v>
      </c>
      <c r="J611" s="2" t="s">
        <v>120</v>
      </c>
      <c r="K611" s="2" t="s">
        <v>54</v>
      </c>
      <c r="L611" s="2" t="s">
        <v>29</v>
      </c>
      <c r="M611" s="2"/>
      <c r="N611" s="2" t="s">
        <v>119</v>
      </c>
      <c r="O611" s="2" t="s">
        <v>722</v>
      </c>
      <c r="P611" s="3">
        <v>921</v>
      </c>
      <c r="Q611" s="3">
        <v>921</v>
      </c>
      <c r="R611" s="4">
        <f t="shared" si="9"/>
        <v>1842</v>
      </c>
      <c r="S611" s="2" t="s">
        <v>31</v>
      </c>
      <c r="T611" s="2" t="s">
        <v>721</v>
      </c>
    </row>
    <row r="612" spans="1:20" x14ac:dyDescent="0.3">
      <c r="A612" s="2" t="s">
        <v>588</v>
      </c>
      <c r="B612" s="2" t="s">
        <v>589</v>
      </c>
      <c r="C612" s="2" t="s">
        <v>590</v>
      </c>
      <c r="D612" s="2" t="s">
        <v>591</v>
      </c>
      <c r="E612" s="2" t="s">
        <v>168</v>
      </c>
      <c r="F612" s="2" t="s">
        <v>43</v>
      </c>
      <c r="G612" s="2" t="s">
        <v>43</v>
      </c>
      <c r="H612" s="2" t="s">
        <v>44</v>
      </c>
      <c r="I612" s="2" t="s">
        <v>72</v>
      </c>
      <c r="J612" s="2" t="s">
        <v>73</v>
      </c>
      <c r="K612" s="2" t="s">
        <v>54</v>
      </c>
      <c r="L612" s="2" t="s">
        <v>29</v>
      </c>
      <c r="M612" s="2"/>
      <c r="N612" s="2" t="s">
        <v>72</v>
      </c>
      <c r="O612" s="2" t="s">
        <v>723</v>
      </c>
      <c r="P612" s="3">
        <v>730</v>
      </c>
      <c r="Q612" s="3">
        <v>730</v>
      </c>
      <c r="R612" s="4">
        <f t="shared" si="9"/>
        <v>1460</v>
      </c>
      <c r="S612" s="2" t="s">
        <v>31</v>
      </c>
      <c r="T612" s="2" t="s">
        <v>721</v>
      </c>
    </row>
    <row r="613" spans="1:20" x14ac:dyDescent="0.3">
      <c r="A613" s="2" t="s">
        <v>588</v>
      </c>
      <c r="B613" s="2" t="s">
        <v>589</v>
      </c>
      <c r="C613" s="2" t="s">
        <v>590</v>
      </c>
      <c r="D613" s="2" t="s">
        <v>591</v>
      </c>
      <c r="E613" s="2" t="s">
        <v>168</v>
      </c>
      <c r="F613" s="2" t="s">
        <v>43</v>
      </c>
      <c r="G613" s="2" t="s">
        <v>43</v>
      </c>
      <c r="H613" s="2" t="s">
        <v>44</v>
      </c>
      <c r="I613" s="2" t="s">
        <v>724</v>
      </c>
      <c r="J613" s="2" t="s">
        <v>111</v>
      </c>
      <c r="K613" s="2" t="s">
        <v>54</v>
      </c>
      <c r="L613" s="2" t="s">
        <v>29</v>
      </c>
      <c r="M613" s="2"/>
      <c r="N613" s="2" t="s">
        <v>725</v>
      </c>
      <c r="O613" s="2" t="s">
        <v>726</v>
      </c>
      <c r="P613" s="3">
        <v>762</v>
      </c>
      <c r="Q613" s="3">
        <v>762</v>
      </c>
      <c r="R613" s="4">
        <f t="shared" si="9"/>
        <v>1524</v>
      </c>
      <c r="S613" s="2" t="s">
        <v>31</v>
      </c>
      <c r="T613" s="2" t="s">
        <v>721</v>
      </c>
    </row>
    <row r="614" spans="1:20" x14ac:dyDescent="0.3">
      <c r="A614" s="2" t="s">
        <v>588</v>
      </c>
      <c r="B614" s="2" t="s">
        <v>589</v>
      </c>
      <c r="C614" s="2" t="s">
        <v>590</v>
      </c>
      <c r="D614" s="2" t="s">
        <v>591</v>
      </c>
      <c r="E614" s="2" t="s">
        <v>168</v>
      </c>
      <c r="F614" s="2" t="s">
        <v>43</v>
      </c>
      <c r="G614" s="2" t="s">
        <v>43</v>
      </c>
      <c r="H614" s="2" t="s">
        <v>44</v>
      </c>
      <c r="I614" s="2" t="s">
        <v>727</v>
      </c>
      <c r="J614" s="2" t="s">
        <v>152</v>
      </c>
      <c r="K614" s="2" t="s">
        <v>38</v>
      </c>
      <c r="L614" s="2" t="s">
        <v>29</v>
      </c>
      <c r="M614" s="2" t="s">
        <v>188</v>
      </c>
      <c r="N614" s="2" t="s">
        <v>727</v>
      </c>
      <c r="O614" s="2" t="s">
        <v>728</v>
      </c>
      <c r="P614" s="3">
        <v>740</v>
      </c>
      <c r="Q614" s="3">
        <v>740</v>
      </c>
      <c r="R614" s="4">
        <f t="shared" si="9"/>
        <v>1480</v>
      </c>
      <c r="S614" s="2" t="s">
        <v>40</v>
      </c>
      <c r="T614" s="2" t="s">
        <v>721</v>
      </c>
    </row>
    <row r="615" spans="1:20" x14ac:dyDescent="0.3">
      <c r="A615" s="2" t="s">
        <v>588</v>
      </c>
      <c r="B615" s="2" t="s">
        <v>589</v>
      </c>
      <c r="C615" s="2" t="s">
        <v>590</v>
      </c>
      <c r="D615" s="2" t="s">
        <v>591</v>
      </c>
      <c r="E615" s="2" t="s">
        <v>168</v>
      </c>
      <c r="F615" s="2" t="s">
        <v>43</v>
      </c>
      <c r="G615" s="2" t="s">
        <v>43</v>
      </c>
      <c r="H615" s="2" t="s">
        <v>44</v>
      </c>
      <c r="I615" s="2" t="s">
        <v>160</v>
      </c>
      <c r="J615" s="2" t="s">
        <v>161</v>
      </c>
      <c r="K615" s="2" t="s">
        <v>133</v>
      </c>
      <c r="L615" s="2" t="s">
        <v>29</v>
      </c>
      <c r="M615" s="2"/>
      <c r="N615" s="2" t="s">
        <v>160</v>
      </c>
      <c r="O615" s="2" t="s">
        <v>729</v>
      </c>
      <c r="P615" s="3">
        <v>631</v>
      </c>
      <c r="Q615" s="3">
        <v>631</v>
      </c>
      <c r="R615" s="4">
        <f t="shared" si="9"/>
        <v>1262</v>
      </c>
      <c r="S615" s="2" t="s">
        <v>31</v>
      </c>
      <c r="T615" s="2" t="s">
        <v>721</v>
      </c>
    </row>
    <row r="616" spans="1:20" x14ac:dyDescent="0.3">
      <c r="A616" s="2" t="s">
        <v>588</v>
      </c>
      <c r="B616" s="2" t="s">
        <v>589</v>
      </c>
      <c r="C616" s="2" t="s">
        <v>590</v>
      </c>
      <c r="D616" s="2" t="s">
        <v>591</v>
      </c>
      <c r="E616" s="2" t="s">
        <v>168</v>
      </c>
      <c r="F616" s="2" t="s">
        <v>43</v>
      </c>
      <c r="G616" s="2" t="s">
        <v>43</v>
      </c>
      <c r="H616" s="2" t="s">
        <v>44</v>
      </c>
      <c r="I616" s="2" t="s">
        <v>292</v>
      </c>
      <c r="J616" s="2" t="s">
        <v>37</v>
      </c>
      <c r="K616" s="2" t="s">
        <v>38</v>
      </c>
      <c r="L616" s="2" t="s">
        <v>29</v>
      </c>
      <c r="M616" s="2"/>
      <c r="N616" s="2" t="s">
        <v>292</v>
      </c>
      <c r="O616" s="2" t="s">
        <v>730</v>
      </c>
      <c r="P616" s="3">
        <v>703</v>
      </c>
      <c r="Q616" s="3">
        <v>703</v>
      </c>
      <c r="R616" s="4">
        <f t="shared" si="9"/>
        <v>1406</v>
      </c>
      <c r="S616" s="2" t="s">
        <v>31</v>
      </c>
      <c r="T616" s="2" t="s">
        <v>721</v>
      </c>
    </row>
    <row r="617" spans="1:20" x14ac:dyDescent="0.3">
      <c r="A617" s="2" t="s">
        <v>588</v>
      </c>
      <c r="B617" s="2" t="s">
        <v>589</v>
      </c>
      <c r="C617" s="2" t="s">
        <v>590</v>
      </c>
      <c r="D617" s="2" t="s">
        <v>591</v>
      </c>
      <c r="E617" s="2" t="s">
        <v>168</v>
      </c>
      <c r="F617" s="2" t="s">
        <v>43</v>
      </c>
      <c r="G617" s="2" t="s">
        <v>43</v>
      </c>
      <c r="H617" s="2" t="s">
        <v>44</v>
      </c>
      <c r="I617" s="2" t="s">
        <v>401</v>
      </c>
      <c r="J617" s="2" t="s">
        <v>104</v>
      </c>
      <c r="K617" s="2" t="s">
        <v>28</v>
      </c>
      <c r="L617" s="2" t="s">
        <v>29</v>
      </c>
      <c r="M617" s="2"/>
      <c r="N617" s="2" t="s">
        <v>401</v>
      </c>
      <c r="O617" s="2" t="s">
        <v>731</v>
      </c>
      <c r="P617" s="3">
        <v>694</v>
      </c>
      <c r="Q617" s="3">
        <v>694</v>
      </c>
      <c r="R617" s="4">
        <f t="shared" si="9"/>
        <v>1388</v>
      </c>
      <c r="S617" s="2" t="s">
        <v>31</v>
      </c>
      <c r="T617" s="2" t="s">
        <v>721</v>
      </c>
    </row>
    <row r="618" spans="1:20" x14ac:dyDescent="0.3">
      <c r="A618" s="2" t="s">
        <v>588</v>
      </c>
      <c r="B618" s="2" t="s">
        <v>589</v>
      </c>
      <c r="C618" s="2" t="s">
        <v>590</v>
      </c>
      <c r="D618" s="2" t="s">
        <v>591</v>
      </c>
      <c r="E618" s="2" t="s">
        <v>168</v>
      </c>
      <c r="F618" s="2" t="s">
        <v>43</v>
      </c>
      <c r="G618" s="2" t="s">
        <v>43</v>
      </c>
      <c r="H618" s="2" t="s">
        <v>44</v>
      </c>
      <c r="I618" s="2" t="s">
        <v>50</v>
      </c>
      <c r="J618" s="2" t="s">
        <v>50</v>
      </c>
      <c r="K618" s="2" t="s">
        <v>28</v>
      </c>
      <c r="L618" s="2" t="s">
        <v>29</v>
      </c>
      <c r="M618" s="2"/>
      <c r="N618" s="2" t="s">
        <v>50</v>
      </c>
      <c r="O618" s="2" t="s">
        <v>732</v>
      </c>
      <c r="P618" s="3">
        <v>676</v>
      </c>
      <c r="Q618" s="3">
        <v>676</v>
      </c>
      <c r="R618" s="4">
        <f t="shared" si="9"/>
        <v>1352</v>
      </c>
      <c r="S618" s="2" t="s">
        <v>31</v>
      </c>
      <c r="T618" s="2" t="s">
        <v>721</v>
      </c>
    </row>
    <row r="619" spans="1:20" x14ac:dyDescent="0.3">
      <c r="A619" s="2" t="s">
        <v>588</v>
      </c>
      <c r="B619" s="2" t="s">
        <v>589</v>
      </c>
      <c r="C619" s="2" t="s">
        <v>590</v>
      </c>
      <c r="D619" s="2" t="s">
        <v>591</v>
      </c>
      <c r="E619" s="2" t="s">
        <v>168</v>
      </c>
      <c r="F619" s="2" t="s">
        <v>43</v>
      </c>
      <c r="G619" s="2" t="s">
        <v>43</v>
      </c>
      <c r="H619" s="2" t="s">
        <v>44</v>
      </c>
      <c r="I619" s="2" t="s">
        <v>56</v>
      </c>
      <c r="J619" s="2" t="s">
        <v>53</v>
      </c>
      <c r="K619" s="2" t="s">
        <v>54</v>
      </c>
      <c r="L619" s="2" t="s">
        <v>29</v>
      </c>
      <c r="M619" s="2"/>
      <c r="N619" s="2" t="s">
        <v>56</v>
      </c>
      <c r="O619" s="2" t="s">
        <v>733</v>
      </c>
      <c r="P619" s="3">
        <v>565</v>
      </c>
      <c r="Q619" s="3">
        <v>565</v>
      </c>
      <c r="R619" s="4">
        <f t="shared" si="9"/>
        <v>1130</v>
      </c>
      <c r="S619" s="2" t="s">
        <v>31</v>
      </c>
      <c r="T619" s="2" t="s">
        <v>721</v>
      </c>
    </row>
    <row r="620" spans="1:20" x14ac:dyDescent="0.3">
      <c r="A620" s="2" t="s">
        <v>588</v>
      </c>
      <c r="B620" s="2" t="s">
        <v>589</v>
      </c>
      <c r="C620" s="2" t="s">
        <v>590</v>
      </c>
      <c r="D620" s="2" t="s">
        <v>591</v>
      </c>
      <c r="E620" s="2" t="s">
        <v>168</v>
      </c>
      <c r="F620" s="2" t="s">
        <v>43</v>
      </c>
      <c r="G620" s="2" t="s">
        <v>43</v>
      </c>
      <c r="H620" s="2" t="s">
        <v>44</v>
      </c>
      <c r="I620" s="2" t="s">
        <v>174</v>
      </c>
      <c r="J620" s="2" t="s">
        <v>140</v>
      </c>
      <c r="K620" s="2" t="s">
        <v>133</v>
      </c>
      <c r="L620" s="2" t="s">
        <v>29</v>
      </c>
      <c r="M620" s="2"/>
      <c r="N620" s="2" t="s">
        <v>174</v>
      </c>
      <c r="O620" s="2" t="s">
        <v>734</v>
      </c>
      <c r="P620" s="3">
        <v>583</v>
      </c>
      <c r="Q620" s="3">
        <v>583</v>
      </c>
      <c r="R620" s="4">
        <f t="shared" si="9"/>
        <v>1166</v>
      </c>
      <c r="S620" s="2" t="s">
        <v>31</v>
      </c>
      <c r="T620" s="2" t="s">
        <v>721</v>
      </c>
    </row>
    <row r="621" spans="1:20" x14ac:dyDescent="0.3">
      <c r="A621" s="2" t="s">
        <v>588</v>
      </c>
      <c r="B621" s="2" t="s">
        <v>589</v>
      </c>
      <c r="C621" s="2" t="s">
        <v>590</v>
      </c>
      <c r="D621" s="2" t="s">
        <v>591</v>
      </c>
      <c r="E621" s="2" t="s">
        <v>168</v>
      </c>
      <c r="F621" s="2" t="s">
        <v>43</v>
      </c>
      <c r="G621" s="2" t="s">
        <v>43</v>
      </c>
      <c r="H621" s="2" t="s">
        <v>44</v>
      </c>
      <c r="I621" s="2" t="s">
        <v>25</v>
      </c>
      <c r="J621" s="2" t="s">
        <v>26</v>
      </c>
      <c r="K621" s="2" t="s">
        <v>38</v>
      </c>
      <c r="L621" s="2" t="s">
        <v>29</v>
      </c>
      <c r="M621" s="2"/>
      <c r="N621" s="2" t="s">
        <v>25</v>
      </c>
      <c r="O621" s="2" t="s">
        <v>735</v>
      </c>
      <c r="P621" s="3">
        <v>612</v>
      </c>
      <c r="Q621" s="3">
        <v>612</v>
      </c>
      <c r="R621" s="4">
        <f t="shared" si="9"/>
        <v>1224</v>
      </c>
      <c r="S621" s="2" t="s">
        <v>31</v>
      </c>
      <c r="T621" s="2" t="s">
        <v>721</v>
      </c>
    </row>
    <row r="622" spans="1:20" x14ac:dyDescent="0.3">
      <c r="A622" s="2" t="s">
        <v>588</v>
      </c>
      <c r="B622" s="2" t="s">
        <v>589</v>
      </c>
      <c r="C622" s="2" t="s">
        <v>590</v>
      </c>
      <c r="D622" s="2" t="s">
        <v>591</v>
      </c>
      <c r="E622" s="2" t="s">
        <v>168</v>
      </c>
      <c r="F622" s="2" t="s">
        <v>43</v>
      </c>
      <c r="G622" s="2" t="s">
        <v>43</v>
      </c>
      <c r="H622" s="2" t="s">
        <v>44</v>
      </c>
      <c r="I622" s="2" t="s">
        <v>60</v>
      </c>
      <c r="J622" s="2" t="s">
        <v>60</v>
      </c>
      <c r="K622" s="2" t="s">
        <v>54</v>
      </c>
      <c r="L622" s="2" t="s">
        <v>29</v>
      </c>
      <c r="M622" s="2"/>
      <c r="N622" s="2" t="s">
        <v>60</v>
      </c>
      <c r="O622" s="2" t="s">
        <v>736</v>
      </c>
      <c r="P622" s="3">
        <v>565</v>
      </c>
      <c r="Q622" s="3">
        <v>565</v>
      </c>
      <c r="R622" s="4">
        <f t="shared" si="9"/>
        <v>1130</v>
      </c>
      <c r="S622" s="2" t="s">
        <v>31</v>
      </c>
      <c r="T622" s="2" t="s">
        <v>721</v>
      </c>
    </row>
    <row r="623" spans="1:20" x14ac:dyDescent="0.3">
      <c r="A623" s="2" t="s">
        <v>588</v>
      </c>
      <c r="B623" s="2" t="s">
        <v>589</v>
      </c>
      <c r="C623" s="2" t="s">
        <v>590</v>
      </c>
      <c r="D623" s="2" t="s">
        <v>591</v>
      </c>
      <c r="E623" s="2" t="s">
        <v>168</v>
      </c>
      <c r="F623" s="2" t="s">
        <v>43</v>
      </c>
      <c r="G623" s="2" t="s">
        <v>43</v>
      </c>
      <c r="H623" s="2" t="s">
        <v>44</v>
      </c>
      <c r="I623" s="2" t="s">
        <v>737</v>
      </c>
      <c r="J623" s="2" t="s">
        <v>93</v>
      </c>
      <c r="K623" s="2" t="s">
        <v>28</v>
      </c>
      <c r="L623" s="2" t="s">
        <v>29</v>
      </c>
      <c r="M623" s="2"/>
      <c r="N623" s="2" t="s">
        <v>92</v>
      </c>
      <c r="O623" s="2" t="s">
        <v>738</v>
      </c>
      <c r="P623" s="3">
        <v>476</v>
      </c>
      <c r="Q623" s="3">
        <v>476</v>
      </c>
      <c r="R623" s="4">
        <f t="shared" si="9"/>
        <v>952</v>
      </c>
      <c r="S623" s="2" t="s">
        <v>31</v>
      </c>
      <c r="T623" s="2" t="s">
        <v>721</v>
      </c>
    </row>
    <row r="624" spans="1:20" x14ac:dyDescent="0.3">
      <c r="A624" s="2" t="s">
        <v>588</v>
      </c>
      <c r="B624" s="2" t="s">
        <v>589</v>
      </c>
      <c r="C624" s="2" t="s">
        <v>590</v>
      </c>
      <c r="D624" s="2" t="s">
        <v>591</v>
      </c>
      <c r="E624" s="2" t="s">
        <v>168</v>
      </c>
      <c r="F624" s="2" t="s">
        <v>43</v>
      </c>
      <c r="G624" s="2" t="s">
        <v>43</v>
      </c>
      <c r="H624" s="2" t="s">
        <v>44</v>
      </c>
      <c r="I624" s="2" t="s">
        <v>246</v>
      </c>
      <c r="J624" s="2" t="s">
        <v>132</v>
      </c>
      <c r="K624" s="2" t="s">
        <v>133</v>
      </c>
      <c r="L624" s="2" t="s">
        <v>29</v>
      </c>
      <c r="M624" s="2"/>
      <c r="N624" s="2" t="s">
        <v>246</v>
      </c>
      <c r="O624" s="2" t="s">
        <v>739</v>
      </c>
      <c r="P624" s="3">
        <v>487</v>
      </c>
      <c r="Q624" s="3">
        <v>487</v>
      </c>
      <c r="R624" s="4">
        <f t="shared" si="9"/>
        <v>974</v>
      </c>
      <c r="S624" s="2" t="s">
        <v>31</v>
      </c>
      <c r="T624" s="2" t="s">
        <v>721</v>
      </c>
    </row>
    <row r="625" spans="1:20" x14ac:dyDescent="0.3">
      <c r="A625" s="2" t="s">
        <v>588</v>
      </c>
      <c r="B625" s="2" t="s">
        <v>589</v>
      </c>
      <c r="C625" s="2" t="s">
        <v>590</v>
      </c>
      <c r="D625" s="2" t="s">
        <v>591</v>
      </c>
      <c r="E625" s="2" t="s">
        <v>168</v>
      </c>
      <c r="F625" s="2" t="s">
        <v>43</v>
      </c>
      <c r="G625" s="2" t="s">
        <v>43</v>
      </c>
      <c r="H625" s="2" t="s">
        <v>44</v>
      </c>
      <c r="I625" s="2" t="s">
        <v>27</v>
      </c>
      <c r="J625" s="2" t="s">
        <v>27</v>
      </c>
      <c r="K625" s="2" t="s">
        <v>28</v>
      </c>
      <c r="L625" s="2" t="s">
        <v>29</v>
      </c>
      <c r="M625" s="2"/>
      <c r="N625" s="2" t="s">
        <v>27</v>
      </c>
      <c r="O625" s="2" t="s">
        <v>740</v>
      </c>
      <c r="P625" s="3">
        <v>460</v>
      </c>
      <c r="Q625" s="3">
        <v>460</v>
      </c>
      <c r="R625" s="4">
        <f t="shared" si="9"/>
        <v>920</v>
      </c>
      <c r="S625" s="2" t="s">
        <v>31</v>
      </c>
      <c r="T625" s="2" t="s">
        <v>721</v>
      </c>
    </row>
    <row r="626" spans="1:20" x14ac:dyDescent="0.3">
      <c r="A626" s="2" t="s">
        <v>588</v>
      </c>
      <c r="B626" s="2" t="s">
        <v>589</v>
      </c>
      <c r="C626" s="2" t="s">
        <v>590</v>
      </c>
      <c r="D626" s="2" t="s">
        <v>591</v>
      </c>
      <c r="E626" s="2" t="s">
        <v>168</v>
      </c>
      <c r="F626" s="2" t="s">
        <v>43</v>
      </c>
      <c r="G626" s="2" t="s">
        <v>43</v>
      </c>
      <c r="H626" s="2" t="s">
        <v>44</v>
      </c>
      <c r="I626" s="2" t="s">
        <v>70</v>
      </c>
      <c r="J626" s="2" t="s">
        <v>70</v>
      </c>
      <c r="K626" s="2" t="s">
        <v>54</v>
      </c>
      <c r="L626" s="2" t="s">
        <v>29</v>
      </c>
      <c r="M626" s="2"/>
      <c r="N626" s="2" t="s">
        <v>70</v>
      </c>
      <c r="O626" s="2" t="s">
        <v>741</v>
      </c>
      <c r="P626" s="3">
        <v>389</v>
      </c>
      <c r="Q626" s="3">
        <v>389</v>
      </c>
      <c r="R626" s="4">
        <f t="shared" si="9"/>
        <v>778</v>
      </c>
      <c r="S626" s="2" t="s">
        <v>31</v>
      </c>
      <c r="T626" s="2" t="s">
        <v>721</v>
      </c>
    </row>
    <row r="627" spans="1:20" x14ac:dyDescent="0.3">
      <c r="A627" s="2" t="s">
        <v>588</v>
      </c>
      <c r="B627" s="2" t="s">
        <v>589</v>
      </c>
      <c r="C627" s="2" t="s">
        <v>590</v>
      </c>
      <c r="D627" s="2" t="s">
        <v>591</v>
      </c>
      <c r="E627" s="2" t="s">
        <v>168</v>
      </c>
      <c r="F627" s="2" t="s">
        <v>43</v>
      </c>
      <c r="G627" s="2" t="s">
        <v>43</v>
      </c>
      <c r="H627" s="2" t="s">
        <v>44</v>
      </c>
      <c r="I627" s="2" t="s">
        <v>108</v>
      </c>
      <c r="J627" s="2" t="s">
        <v>82</v>
      </c>
      <c r="K627" s="2" t="s">
        <v>45</v>
      </c>
      <c r="L627" s="2" t="s">
        <v>29</v>
      </c>
      <c r="M627" s="2"/>
      <c r="N627" s="2" t="s">
        <v>108</v>
      </c>
      <c r="O627" s="2" t="s">
        <v>742</v>
      </c>
      <c r="P627" s="3">
        <v>338</v>
      </c>
      <c r="Q627" s="3">
        <v>338</v>
      </c>
      <c r="R627" s="4">
        <f t="shared" si="9"/>
        <v>676</v>
      </c>
      <c r="S627" s="2" t="s">
        <v>31</v>
      </c>
      <c r="T627" s="2" t="s">
        <v>721</v>
      </c>
    </row>
    <row r="628" spans="1:20" x14ac:dyDescent="0.3">
      <c r="A628" s="2" t="s">
        <v>588</v>
      </c>
      <c r="B628" s="2" t="s">
        <v>589</v>
      </c>
      <c r="C628" s="2" t="s">
        <v>590</v>
      </c>
      <c r="D628" s="2" t="s">
        <v>591</v>
      </c>
      <c r="E628" s="2" t="s">
        <v>168</v>
      </c>
      <c r="F628" s="2" t="s">
        <v>43</v>
      </c>
      <c r="G628" s="2" t="s">
        <v>43</v>
      </c>
      <c r="H628" s="2" t="s">
        <v>44</v>
      </c>
      <c r="I628" s="2" t="s">
        <v>743</v>
      </c>
      <c r="J628" s="2" t="s">
        <v>90</v>
      </c>
      <c r="K628" s="2" t="s">
        <v>45</v>
      </c>
      <c r="L628" s="2" t="s">
        <v>29</v>
      </c>
      <c r="M628" s="2"/>
      <c r="N628" s="2" t="s">
        <v>743</v>
      </c>
      <c r="O628" s="2" t="s">
        <v>744</v>
      </c>
      <c r="P628" s="3">
        <v>240</v>
      </c>
      <c r="Q628" s="3">
        <v>240</v>
      </c>
      <c r="R628" s="4">
        <f t="shared" si="9"/>
        <v>480</v>
      </c>
      <c r="S628" s="2" t="s">
        <v>31</v>
      </c>
      <c r="T628" s="2" t="s">
        <v>721</v>
      </c>
    </row>
    <row r="629" spans="1:20" x14ac:dyDescent="0.3">
      <c r="A629" s="2" t="s">
        <v>588</v>
      </c>
      <c r="B629" s="2" t="s">
        <v>589</v>
      </c>
      <c r="C629" s="2" t="s">
        <v>590</v>
      </c>
      <c r="D629" s="2" t="s">
        <v>591</v>
      </c>
      <c r="E629" s="2" t="s">
        <v>168</v>
      </c>
      <c r="F629" s="2" t="s">
        <v>43</v>
      </c>
      <c r="G629" s="2" t="s">
        <v>43</v>
      </c>
      <c r="H629" s="2" t="s">
        <v>44</v>
      </c>
      <c r="I629" s="2" t="s">
        <v>89</v>
      </c>
      <c r="J629" s="2" t="s">
        <v>90</v>
      </c>
      <c r="K629" s="2" t="s">
        <v>45</v>
      </c>
      <c r="L629" s="2" t="s">
        <v>29</v>
      </c>
      <c r="M629" s="2"/>
      <c r="N629" s="2" t="s">
        <v>89</v>
      </c>
      <c r="O629" s="2" t="s">
        <v>745</v>
      </c>
      <c r="P629" s="3">
        <v>302</v>
      </c>
      <c r="Q629" s="3">
        <v>302</v>
      </c>
      <c r="R629" s="4">
        <f t="shared" si="9"/>
        <v>604</v>
      </c>
      <c r="S629" s="2" t="s">
        <v>31</v>
      </c>
      <c r="T629" s="2" t="s">
        <v>721</v>
      </c>
    </row>
    <row r="630" spans="1:20" x14ac:dyDescent="0.3">
      <c r="A630" s="2" t="s">
        <v>588</v>
      </c>
      <c r="B630" s="2" t="s">
        <v>589</v>
      </c>
      <c r="C630" s="2" t="s">
        <v>590</v>
      </c>
      <c r="D630" s="2" t="s">
        <v>591</v>
      </c>
      <c r="E630" s="2" t="s">
        <v>168</v>
      </c>
      <c r="F630" s="2" t="s">
        <v>43</v>
      </c>
      <c r="G630" s="2" t="s">
        <v>43</v>
      </c>
      <c r="H630" s="2" t="s">
        <v>44</v>
      </c>
      <c r="I630" s="2" t="s">
        <v>81</v>
      </c>
      <c r="J630" s="2" t="s">
        <v>82</v>
      </c>
      <c r="K630" s="2" t="s">
        <v>45</v>
      </c>
      <c r="L630" s="2" t="s">
        <v>29</v>
      </c>
      <c r="M630" s="2"/>
      <c r="N630" s="2" t="s">
        <v>81</v>
      </c>
      <c r="O630" s="2" t="s">
        <v>746</v>
      </c>
      <c r="P630" s="3">
        <v>241</v>
      </c>
      <c r="Q630" s="3">
        <v>241</v>
      </c>
      <c r="R630" s="4">
        <f t="shared" si="9"/>
        <v>482</v>
      </c>
      <c r="S630" s="2" t="s">
        <v>31</v>
      </c>
      <c r="T630" s="2" t="s">
        <v>721</v>
      </c>
    </row>
    <row r="631" spans="1:20" x14ac:dyDescent="0.3">
      <c r="A631" s="2" t="s">
        <v>588</v>
      </c>
      <c r="B631" s="2" t="s">
        <v>589</v>
      </c>
      <c r="C631" s="2" t="s">
        <v>590</v>
      </c>
      <c r="D631" s="2" t="s">
        <v>591</v>
      </c>
      <c r="E631" s="2" t="s">
        <v>168</v>
      </c>
      <c r="F631" s="2" t="s">
        <v>43</v>
      </c>
      <c r="G631" s="2" t="s">
        <v>43</v>
      </c>
      <c r="H631" s="2" t="s">
        <v>44</v>
      </c>
      <c r="I631" s="2" t="s">
        <v>148</v>
      </c>
      <c r="J631" s="2" t="s">
        <v>82</v>
      </c>
      <c r="K631" s="2" t="s">
        <v>45</v>
      </c>
      <c r="L631" s="2" t="s">
        <v>29</v>
      </c>
      <c r="M631" s="2"/>
      <c r="N631" s="2" t="s">
        <v>148</v>
      </c>
      <c r="O631" s="2" t="s">
        <v>747</v>
      </c>
      <c r="P631" s="3">
        <v>285</v>
      </c>
      <c r="Q631" s="3">
        <v>285</v>
      </c>
      <c r="R631" s="4">
        <f t="shared" si="9"/>
        <v>570</v>
      </c>
      <c r="S631" s="2" t="s">
        <v>31</v>
      </c>
      <c r="T631" s="2" t="s">
        <v>721</v>
      </c>
    </row>
    <row r="632" spans="1:20" x14ac:dyDescent="0.3">
      <c r="A632" s="2" t="s">
        <v>588</v>
      </c>
      <c r="B632" s="2" t="s">
        <v>589</v>
      </c>
      <c r="C632" s="2" t="s">
        <v>590</v>
      </c>
      <c r="D632" s="2" t="s">
        <v>591</v>
      </c>
      <c r="E632" s="2" t="s">
        <v>168</v>
      </c>
      <c r="F632" s="2" t="s">
        <v>43</v>
      </c>
      <c r="G632" s="2" t="s">
        <v>43</v>
      </c>
      <c r="H632" s="2" t="s">
        <v>44</v>
      </c>
      <c r="I632" s="2" t="s">
        <v>390</v>
      </c>
      <c r="J632" s="2" t="s">
        <v>90</v>
      </c>
      <c r="K632" s="2" t="s">
        <v>45</v>
      </c>
      <c r="L632" s="2" t="s">
        <v>29</v>
      </c>
      <c r="M632" s="2"/>
      <c r="N632" s="2" t="s">
        <v>390</v>
      </c>
      <c r="O632" s="2" t="s">
        <v>748</v>
      </c>
      <c r="P632" s="3">
        <v>283</v>
      </c>
      <c r="Q632" s="3">
        <v>283</v>
      </c>
      <c r="R632" s="4">
        <f t="shared" si="9"/>
        <v>566</v>
      </c>
      <c r="S632" s="2" t="s">
        <v>31</v>
      </c>
      <c r="T632" s="2" t="s">
        <v>721</v>
      </c>
    </row>
    <row r="633" spans="1:20" x14ac:dyDescent="0.3">
      <c r="A633" s="2" t="s">
        <v>588</v>
      </c>
      <c r="B633" s="2" t="s">
        <v>589</v>
      </c>
      <c r="C633" s="2" t="s">
        <v>590</v>
      </c>
      <c r="D633" s="2" t="s">
        <v>591</v>
      </c>
      <c r="E633" s="2" t="s">
        <v>168</v>
      </c>
      <c r="F633" s="2" t="s">
        <v>43</v>
      </c>
      <c r="G633" s="2" t="s">
        <v>43</v>
      </c>
      <c r="H633" s="2" t="s">
        <v>44</v>
      </c>
      <c r="I633" s="2" t="s">
        <v>76</v>
      </c>
      <c r="J633" s="2" t="s">
        <v>77</v>
      </c>
      <c r="K633" s="2" t="s">
        <v>45</v>
      </c>
      <c r="L633" s="2" t="s">
        <v>29</v>
      </c>
      <c r="M633" s="2"/>
      <c r="N633" s="2" t="s">
        <v>76</v>
      </c>
      <c r="O633" s="2" t="s">
        <v>749</v>
      </c>
      <c r="P633" s="3">
        <v>229</v>
      </c>
      <c r="Q633" s="3">
        <v>229</v>
      </c>
      <c r="R633" s="4">
        <f t="shared" si="9"/>
        <v>458</v>
      </c>
      <c r="S633" s="2" t="s">
        <v>31</v>
      </c>
      <c r="T633" s="2" t="s">
        <v>721</v>
      </c>
    </row>
    <row r="634" spans="1:20" x14ac:dyDescent="0.3">
      <c r="A634" s="2" t="s">
        <v>588</v>
      </c>
      <c r="B634" s="2" t="s">
        <v>589</v>
      </c>
      <c r="C634" s="2" t="s">
        <v>590</v>
      </c>
      <c r="D634" s="2" t="s">
        <v>591</v>
      </c>
      <c r="E634" s="2" t="s">
        <v>168</v>
      </c>
      <c r="F634" s="2" t="s">
        <v>43</v>
      </c>
      <c r="G634" s="2" t="s">
        <v>43</v>
      </c>
      <c r="H634" s="2" t="s">
        <v>44</v>
      </c>
      <c r="I634" s="2" t="s">
        <v>750</v>
      </c>
      <c r="J634" s="2" t="s">
        <v>90</v>
      </c>
      <c r="K634" s="2" t="s">
        <v>45</v>
      </c>
      <c r="L634" s="2" t="s">
        <v>29</v>
      </c>
      <c r="M634" s="2"/>
      <c r="N634" s="2" t="s">
        <v>750</v>
      </c>
      <c r="O634" s="2" t="s">
        <v>751</v>
      </c>
      <c r="P634" s="3">
        <v>224</v>
      </c>
      <c r="Q634" s="3">
        <v>224</v>
      </c>
      <c r="R634" s="4">
        <f t="shared" si="9"/>
        <v>448</v>
      </c>
      <c r="S634" s="2" t="s">
        <v>31</v>
      </c>
      <c r="T634" s="2" t="s">
        <v>721</v>
      </c>
    </row>
    <row r="635" spans="1:20" x14ac:dyDescent="0.3">
      <c r="A635" s="2" t="s">
        <v>588</v>
      </c>
      <c r="B635" s="2" t="s">
        <v>589</v>
      </c>
      <c r="C635" s="2" t="s">
        <v>590</v>
      </c>
      <c r="D635" s="2" t="s">
        <v>591</v>
      </c>
      <c r="E635" s="2" t="s">
        <v>168</v>
      </c>
      <c r="F635" s="2" t="s">
        <v>43</v>
      </c>
      <c r="G635" s="2" t="s">
        <v>43</v>
      </c>
      <c r="H635" s="2" t="s">
        <v>44</v>
      </c>
      <c r="I635" s="2" t="s">
        <v>99</v>
      </c>
      <c r="J635" s="2" t="s">
        <v>90</v>
      </c>
      <c r="K635" s="2" t="s">
        <v>45</v>
      </c>
      <c r="L635" s="2" t="s">
        <v>29</v>
      </c>
      <c r="M635" s="2"/>
      <c r="N635" s="2" t="s">
        <v>99</v>
      </c>
      <c r="O635" s="2" t="s">
        <v>752</v>
      </c>
      <c r="P635" s="3">
        <v>211</v>
      </c>
      <c r="Q635" s="3">
        <v>211</v>
      </c>
      <c r="R635" s="4">
        <f t="shared" si="9"/>
        <v>422</v>
      </c>
      <c r="S635" s="2" t="s">
        <v>31</v>
      </c>
      <c r="T635" s="2" t="s">
        <v>721</v>
      </c>
    </row>
    <row r="636" spans="1:20" x14ac:dyDescent="0.3">
      <c r="A636" s="2" t="s">
        <v>588</v>
      </c>
      <c r="B636" s="2" t="s">
        <v>589</v>
      </c>
      <c r="C636" s="2" t="s">
        <v>590</v>
      </c>
      <c r="D636" s="2" t="s">
        <v>591</v>
      </c>
      <c r="E636" s="2" t="s">
        <v>168</v>
      </c>
      <c r="F636" s="2" t="s">
        <v>43</v>
      </c>
      <c r="G636" s="2" t="s">
        <v>43</v>
      </c>
      <c r="H636" s="2" t="s">
        <v>44</v>
      </c>
      <c r="I636" s="2" t="s">
        <v>65</v>
      </c>
      <c r="J636" s="2" t="s">
        <v>65</v>
      </c>
      <c r="K636" s="2" t="s">
        <v>28</v>
      </c>
      <c r="L636" s="2" t="s">
        <v>29</v>
      </c>
      <c r="M636" s="2"/>
      <c r="N636" s="2" t="s">
        <v>65</v>
      </c>
      <c r="O636" s="2" t="s">
        <v>753</v>
      </c>
      <c r="P636" s="3">
        <v>212</v>
      </c>
      <c r="Q636" s="3">
        <v>212</v>
      </c>
      <c r="R636" s="4">
        <f t="shared" si="9"/>
        <v>424</v>
      </c>
      <c r="S636" s="2" t="s">
        <v>31</v>
      </c>
      <c r="T636" s="2" t="s">
        <v>721</v>
      </c>
    </row>
    <row r="637" spans="1:20" x14ac:dyDescent="0.3">
      <c r="A637" s="2" t="s">
        <v>588</v>
      </c>
      <c r="B637" s="2" t="s">
        <v>589</v>
      </c>
      <c r="C637" s="2" t="s">
        <v>590</v>
      </c>
      <c r="D637" s="2" t="s">
        <v>591</v>
      </c>
      <c r="E637" s="2" t="s">
        <v>168</v>
      </c>
      <c r="F637" s="2" t="s">
        <v>43</v>
      </c>
      <c r="G637" s="2" t="s">
        <v>43</v>
      </c>
      <c r="H637" s="2" t="s">
        <v>44</v>
      </c>
      <c r="I637" s="2" t="s">
        <v>84</v>
      </c>
      <c r="J637" s="2" t="s">
        <v>35</v>
      </c>
      <c r="K637" s="2" t="s">
        <v>45</v>
      </c>
      <c r="L637" s="2" t="s">
        <v>29</v>
      </c>
      <c r="M637" s="2"/>
      <c r="N637" s="2" t="s">
        <v>84</v>
      </c>
      <c r="O637" s="2" t="s">
        <v>754</v>
      </c>
      <c r="P637" s="3">
        <v>167</v>
      </c>
      <c r="Q637" s="3">
        <v>167</v>
      </c>
      <c r="R637" s="4">
        <f t="shared" si="9"/>
        <v>334</v>
      </c>
      <c r="S637" s="2" t="s">
        <v>31</v>
      </c>
      <c r="T637" s="2" t="s">
        <v>721</v>
      </c>
    </row>
    <row r="638" spans="1:20" x14ac:dyDescent="0.3">
      <c r="A638" s="2" t="s">
        <v>588</v>
      </c>
      <c r="B638" s="2" t="s">
        <v>589</v>
      </c>
      <c r="C638" s="2" t="s">
        <v>590</v>
      </c>
      <c r="D638" s="2" t="s">
        <v>591</v>
      </c>
      <c r="E638" s="2" t="s">
        <v>168</v>
      </c>
      <c r="F638" s="2" t="s">
        <v>43</v>
      </c>
      <c r="G638" s="2" t="s">
        <v>43</v>
      </c>
      <c r="H638" s="2" t="s">
        <v>44</v>
      </c>
      <c r="I638" s="2" t="s">
        <v>62</v>
      </c>
      <c r="J638" s="2" t="s">
        <v>48</v>
      </c>
      <c r="K638" s="2" t="s">
        <v>45</v>
      </c>
      <c r="L638" s="2" t="s">
        <v>29</v>
      </c>
      <c r="M638" s="2"/>
      <c r="N638" s="2" t="s">
        <v>62</v>
      </c>
      <c r="O638" s="2" t="s">
        <v>755</v>
      </c>
      <c r="P638" s="3">
        <v>157</v>
      </c>
      <c r="Q638" s="3">
        <v>157</v>
      </c>
      <c r="R638" s="4">
        <f t="shared" si="9"/>
        <v>314</v>
      </c>
      <c r="S638" s="2" t="s">
        <v>31</v>
      </c>
      <c r="T638" s="2" t="s">
        <v>721</v>
      </c>
    </row>
    <row r="639" spans="1:20" x14ac:dyDescent="0.3">
      <c r="A639" s="2" t="s">
        <v>588</v>
      </c>
      <c r="B639" s="2" t="s">
        <v>589</v>
      </c>
      <c r="C639" s="2" t="s">
        <v>590</v>
      </c>
      <c r="D639" s="2" t="s">
        <v>591</v>
      </c>
      <c r="E639" s="2" t="s">
        <v>168</v>
      </c>
      <c r="F639" s="2" t="s">
        <v>43</v>
      </c>
      <c r="G639" s="2" t="s">
        <v>43</v>
      </c>
      <c r="H639" s="2" t="s">
        <v>44</v>
      </c>
      <c r="I639" s="2" t="s">
        <v>34</v>
      </c>
      <c r="J639" s="2" t="s">
        <v>35</v>
      </c>
      <c r="K639" s="2" t="s">
        <v>45</v>
      </c>
      <c r="L639" s="2" t="s">
        <v>29</v>
      </c>
      <c r="M639" s="2"/>
      <c r="N639" s="2" t="s">
        <v>34</v>
      </c>
      <c r="O639" s="2" t="s">
        <v>756</v>
      </c>
      <c r="P639" s="3">
        <v>62</v>
      </c>
      <c r="Q639" s="3">
        <v>62</v>
      </c>
      <c r="R639" s="4">
        <f t="shared" si="9"/>
        <v>124</v>
      </c>
      <c r="S639" s="2" t="s">
        <v>31</v>
      </c>
      <c r="T639" s="2" t="s">
        <v>721</v>
      </c>
    </row>
    <row r="640" spans="1:20" x14ac:dyDescent="0.3">
      <c r="A640" s="2" t="s">
        <v>588</v>
      </c>
      <c r="B640" s="2" t="s">
        <v>589</v>
      </c>
      <c r="C640" s="2" t="s">
        <v>590</v>
      </c>
      <c r="D640" s="2" t="s">
        <v>591</v>
      </c>
      <c r="E640" s="2" t="s">
        <v>168</v>
      </c>
      <c r="F640" s="2" t="s">
        <v>43</v>
      </c>
      <c r="G640" s="2" t="s">
        <v>43</v>
      </c>
      <c r="H640" s="2" t="s">
        <v>44</v>
      </c>
      <c r="I640" s="2" t="s">
        <v>47</v>
      </c>
      <c r="J640" s="2" t="s">
        <v>48</v>
      </c>
      <c r="K640" s="2" t="s">
        <v>45</v>
      </c>
      <c r="L640" s="2" t="s">
        <v>29</v>
      </c>
      <c r="M640" s="2"/>
      <c r="N640" s="2" t="s">
        <v>47</v>
      </c>
      <c r="O640" s="2" t="s">
        <v>757</v>
      </c>
      <c r="P640" s="3">
        <v>51</v>
      </c>
      <c r="Q640" s="3">
        <v>51</v>
      </c>
      <c r="R640" s="4">
        <f t="shared" si="9"/>
        <v>102</v>
      </c>
      <c r="S640" s="2" t="s">
        <v>31</v>
      </c>
      <c r="T640" s="2" t="s">
        <v>721</v>
      </c>
    </row>
    <row r="641" spans="1:20" x14ac:dyDescent="0.3">
      <c r="A641" s="2" t="s">
        <v>683</v>
      </c>
      <c r="B641" s="2" t="s">
        <v>684</v>
      </c>
      <c r="C641" s="2" t="s">
        <v>590</v>
      </c>
      <c r="D641" s="2" t="s">
        <v>591</v>
      </c>
      <c r="E641" s="2" t="s">
        <v>168</v>
      </c>
      <c r="F641" s="2" t="s">
        <v>43</v>
      </c>
      <c r="G641" s="2" t="s">
        <v>43</v>
      </c>
      <c r="H641" s="2" t="s">
        <v>44</v>
      </c>
      <c r="I641" s="2" t="s">
        <v>758</v>
      </c>
      <c r="J641" s="2" t="s">
        <v>44</v>
      </c>
      <c r="K641" s="2" t="s">
        <v>45</v>
      </c>
      <c r="L641" s="2" t="s">
        <v>127</v>
      </c>
      <c r="M641" s="2" t="s">
        <v>128</v>
      </c>
      <c r="N641" s="2" t="s">
        <v>758</v>
      </c>
      <c r="O641" s="2" t="s">
        <v>759</v>
      </c>
      <c r="P641" s="3">
        <v>61</v>
      </c>
      <c r="Q641" s="3">
        <v>61</v>
      </c>
      <c r="R641" s="4">
        <f t="shared" si="9"/>
        <v>122</v>
      </c>
      <c r="S641" s="2" t="s">
        <v>31</v>
      </c>
      <c r="T641" s="2" t="s">
        <v>721</v>
      </c>
    </row>
    <row r="642" spans="1:20" x14ac:dyDescent="0.3">
      <c r="A642" s="2" t="s">
        <v>683</v>
      </c>
      <c r="B642" s="2" t="s">
        <v>684</v>
      </c>
      <c r="C642" s="2" t="s">
        <v>590</v>
      </c>
      <c r="D642" s="2" t="s">
        <v>591</v>
      </c>
      <c r="E642" s="2" t="s">
        <v>168</v>
      </c>
      <c r="F642" s="2" t="s">
        <v>43</v>
      </c>
      <c r="G642" s="2" t="s">
        <v>43</v>
      </c>
      <c r="H642" s="2" t="s">
        <v>44</v>
      </c>
      <c r="I642" s="2" t="s">
        <v>760</v>
      </c>
      <c r="J642" s="2" t="s">
        <v>44</v>
      </c>
      <c r="K642" s="2" t="s">
        <v>45</v>
      </c>
      <c r="L642" s="2" t="s">
        <v>127</v>
      </c>
      <c r="M642" s="2" t="s">
        <v>761</v>
      </c>
      <c r="N642" s="2" t="s">
        <v>760</v>
      </c>
      <c r="O642" s="2" t="s">
        <v>762</v>
      </c>
      <c r="P642" s="3">
        <v>36</v>
      </c>
      <c r="Q642" s="3">
        <v>36</v>
      </c>
      <c r="R642" s="4">
        <f t="shared" ref="R642:R705" si="10">IF(P642="","",P642+Q642)</f>
        <v>72</v>
      </c>
      <c r="S642" s="2" t="s">
        <v>31</v>
      </c>
      <c r="T642" s="2" t="s">
        <v>721</v>
      </c>
    </row>
    <row r="643" spans="1:20" x14ac:dyDescent="0.3">
      <c r="A643" s="2" t="s">
        <v>683</v>
      </c>
      <c r="B643" s="2" t="s">
        <v>684</v>
      </c>
      <c r="C643" s="2" t="s">
        <v>590</v>
      </c>
      <c r="D643" s="2" t="s">
        <v>591</v>
      </c>
      <c r="E643" s="2" t="s">
        <v>168</v>
      </c>
      <c r="F643" s="2" t="s">
        <v>43</v>
      </c>
      <c r="G643" s="2" t="s">
        <v>43</v>
      </c>
      <c r="H643" s="2" t="s">
        <v>44</v>
      </c>
      <c r="I643" s="2" t="s">
        <v>763</v>
      </c>
      <c r="J643" s="2" t="s">
        <v>44</v>
      </c>
      <c r="K643" s="2" t="s">
        <v>45</v>
      </c>
      <c r="L643" s="2" t="s">
        <v>127</v>
      </c>
      <c r="M643" s="2" t="s">
        <v>764</v>
      </c>
      <c r="N643" s="2" t="s">
        <v>763</v>
      </c>
      <c r="O643" s="2" t="s">
        <v>765</v>
      </c>
      <c r="P643" s="3">
        <v>43</v>
      </c>
      <c r="Q643" s="3">
        <v>43</v>
      </c>
      <c r="R643" s="4">
        <f t="shared" si="10"/>
        <v>86</v>
      </c>
      <c r="S643" s="2" t="s">
        <v>31</v>
      </c>
      <c r="T643" s="2" t="s">
        <v>721</v>
      </c>
    </row>
    <row r="644" spans="1:20" x14ac:dyDescent="0.3">
      <c r="A644" s="2" t="s">
        <v>683</v>
      </c>
      <c r="B644" s="2" t="s">
        <v>684</v>
      </c>
      <c r="C644" s="2" t="s">
        <v>590</v>
      </c>
      <c r="D644" s="2" t="s">
        <v>591</v>
      </c>
      <c r="E644" s="2" t="s">
        <v>168</v>
      </c>
      <c r="F644" s="2" t="s">
        <v>43</v>
      </c>
      <c r="G644" s="2" t="s">
        <v>43</v>
      </c>
      <c r="H644" s="2" t="s">
        <v>44</v>
      </c>
      <c r="I644" s="2" t="s">
        <v>766</v>
      </c>
      <c r="J644" s="2" t="s">
        <v>44</v>
      </c>
      <c r="K644" s="2" t="s">
        <v>45</v>
      </c>
      <c r="L644" s="2" t="s">
        <v>127</v>
      </c>
      <c r="M644" s="2" t="s">
        <v>764</v>
      </c>
      <c r="N644" s="2" t="s">
        <v>766</v>
      </c>
      <c r="O644" s="2" t="s">
        <v>767</v>
      </c>
      <c r="P644" s="3">
        <v>38</v>
      </c>
      <c r="Q644" s="3">
        <v>38</v>
      </c>
      <c r="R644" s="4">
        <f t="shared" si="10"/>
        <v>76</v>
      </c>
      <c r="S644" s="2" t="s">
        <v>31</v>
      </c>
      <c r="T644" s="2" t="s">
        <v>721</v>
      </c>
    </row>
    <row r="645" spans="1:20" x14ac:dyDescent="0.3">
      <c r="A645" s="2" t="s">
        <v>683</v>
      </c>
      <c r="B645" s="2" t="s">
        <v>684</v>
      </c>
      <c r="C645" s="2" t="s">
        <v>590</v>
      </c>
      <c r="D645" s="2" t="s">
        <v>591</v>
      </c>
      <c r="E645" s="2" t="s">
        <v>168</v>
      </c>
      <c r="F645" s="2" t="s">
        <v>43</v>
      </c>
      <c r="G645" s="2" t="s">
        <v>43</v>
      </c>
      <c r="H645" s="2" t="s">
        <v>44</v>
      </c>
      <c r="I645" s="2" t="s">
        <v>768</v>
      </c>
      <c r="J645" s="2" t="s">
        <v>44</v>
      </c>
      <c r="K645" s="2" t="s">
        <v>45</v>
      </c>
      <c r="L645" s="2" t="s">
        <v>127</v>
      </c>
      <c r="M645" s="2" t="s">
        <v>769</v>
      </c>
      <c r="N645" s="2" t="s">
        <v>768</v>
      </c>
      <c r="O645" s="2" t="s">
        <v>770</v>
      </c>
      <c r="P645" s="3">
        <v>49</v>
      </c>
      <c r="Q645" s="3">
        <v>49</v>
      </c>
      <c r="R645" s="4">
        <f t="shared" si="10"/>
        <v>98</v>
      </c>
      <c r="S645" s="2" t="s">
        <v>31</v>
      </c>
      <c r="T645" s="2" t="s">
        <v>721</v>
      </c>
    </row>
    <row r="646" spans="1:20" x14ac:dyDescent="0.3">
      <c r="A646" s="2" t="s">
        <v>683</v>
      </c>
      <c r="B646" s="2" t="s">
        <v>684</v>
      </c>
      <c r="C646" s="2" t="s">
        <v>590</v>
      </c>
      <c r="D646" s="2" t="s">
        <v>591</v>
      </c>
      <c r="E646" s="2" t="s">
        <v>168</v>
      </c>
      <c r="F646" s="2" t="s">
        <v>43</v>
      </c>
      <c r="G646" s="2" t="s">
        <v>43</v>
      </c>
      <c r="H646" s="2" t="s">
        <v>44</v>
      </c>
      <c r="I646" s="2" t="s">
        <v>771</v>
      </c>
      <c r="J646" s="2" t="s">
        <v>44</v>
      </c>
      <c r="K646" s="2" t="s">
        <v>45</v>
      </c>
      <c r="L646" s="2" t="s">
        <v>127</v>
      </c>
      <c r="M646" s="2" t="s">
        <v>761</v>
      </c>
      <c r="N646" s="2" t="s">
        <v>771</v>
      </c>
      <c r="O646" s="2" t="s">
        <v>772</v>
      </c>
      <c r="P646" s="3">
        <v>17</v>
      </c>
      <c r="Q646" s="3">
        <v>17</v>
      </c>
      <c r="R646" s="4">
        <f t="shared" si="10"/>
        <v>34</v>
      </c>
      <c r="S646" s="2" t="s">
        <v>31</v>
      </c>
      <c r="T646" s="2" t="s">
        <v>721</v>
      </c>
    </row>
    <row r="647" spans="1:20" x14ac:dyDescent="0.3">
      <c r="A647" s="2" t="s">
        <v>683</v>
      </c>
      <c r="B647" s="2" t="s">
        <v>684</v>
      </c>
      <c r="C647" s="2" t="s">
        <v>590</v>
      </c>
      <c r="D647" s="2" t="s">
        <v>591</v>
      </c>
      <c r="E647" s="2" t="s">
        <v>168</v>
      </c>
      <c r="F647" s="2" t="s">
        <v>43</v>
      </c>
      <c r="G647" s="2" t="s">
        <v>43</v>
      </c>
      <c r="H647" s="2" t="s">
        <v>44</v>
      </c>
      <c r="I647" s="2" t="s">
        <v>773</v>
      </c>
      <c r="J647" s="2" t="s">
        <v>44</v>
      </c>
      <c r="K647" s="2" t="s">
        <v>45</v>
      </c>
      <c r="L647" s="2" t="s">
        <v>127</v>
      </c>
      <c r="M647" s="2" t="s">
        <v>764</v>
      </c>
      <c r="N647" s="2" t="s">
        <v>773</v>
      </c>
      <c r="O647" s="2" t="s">
        <v>774</v>
      </c>
      <c r="P647" s="3">
        <v>28</v>
      </c>
      <c r="Q647" s="3">
        <v>28</v>
      </c>
      <c r="R647" s="4">
        <f t="shared" si="10"/>
        <v>56</v>
      </c>
      <c r="S647" s="2" t="s">
        <v>31</v>
      </c>
      <c r="T647" s="2" t="s">
        <v>721</v>
      </c>
    </row>
    <row r="648" spans="1:20" x14ac:dyDescent="0.3">
      <c r="A648" s="5" t="s">
        <v>683</v>
      </c>
      <c r="B648" s="5" t="s">
        <v>684</v>
      </c>
      <c r="C648" s="5" t="s">
        <v>590</v>
      </c>
      <c r="D648" s="5" t="s">
        <v>591</v>
      </c>
      <c r="E648" s="5" t="s">
        <v>168</v>
      </c>
      <c r="F648" s="5" t="s">
        <v>43</v>
      </c>
      <c r="G648" s="5" t="s">
        <v>43</v>
      </c>
      <c r="H648" s="5" t="s">
        <v>44</v>
      </c>
      <c r="I648" s="5" t="s">
        <v>775</v>
      </c>
      <c r="J648" s="5"/>
      <c r="K648" s="5"/>
      <c r="L648" s="5"/>
      <c r="M648" s="5"/>
      <c r="N648" s="5" t="s">
        <v>269</v>
      </c>
      <c r="O648" s="5"/>
      <c r="P648" s="6"/>
      <c r="Q648" s="6"/>
      <c r="R648" s="7" t="str">
        <f t="shared" si="10"/>
        <v/>
      </c>
      <c r="S648" s="5"/>
      <c r="T648" s="5" t="s">
        <v>776</v>
      </c>
    </row>
    <row r="649" spans="1:20" x14ac:dyDescent="0.3">
      <c r="A649" s="2" t="s">
        <v>683</v>
      </c>
      <c r="B649" s="2" t="s">
        <v>684</v>
      </c>
      <c r="C649" s="2" t="s">
        <v>590</v>
      </c>
      <c r="D649" s="2" t="s">
        <v>591</v>
      </c>
      <c r="E649" s="2" t="s">
        <v>168</v>
      </c>
      <c r="F649" s="2" t="s">
        <v>43</v>
      </c>
      <c r="G649" s="2" t="s">
        <v>43</v>
      </c>
      <c r="H649" s="2" t="s">
        <v>44</v>
      </c>
      <c r="I649" s="2" t="s">
        <v>777</v>
      </c>
      <c r="J649" s="2" t="s">
        <v>35</v>
      </c>
      <c r="K649" s="2" t="s">
        <v>45</v>
      </c>
      <c r="L649" s="2" t="s">
        <v>29</v>
      </c>
      <c r="M649" s="2" t="s">
        <v>761</v>
      </c>
      <c r="N649" s="2" t="s">
        <v>777</v>
      </c>
      <c r="O649" s="2" t="s">
        <v>778</v>
      </c>
      <c r="P649" s="3">
        <v>17</v>
      </c>
      <c r="Q649" s="3">
        <v>17</v>
      </c>
      <c r="R649" s="4">
        <f t="shared" si="10"/>
        <v>34</v>
      </c>
      <c r="S649" s="2" t="s">
        <v>31</v>
      </c>
      <c r="T649" s="2" t="s">
        <v>721</v>
      </c>
    </row>
    <row r="650" spans="1:20" x14ac:dyDescent="0.3">
      <c r="A650" s="2" t="s">
        <v>683</v>
      </c>
      <c r="B650" s="2" t="s">
        <v>684</v>
      </c>
      <c r="C650" s="2" t="s">
        <v>590</v>
      </c>
      <c r="D650" s="2" t="s">
        <v>591</v>
      </c>
      <c r="E650" s="2" t="s">
        <v>168</v>
      </c>
      <c r="F650" s="2" t="s">
        <v>43</v>
      </c>
      <c r="G650" s="2" t="s">
        <v>43</v>
      </c>
      <c r="H650" s="2" t="s">
        <v>44</v>
      </c>
      <c r="I650" s="2" t="s">
        <v>779</v>
      </c>
      <c r="J650" s="2" t="s">
        <v>44</v>
      </c>
      <c r="K650" s="2" t="s">
        <v>45</v>
      </c>
      <c r="L650" s="2" t="s">
        <v>127</v>
      </c>
      <c r="M650" s="2" t="s">
        <v>761</v>
      </c>
      <c r="N650" s="2" t="s">
        <v>779</v>
      </c>
      <c r="O650" s="2" t="s">
        <v>780</v>
      </c>
      <c r="P650" s="3">
        <v>14</v>
      </c>
      <c r="Q650" s="3">
        <v>14</v>
      </c>
      <c r="R650" s="4">
        <f t="shared" si="10"/>
        <v>28</v>
      </c>
      <c r="S650" s="2" t="s">
        <v>31</v>
      </c>
      <c r="T650" s="2" t="s">
        <v>721</v>
      </c>
    </row>
    <row r="651" spans="1:20" x14ac:dyDescent="0.3">
      <c r="A651" s="2" t="s">
        <v>683</v>
      </c>
      <c r="B651" s="2" t="s">
        <v>684</v>
      </c>
      <c r="C651" s="2" t="s">
        <v>590</v>
      </c>
      <c r="D651" s="2" t="s">
        <v>591</v>
      </c>
      <c r="E651" s="2" t="s">
        <v>168</v>
      </c>
      <c r="F651" s="2" t="s">
        <v>43</v>
      </c>
      <c r="G651" s="2" t="s">
        <v>43</v>
      </c>
      <c r="H651" s="2" t="s">
        <v>44</v>
      </c>
      <c r="I651" s="2" t="s">
        <v>781</v>
      </c>
      <c r="J651" s="2" t="s">
        <v>44</v>
      </c>
      <c r="K651" s="2" t="s">
        <v>45</v>
      </c>
      <c r="L651" s="2" t="s">
        <v>127</v>
      </c>
      <c r="M651" s="2" t="s">
        <v>761</v>
      </c>
      <c r="N651" s="2" t="s">
        <v>781</v>
      </c>
      <c r="O651" s="2" t="s">
        <v>782</v>
      </c>
      <c r="P651" s="3">
        <v>15</v>
      </c>
      <c r="Q651" s="3">
        <v>15</v>
      </c>
      <c r="R651" s="4">
        <f t="shared" si="10"/>
        <v>30</v>
      </c>
      <c r="S651" s="2" t="s">
        <v>31</v>
      </c>
      <c r="T651" s="2" t="s">
        <v>721</v>
      </c>
    </row>
    <row r="652" spans="1:20" x14ac:dyDescent="0.3">
      <c r="A652" s="2" t="s">
        <v>683</v>
      </c>
      <c r="B652" s="2" t="s">
        <v>684</v>
      </c>
      <c r="C652" s="2" t="s">
        <v>590</v>
      </c>
      <c r="D652" s="2" t="s">
        <v>591</v>
      </c>
      <c r="E652" s="2" t="s">
        <v>168</v>
      </c>
      <c r="F652" s="2" t="s">
        <v>43</v>
      </c>
      <c r="G652" s="2" t="s">
        <v>43</v>
      </c>
      <c r="H652" s="2" t="s">
        <v>44</v>
      </c>
      <c r="I652" s="2" t="s">
        <v>783</v>
      </c>
      <c r="J652" s="2" t="s">
        <v>44</v>
      </c>
      <c r="K652" s="2" t="s">
        <v>45</v>
      </c>
      <c r="L652" s="2" t="s">
        <v>127</v>
      </c>
      <c r="M652" s="2" t="s">
        <v>761</v>
      </c>
      <c r="N652" s="2" t="s">
        <v>783</v>
      </c>
      <c r="O652" s="2" t="s">
        <v>784</v>
      </c>
      <c r="P652" s="3">
        <v>13</v>
      </c>
      <c r="Q652" s="3">
        <v>13</v>
      </c>
      <c r="R652" s="4">
        <f t="shared" si="10"/>
        <v>26</v>
      </c>
      <c r="S652" s="2" t="s">
        <v>31</v>
      </c>
      <c r="T652" s="2" t="s">
        <v>721</v>
      </c>
    </row>
    <row r="653" spans="1:20" x14ac:dyDescent="0.3">
      <c r="A653" s="2" t="s">
        <v>683</v>
      </c>
      <c r="B653" s="2" t="s">
        <v>684</v>
      </c>
      <c r="C653" s="2" t="s">
        <v>590</v>
      </c>
      <c r="D653" s="2" t="s">
        <v>591</v>
      </c>
      <c r="E653" s="2" t="s">
        <v>168</v>
      </c>
      <c r="F653" s="2" t="s">
        <v>43</v>
      </c>
      <c r="G653" s="2" t="s">
        <v>43</v>
      </c>
      <c r="H653" s="2" t="s">
        <v>44</v>
      </c>
      <c r="I653" s="2" t="s">
        <v>785</v>
      </c>
      <c r="J653" s="2" t="s">
        <v>44</v>
      </c>
      <c r="K653" s="2" t="s">
        <v>45</v>
      </c>
      <c r="L653" s="2" t="s">
        <v>127</v>
      </c>
      <c r="M653" s="2" t="s">
        <v>764</v>
      </c>
      <c r="N653" s="2" t="s">
        <v>785</v>
      </c>
      <c r="O653" s="2" t="s">
        <v>786</v>
      </c>
      <c r="P653" s="3">
        <v>21</v>
      </c>
      <c r="Q653" s="3">
        <v>21</v>
      </c>
      <c r="R653" s="4">
        <f t="shared" si="10"/>
        <v>42</v>
      </c>
      <c r="S653" s="2" t="s">
        <v>31</v>
      </c>
      <c r="T653" s="2" t="s">
        <v>721</v>
      </c>
    </row>
    <row r="654" spans="1:20" x14ac:dyDescent="0.3">
      <c r="A654" s="2" t="s">
        <v>683</v>
      </c>
      <c r="B654" s="2" t="s">
        <v>684</v>
      </c>
      <c r="C654" s="2" t="s">
        <v>590</v>
      </c>
      <c r="D654" s="2" t="s">
        <v>591</v>
      </c>
      <c r="E654" s="2" t="s">
        <v>168</v>
      </c>
      <c r="F654" s="2" t="s">
        <v>43</v>
      </c>
      <c r="G654" s="2" t="s">
        <v>43</v>
      </c>
      <c r="H654" s="2" t="s">
        <v>44</v>
      </c>
      <c r="I654" s="2" t="s">
        <v>787</v>
      </c>
      <c r="J654" s="2" t="s">
        <v>44</v>
      </c>
      <c r="K654" s="2" t="s">
        <v>45</v>
      </c>
      <c r="L654" s="2" t="s">
        <v>127</v>
      </c>
      <c r="M654" s="2" t="s">
        <v>769</v>
      </c>
      <c r="N654" s="2" t="s">
        <v>787</v>
      </c>
      <c r="O654" s="2" t="s">
        <v>788</v>
      </c>
      <c r="P654" s="3">
        <v>14</v>
      </c>
      <c r="Q654" s="3">
        <v>14</v>
      </c>
      <c r="R654" s="4">
        <f t="shared" si="10"/>
        <v>28</v>
      </c>
      <c r="S654" s="2" t="s">
        <v>31</v>
      </c>
      <c r="T654" s="2" t="s">
        <v>721</v>
      </c>
    </row>
    <row r="655" spans="1:20" x14ac:dyDescent="0.3">
      <c r="A655" s="2" t="s">
        <v>683</v>
      </c>
      <c r="B655" s="2" t="s">
        <v>684</v>
      </c>
      <c r="C655" s="2" t="s">
        <v>590</v>
      </c>
      <c r="D655" s="2" t="s">
        <v>591</v>
      </c>
      <c r="E655" s="2" t="s">
        <v>168</v>
      </c>
      <c r="F655" s="2" t="s">
        <v>43</v>
      </c>
      <c r="G655" s="2" t="s">
        <v>43</v>
      </c>
      <c r="H655" s="2" t="s">
        <v>44</v>
      </c>
      <c r="I655" s="2" t="s">
        <v>789</v>
      </c>
      <c r="J655" s="2" t="s">
        <v>44</v>
      </c>
      <c r="K655" s="2" t="s">
        <v>45</v>
      </c>
      <c r="L655" s="2" t="s">
        <v>127</v>
      </c>
      <c r="M655" s="2" t="s">
        <v>769</v>
      </c>
      <c r="N655" s="2" t="s">
        <v>789</v>
      </c>
      <c r="O655" s="2" t="s">
        <v>790</v>
      </c>
      <c r="P655" s="3">
        <v>22</v>
      </c>
      <c r="Q655" s="3">
        <v>22</v>
      </c>
      <c r="R655" s="4">
        <f t="shared" si="10"/>
        <v>44</v>
      </c>
      <c r="S655" s="2" t="s">
        <v>31</v>
      </c>
      <c r="T655" s="2" t="s">
        <v>721</v>
      </c>
    </row>
    <row r="656" spans="1:20" x14ac:dyDescent="0.3">
      <c r="A656" s="2" t="s">
        <v>683</v>
      </c>
      <c r="B656" s="2" t="s">
        <v>684</v>
      </c>
      <c r="C656" s="2" t="s">
        <v>590</v>
      </c>
      <c r="D656" s="2" t="s">
        <v>591</v>
      </c>
      <c r="E656" s="2" t="s">
        <v>168</v>
      </c>
      <c r="F656" s="2" t="s">
        <v>43</v>
      </c>
      <c r="G656" s="2" t="s">
        <v>43</v>
      </c>
      <c r="H656" s="2" t="s">
        <v>44</v>
      </c>
      <c r="I656" s="2" t="s">
        <v>687</v>
      </c>
      <c r="J656" s="2" t="s">
        <v>44</v>
      </c>
      <c r="K656" s="2" t="s">
        <v>45</v>
      </c>
      <c r="L656" s="2" t="s">
        <v>127</v>
      </c>
      <c r="M656" s="2" t="s">
        <v>769</v>
      </c>
      <c r="N656" s="2" t="s">
        <v>791</v>
      </c>
      <c r="O656" s="2" t="s">
        <v>792</v>
      </c>
      <c r="P656" s="3">
        <v>18</v>
      </c>
      <c r="Q656" s="3">
        <v>18</v>
      </c>
      <c r="R656" s="4">
        <f t="shared" si="10"/>
        <v>36</v>
      </c>
      <c r="S656" s="2" t="s">
        <v>31</v>
      </c>
      <c r="T656" s="2" t="s">
        <v>721</v>
      </c>
    </row>
    <row r="657" spans="1:20" x14ac:dyDescent="0.3">
      <c r="A657" s="2" t="s">
        <v>683</v>
      </c>
      <c r="B657" s="2" t="s">
        <v>684</v>
      </c>
      <c r="C657" s="2" t="s">
        <v>590</v>
      </c>
      <c r="D657" s="2" t="s">
        <v>591</v>
      </c>
      <c r="E657" s="2" t="s">
        <v>168</v>
      </c>
      <c r="F657" s="2" t="s">
        <v>43</v>
      </c>
      <c r="G657" s="2" t="s">
        <v>43</v>
      </c>
      <c r="H657" s="2" t="s">
        <v>44</v>
      </c>
      <c r="I657" s="2" t="s">
        <v>793</v>
      </c>
      <c r="J657" s="2" t="s">
        <v>44</v>
      </c>
      <c r="K657" s="2" t="s">
        <v>45</v>
      </c>
      <c r="L657" s="2" t="s">
        <v>127</v>
      </c>
      <c r="M657" s="2" t="s">
        <v>764</v>
      </c>
      <c r="N657" s="2" t="s">
        <v>793</v>
      </c>
      <c r="O657" s="2" t="s">
        <v>794</v>
      </c>
      <c r="P657" s="3">
        <v>18</v>
      </c>
      <c r="Q657" s="3">
        <v>18</v>
      </c>
      <c r="R657" s="4">
        <f t="shared" si="10"/>
        <v>36</v>
      </c>
      <c r="S657" s="2" t="s">
        <v>31</v>
      </c>
      <c r="T657" s="2" t="s">
        <v>721</v>
      </c>
    </row>
    <row r="658" spans="1:20" x14ac:dyDescent="0.3">
      <c r="A658" s="2" t="s">
        <v>683</v>
      </c>
      <c r="B658" s="2" t="s">
        <v>684</v>
      </c>
      <c r="C658" s="2" t="s">
        <v>590</v>
      </c>
      <c r="D658" s="2" t="s">
        <v>591</v>
      </c>
      <c r="E658" s="2" t="s">
        <v>168</v>
      </c>
      <c r="F658" s="2" t="s">
        <v>43</v>
      </c>
      <c r="G658" s="2" t="s">
        <v>43</v>
      </c>
      <c r="H658" s="2" t="s">
        <v>44</v>
      </c>
      <c r="I658" s="2" t="s">
        <v>795</v>
      </c>
      <c r="J658" s="2" t="s">
        <v>44</v>
      </c>
      <c r="K658" s="2" t="s">
        <v>45</v>
      </c>
      <c r="L658" s="2" t="s">
        <v>127</v>
      </c>
      <c r="M658" s="2" t="s">
        <v>769</v>
      </c>
      <c r="N658" s="2" t="s">
        <v>795</v>
      </c>
      <c r="O658" s="2" t="s">
        <v>796</v>
      </c>
      <c r="P658" s="3">
        <v>21</v>
      </c>
      <c r="Q658" s="3">
        <v>21</v>
      </c>
      <c r="R658" s="4">
        <f t="shared" si="10"/>
        <v>42</v>
      </c>
      <c r="S658" s="2" t="s">
        <v>31</v>
      </c>
      <c r="T658" s="2" t="s">
        <v>721</v>
      </c>
    </row>
    <row r="659" spans="1:20" x14ac:dyDescent="0.3">
      <c r="A659" s="2" t="s">
        <v>683</v>
      </c>
      <c r="B659" s="2" t="s">
        <v>684</v>
      </c>
      <c r="C659" s="2" t="s">
        <v>590</v>
      </c>
      <c r="D659" s="2" t="s">
        <v>591</v>
      </c>
      <c r="E659" s="2" t="s">
        <v>168</v>
      </c>
      <c r="F659" s="2" t="s">
        <v>43</v>
      </c>
      <c r="G659" s="2" t="s">
        <v>43</v>
      </c>
      <c r="H659" s="2" t="s">
        <v>44</v>
      </c>
      <c r="I659" s="2" t="s">
        <v>797</v>
      </c>
      <c r="J659" s="2" t="s">
        <v>44</v>
      </c>
      <c r="K659" s="2" t="s">
        <v>45</v>
      </c>
      <c r="L659" s="2" t="s">
        <v>127</v>
      </c>
      <c r="M659" s="2" t="s">
        <v>798</v>
      </c>
      <c r="N659" s="2" t="s">
        <v>797</v>
      </c>
      <c r="O659" s="2" t="s">
        <v>799</v>
      </c>
      <c r="P659" s="3">
        <v>12</v>
      </c>
      <c r="Q659" s="3">
        <v>12</v>
      </c>
      <c r="R659" s="4">
        <f t="shared" si="10"/>
        <v>24</v>
      </c>
      <c r="S659" s="2" t="s">
        <v>31</v>
      </c>
      <c r="T659" s="2" t="s">
        <v>721</v>
      </c>
    </row>
    <row r="660" spans="1:20" x14ac:dyDescent="0.3">
      <c r="A660" s="2" t="s">
        <v>683</v>
      </c>
      <c r="B660" s="2" t="s">
        <v>684</v>
      </c>
      <c r="C660" s="2" t="s">
        <v>590</v>
      </c>
      <c r="D660" s="2" t="s">
        <v>591</v>
      </c>
      <c r="E660" s="2" t="s">
        <v>168</v>
      </c>
      <c r="F660" s="2" t="s">
        <v>43</v>
      </c>
      <c r="G660" s="2" t="s">
        <v>43</v>
      </c>
      <c r="H660" s="2" t="s">
        <v>44</v>
      </c>
      <c r="I660" s="2" t="s">
        <v>800</v>
      </c>
      <c r="J660" s="2" t="s">
        <v>44</v>
      </c>
      <c r="K660" s="2" t="s">
        <v>45</v>
      </c>
      <c r="L660" s="2" t="s">
        <v>127</v>
      </c>
      <c r="M660" s="2" t="s">
        <v>801</v>
      </c>
      <c r="N660" s="2" t="s">
        <v>800</v>
      </c>
      <c r="O660" s="2" t="s">
        <v>802</v>
      </c>
      <c r="P660" s="3">
        <v>6</v>
      </c>
      <c r="Q660" s="3">
        <v>6</v>
      </c>
      <c r="R660" s="4">
        <f t="shared" si="10"/>
        <v>12</v>
      </c>
      <c r="S660" s="2" t="s">
        <v>31</v>
      </c>
      <c r="T660" s="2" t="s">
        <v>721</v>
      </c>
    </row>
    <row r="661" spans="1:20" x14ac:dyDescent="0.3">
      <c r="A661" s="2" t="s">
        <v>683</v>
      </c>
      <c r="B661" s="2" t="s">
        <v>684</v>
      </c>
      <c r="C661" s="2" t="s">
        <v>590</v>
      </c>
      <c r="D661" s="2" t="s">
        <v>591</v>
      </c>
      <c r="E661" s="2" t="s">
        <v>168</v>
      </c>
      <c r="F661" s="2" t="s">
        <v>43</v>
      </c>
      <c r="G661" s="2" t="s">
        <v>43</v>
      </c>
      <c r="H661" s="2" t="s">
        <v>44</v>
      </c>
      <c r="I661" s="2" t="s">
        <v>803</v>
      </c>
      <c r="J661" s="2" t="s">
        <v>44</v>
      </c>
      <c r="K661" s="2" t="s">
        <v>45</v>
      </c>
      <c r="L661" s="2" t="s">
        <v>127</v>
      </c>
      <c r="M661" s="2" t="s">
        <v>798</v>
      </c>
      <c r="N661" s="2" t="s">
        <v>803</v>
      </c>
      <c r="O661" s="2" t="s">
        <v>804</v>
      </c>
      <c r="P661" s="3">
        <v>11</v>
      </c>
      <c r="Q661" s="3">
        <v>11</v>
      </c>
      <c r="R661" s="4">
        <f t="shared" si="10"/>
        <v>22</v>
      </c>
      <c r="S661" s="2" t="s">
        <v>31</v>
      </c>
      <c r="T661" s="2" t="s">
        <v>721</v>
      </c>
    </row>
    <row r="662" spans="1:20" x14ac:dyDescent="0.3">
      <c r="A662" s="2" t="s">
        <v>683</v>
      </c>
      <c r="B662" s="2" t="s">
        <v>684</v>
      </c>
      <c r="C662" s="2" t="s">
        <v>590</v>
      </c>
      <c r="D662" s="2" t="s">
        <v>591</v>
      </c>
      <c r="E662" s="2" t="s">
        <v>168</v>
      </c>
      <c r="F662" s="2" t="s">
        <v>43</v>
      </c>
      <c r="G662" s="2" t="s">
        <v>43</v>
      </c>
      <c r="H662" s="2" t="s">
        <v>44</v>
      </c>
      <c r="I662" s="2" t="s">
        <v>87</v>
      </c>
      <c r="J662" s="2" t="s">
        <v>48</v>
      </c>
      <c r="K662" s="2" t="s">
        <v>45</v>
      </c>
      <c r="L662" s="2" t="s">
        <v>29</v>
      </c>
      <c r="M662" s="2"/>
      <c r="N662" s="2" t="s">
        <v>87</v>
      </c>
      <c r="O662" s="2" t="s">
        <v>805</v>
      </c>
      <c r="P662" s="3">
        <v>211</v>
      </c>
      <c r="Q662" s="3">
        <v>211</v>
      </c>
      <c r="R662" s="4">
        <f t="shared" si="10"/>
        <v>422</v>
      </c>
      <c r="S662" s="2" t="s">
        <v>31</v>
      </c>
      <c r="T662" s="2" t="s">
        <v>721</v>
      </c>
    </row>
    <row r="663" spans="1:20" x14ac:dyDescent="0.3">
      <c r="A663" s="2" t="s">
        <v>683</v>
      </c>
      <c r="B663" s="2" t="s">
        <v>684</v>
      </c>
      <c r="C663" s="2" t="s">
        <v>590</v>
      </c>
      <c r="D663" s="2" t="s">
        <v>591</v>
      </c>
      <c r="E663" s="2" t="s">
        <v>168</v>
      </c>
      <c r="F663" s="2" t="s">
        <v>43</v>
      </c>
      <c r="G663" s="2" t="s">
        <v>43</v>
      </c>
      <c r="H663" s="2" t="s">
        <v>44</v>
      </c>
      <c r="I663" s="2" t="s">
        <v>806</v>
      </c>
      <c r="J663" s="2" t="s">
        <v>44</v>
      </c>
      <c r="K663" s="2" t="s">
        <v>45</v>
      </c>
      <c r="L663" s="2" t="s">
        <v>127</v>
      </c>
      <c r="M663" s="2" t="s">
        <v>798</v>
      </c>
      <c r="N663" s="2" t="s">
        <v>806</v>
      </c>
      <c r="O663" s="2" t="s">
        <v>807</v>
      </c>
      <c r="P663" s="3">
        <v>15</v>
      </c>
      <c r="Q663" s="3">
        <v>15</v>
      </c>
      <c r="R663" s="4">
        <f t="shared" si="10"/>
        <v>30</v>
      </c>
      <c r="S663" s="2" t="s">
        <v>31</v>
      </c>
      <c r="T663" s="2" t="s">
        <v>721</v>
      </c>
    </row>
    <row r="664" spans="1:20" x14ac:dyDescent="0.3">
      <c r="A664" s="2" t="s">
        <v>683</v>
      </c>
      <c r="B664" s="2" t="s">
        <v>684</v>
      </c>
      <c r="C664" s="2" t="s">
        <v>590</v>
      </c>
      <c r="D664" s="2" t="s">
        <v>591</v>
      </c>
      <c r="E664" s="2" t="s">
        <v>168</v>
      </c>
      <c r="F664" s="2" t="s">
        <v>43</v>
      </c>
      <c r="G664" s="2" t="s">
        <v>43</v>
      </c>
      <c r="H664" s="2" t="s">
        <v>44</v>
      </c>
      <c r="I664" s="2" t="s">
        <v>808</v>
      </c>
      <c r="J664" s="2" t="s">
        <v>44</v>
      </c>
      <c r="K664" s="2" t="s">
        <v>45</v>
      </c>
      <c r="L664" s="2" t="s">
        <v>127</v>
      </c>
      <c r="M664" s="2" t="s">
        <v>801</v>
      </c>
      <c r="N664" s="2" t="s">
        <v>808</v>
      </c>
      <c r="O664" s="2" t="s">
        <v>809</v>
      </c>
      <c r="P664" s="3">
        <v>5</v>
      </c>
      <c r="Q664" s="3">
        <v>5</v>
      </c>
      <c r="R664" s="4">
        <f t="shared" si="10"/>
        <v>10</v>
      </c>
      <c r="S664" s="2" t="s">
        <v>31</v>
      </c>
      <c r="T664" s="2" t="s">
        <v>721</v>
      </c>
    </row>
    <row r="665" spans="1:20" x14ac:dyDescent="0.3">
      <c r="A665" s="2" t="s">
        <v>683</v>
      </c>
      <c r="B665" s="2" t="s">
        <v>684</v>
      </c>
      <c r="C665" s="2" t="s">
        <v>590</v>
      </c>
      <c r="D665" s="2" t="s">
        <v>591</v>
      </c>
      <c r="E665" s="2" t="s">
        <v>168</v>
      </c>
      <c r="F665" s="2" t="s">
        <v>43</v>
      </c>
      <c r="G665" s="2" t="s">
        <v>43</v>
      </c>
      <c r="H665" s="2" t="s">
        <v>44</v>
      </c>
      <c r="I665" s="2" t="s">
        <v>810</v>
      </c>
      <c r="J665" s="2" t="s">
        <v>44</v>
      </c>
      <c r="K665" s="2" t="s">
        <v>45</v>
      </c>
      <c r="L665" s="2" t="s">
        <v>127</v>
      </c>
      <c r="M665" s="2" t="s">
        <v>811</v>
      </c>
      <c r="N665" s="2" t="s">
        <v>810</v>
      </c>
      <c r="O665" s="2" t="s">
        <v>812</v>
      </c>
      <c r="P665" s="3">
        <v>16</v>
      </c>
      <c r="Q665" s="3">
        <v>16</v>
      </c>
      <c r="R665" s="4">
        <f t="shared" si="10"/>
        <v>32</v>
      </c>
      <c r="S665" s="2" t="s">
        <v>31</v>
      </c>
      <c r="T665" s="2" t="s">
        <v>721</v>
      </c>
    </row>
    <row r="666" spans="1:20" x14ac:dyDescent="0.3">
      <c r="A666" s="2" t="s">
        <v>683</v>
      </c>
      <c r="B666" s="2" t="s">
        <v>684</v>
      </c>
      <c r="C666" s="2" t="s">
        <v>590</v>
      </c>
      <c r="D666" s="2" t="s">
        <v>591</v>
      </c>
      <c r="E666" s="2" t="s">
        <v>168</v>
      </c>
      <c r="F666" s="2" t="s">
        <v>43</v>
      </c>
      <c r="G666" s="2" t="s">
        <v>43</v>
      </c>
      <c r="H666" s="2" t="s">
        <v>44</v>
      </c>
      <c r="I666" s="2" t="s">
        <v>813</v>
      </c>
      <c r="J666" s="2" t="s">
        <v>44</v>
      </c>
      <c r="K666" s="2" t="s">
        <v>45</v>
      </c>
      <c r="L666" s="2" t="s">
        <v>127</v>
      </c>
      <c r="M666" s="2" t="s">
        <v>811</v>
      </c>
      <c r="N666" s="2" t="s">
        <v>813</v>
      </c>
      <c r="O666" s="2" t="s">
        <v>814</v>
      </c>
      <c r="P666" s="3">
        <v>10</v>
      </c>
      <c r="Q666" s="3">
        <v>10</v>
      </c>
      <c r="R666" s="4">
        <f t="shared" si="10"/>
        <v>20</v>
      </c>
      <c r="S666" s="2" t="s">
        <v>31</v>
      </c>
      <c r="T666" s="2" t="s">
        <v>721</v>
      </c>
    </row>
    <row r="667" spans="1:20" x14ac:dyDescent="0.3">
      <c r="A667" s="2" t="s">
        <v>683</v>
      </c>
      <c r="B667" s="2" t="s">
        <v>684</v>
      </c>
      <c r="C667" s="2" t="s">
        <v>590</v>
      </c>
      <c r="D667" s="2" t="s">
        <v>591</v>
      </c>
      <c r="E667" s="2" t="s">
        <v>168</v>
      </c>
      <c r="F667" s="2" t="s">
        <v>43</v>
      </c>
      <c r="G667" s="2" t="s">
        <v>43</v>
      </c>
      <c r="H667" s="2" t="s">
        <v>44</v>
      </c>
      <c r="I667" s="2" t="s">
        <v>815</v>
      </c>
      <c r="J667" s="2" t="s">
        <v>44</v>
      </c>
      <c r="K667" s="2" t="s">
        <v>45</v>
      </c>
      <c r="L667" s="2" t="s">
        <v>127</v>
      </c>
      <c r="M667" s="2" t="s">
        <v>801</v>
      </c>
      <c r="N667" s="2" t="s">
        <v>815</v>
      </c>
      <c r="O667" s="2" t="s">
        <v>816</v>
      </c>
      <c r="P667" s="3">
        <v>8</v>
      </c>
      <c r="Q667" s="3">
        <v>8</v>
      </c>
      <c r="R667" s="4">
        <f t="shared" si="10"/>
        <v>16</v>
      </c>
      <c r="S667" s="2" t="s">
        <v>31</v>
      </c>
      <c r="T667" s="2" t="s">
        <v>721</v>
      </c>
    </row>
    <row r="668" spans="1:20" x14ac:dyDescent="0.3">
      <c r="A668" s="2" t="s">
        <v>683</v>
      </c>
      <c r="B668" s="2" t="s">
        <v>684</v>
      </c>
      <c r="C668" s="2" t="s">
        <v>590</v>
      </c>
      <c r="D668" s="2" t="s">
        <v>591</v>
      </c>
      <c r="E668" s="2" t="s">
        <v>168</v>
      </c>
      <c r="F668" s="2" t="s">
        <v>43</v>
      </c>
      <c r="G668" s="2" t="s">
        <v>43</v>
      </c>
      <c r="H668" s="2" t="s">
        <v>44</v>
      </c>
      <c r="I668" s="2" t="s">
        <v>817</v>
      </c>
      <c r="J668" s="2" t="s">
        <v>44</v>
      </c>
      <c r="K668" s="2" t="s">
        <v>45</v>
      </c>
      <c r="L668" s="2" t="s">
        <v>127</v>
      </c>
      <c r="M668" s="2" t="s">
        <v>798</v>
      </c>
      <c r="N668" s="2" t="s">
        <v>817</v>
      </c>
      <c r="O668" s="2" t="s">
        <v>818</v>
      </c>
      <c r="P668" s="3">
        <v>13</v>
      </c>
      <c r="Q668" s="3">
        <v>13</v>
      </c>
      <c r="R668" s="4">
        <f t="shared" si="10"/>
        <v>26</v>
      </c>
      <c r="S668" s="2" t="s">
        <v>31</v>
      </c>
      <c r="T668" s="2" t="s">
        <v>721</v>
      </c>
    </row>
    <row r="669" spans="1:20" x14ac:dyDescent="0.3">
      <c r="A669" s="2" t="s">
        <v>683</v>
      </c>
      <c r="B669" s="2" t="s">
        <v>684</v>
      </c>
      <c r="C669" s="2" t="s">
        <v>590</v>
      </c>
      <c r="D669" s="2" t="s">
        <v>591</v>
      </c>
      <c r="E669" s="2" t="s">
        <v>168</v>
      </c>
      <c r="F669" s="2" t="s">
        <v>43</v>
      </c>
      <c r="G669" s="2" t="s">
        <v>43</v>
      </c>
      <c r="H669" s="2" t="s">
        <v>44</v>
      </c>
      <c r="I669" s="2" t="s">
        <v>819</v>
      </c>
      <c r="J669" s="2" t="s">
        <v>44</v>
      </c>
      <c r="K669" s="2" t="s">
        <v>45</v>
      </c>
      <c r="L669" s="2" t="s">
        <v>127</v>
      </c>
      <c r="M669" s="2" t="s">
        <v>801</v>
      </c>
      <c r="N669" s="2" t="s">
        <v>819</v>
      </c>
      <c r="O669" s="2" t="s">
        <v>820</v>
      </c>
      <c r="P669" s="3">
        <v>4</v>
      </c>
      <c r="Q669" s="3">
        <v>4</v>
      </c>
      <c r="R669" s="4">
        <f t="shared" si="10"/>
        <v>8</v>
      </c>
      <c r="S669" s="2" t="s">
        <v>31</v>
      </c>
      <c r="T669" s="2" t="s">
        <v>721</v>
      </c>
    </row>
    <row r="670" spans="1:20" x14ac:dyDescent="0.3">
      <c r="A670" s="2" t="s">
        <v>683</v>
      </c>
      <c r="B670" s="2" t="s">
        <v>684</v>
      </c>
      <c r="C670" s="2" t="s">
        <v>590</v>
      </c>
      <c r="D670" s="2" t="s">
        <v>591</v>
      </c>
      <c r="E670" s="2" t="s">
        <v>168</v>
      </c>
      <c r="F670" s="2" t="s">
        <v>43</v>
      </c>
      <c r="G670" s="2" t="s">
        <v>43</v>
      </c>
      <c r="H670" s="2" t="s">
        <v>44</v>
      </c>
      <c r="I670" s="2" t="s">
        <v>821</v>
      </c>
      <c r="J670" s="2" t="s">
        <v>44</v>
      </c>
      <c r="K670" s="2" t="s">
        <v>45</v>
      </c>
      <c r="L670" s="2" t="s">
        <v>127</v>
      </c>
      <c r="M670" s="2" t="s">
        <v>798</v>
      </c>
      <c r="N670" s="2" t="s">
        <v>821</v>
      </c>
      <c r="O670" s="2" t="s">
        <v>822</v>
      </c>
      <c r="P670" s="3">
        <v>15</v>
      </c>
      <c r="Q670" s="3">
        <v>15</v>
      </c>
      <c r="R670" s="4">
        <f t="shared" si="10"/>
        <v>30</v>
      </c>
      <c r="S670" s="2" t="s">
        <v>31</v>
      </c>
      <c r="T670" s="2" t="s">
        <v>721</v>
      </c>
    </row>
    <row r="671" spans="1:20" x14ac:dyDescent="0.3">
      <c r="A671" s="2" t="s">
        <v>683</v>
      </c>
      <c r="B671" s="2" t="s">
        <v>684</v>
      </c>
      <c r="C671" s="2" t="s">
        <v>590</v>
      </c>
      <c r="D671" s="2" t="s">
        <v>591</v>
      </c>
      <c r="E671" s="2" t="s">
        <v>168</v>
      </c>
      <c r="F671" s="2" t="s">
        <v>43</v>
      </c>
      <c r="G671" s="2" t="s">
        <v>43</v>
      </c>
      <c r="H671" s="2" t="s">
        <v>44</v>
      </c>
      <c r="I671" s="2" t="s">
        <v>823</v>
      </c>
      <c r="J671" s="2" t="s">
        <v>44</v>
      </c>
      <c r="K671" s="2" t="s">
        <v>45</v>
      </c>
      <c r="L671" s="2" t="s">
        <v>127</v>
      </c>
      <c r="M671" s="2" t="s">
        <v>801</v>
      </c>
      <c r="N671" s="2" t="s">
        <v>824</v>
      </c>
      <c r="O671" s="2" t="s">
        <v>825</v>
      </c>
      <c r="P671" s="3">
        <v>3</v>
      </c>
      <c r="Q671" s="3">
        <v>3</v>
      </c>
      <c r="R671" s="4">
        <f t="shared" si="10"/>
        <v>6</v>
      </c>
      <c r="S671" s="2" t="s">
        <v>31</v>
      </c>
      <c r="T671" s="2" t="s">
        <v>721</v>
      </c>
    </row>
    <row r="672" spans="1:20" x14ac:dyDescent="0.3">
      <c r="A672" s="2" t="s">
        <v>683</v>
      </c>
      <c r="B672" s="2" t="s">
        <v>684</v>
      </c>
      <c r="C672" s="2" t="s">
        <v>590</v>
      </c>
      <c r="D672" s="2" t="s">
        <v>591</v>
      </c>
      <c r="E672" s="2" t="s">
        <v>168</v>
      </c>
      <c r="F672" s="2" t="s">
        <v>43</v>
      </c>
      <c r="G672" s="2" t="s">
        <v>43</v>
      </c>
      <c r="H672" s="2" t="s">
        <v>44</v>
      </c>
      <c r="I672" s="2" t="s">
        <v>826</v>
      </c>
      <c r="J672" s="2" t="s">
        <v>44</v>
      </c>
      <c r="K672" s="2" t="s">
        <v>45</v>
      </c>
      <c r="L672" s="2" t="s">
        <v>127</v>
      </c>
      <c r="M672" s="2" t="s">
        <v>798</v>
      </c>
      <c r="N672" s="2" t="s">
        <v>826</v>
      </c>
      <c r="O672" s="2" t="s">
        <v>827</v>
      </c>
      <c r="P672" s="3">
        <v>12</v>
      </c>
      <c r="Q672" s="3">
        <v>12</v>
      </c>
      <c r="R672" s="4">
        <f t="shared" si="10"/>
        <v>24</v>
      </c>
      <c r="S672" s="2" t="s">
        <v>31</v>
      </c>
      <c r="T672" s="2" t="s">
        <v>721</v>
      </c>
    </row>
    <row r="673" spans="1:20" x14ac:dyDescent="0.3">
      <c r="A673" s="2" t="s">
        <v>683</v>
      </c>
      <c r="B673" s="2" t="s">
        <v>684</v>
      </c>
      <c r="C673" s="2" t="s">
        <v>590</v>
      </c>
      <c r="D673" s="2" t="s">
        <v>591</v>
      </c>
      <c r="E673" s="2" t="s">
        <v>168</v>
      </c>
      <c r="F673" s="2" t="s">
        <v>43</v>
      </c>
      <c r="G673" s="2" t="s">
        <v>43</v>
      </c>
      <c r="H673" s="2" t="s">
        <v>44</v>
      </c>
      <c r="I673" s="2" t="s">
        <v>828</v>
      </c>
      <c r="J673" s="2" t="s">
        <v>44</v>
      </c>
      <c r="K673" s="2" t="s">
        <v>45</v>
      </c>
      <c r="L673" s="2" t="s">
        <v>127</v>
      </c>
      <c r="M673" s="2" t="s">
        <v>764</v>
      </c>
      <c r="N673" s="2" t="s">
        <v>829</v>
      </c>
      <c r="O673" s="2" t="s">
        <v>830</v>
      </c>
      <c r="P673" s="3">
        <v>32</v>
      </c>
      <c r="Q673" s="3">
        <v>32</v>
      </c>
      <c r="R673" s="4">
        <f t="shared" si="10"/>
        <v>64</v>
      </c>
      <c r="S673" s="2" t="s">
        <v>31</v>
      </c>
      <c r="T673" s="2" t="s">
        <v>721</v>
      </c>
    </row>
    <row r="674" spans="1:20" x14ac:dyDescent="0.3">
      <c r="A674" s="2" t="s">
        <v>683</v>
      </c>
      <c r="B674" s="2" t="s">
        <v>684</v>
      </c>
      <c r="C674" s="2" t="s">
        <v>590</v>
      </c>
      <c r="D674" s="2" t="s">
        <v>591</v>
      </c>
      <c r="E674" s="2" t="s">
        <v>168</v>
      </c>
      <c r="F674" s="2" t="s">
        <v>43</v>
      </c>
      <c r="G674" s="2" t="s">
        <v>43</v>
      </c>
      <c r="H674" s="2" t="s">
        <v>44</v>
      </c>
      <c r="I674" s="2" t="s">
        <v>831</v>
      </c>
      <c r="J674" s="2" t="s">
        <v>44</v>
      </c>
      <c r="K674" s="2" t="s">
        <v>45</v>
      </c>
      <c r="L674" s="2" t="s">
        <v>127</v>
      </c>
      <c r="M674" s="2" t="s">
        <v>798</v>
      </c>
      <c r="N674" s="2" t="s">
        <v>831</v>
      </c>
      <c r="O674" s="2" t="s">
        <v>832</v>
      </c>
      <c r="P674" s="3">
        <v>9</v>
      </c>
      <c r="Q674" s="3">
        <v>9</v>
      </c>
      <c r="R674" s="4">
        <f t="shared" si="10"/>
        <v>18</v>
      </c>
      <c r="S674" s="2" t="s">
        <v>31</v>
      </c>
      <c r="T674" s="2" t="s">
        <v>721</v>
      </c>
    </row>
    <row r="675" spans="1:20" x14ac:dyDescent="0.3">
      <c r="A675" s="2" t="s">
        <v>683</v>
      </c>
      <c r="B675" s="2" t="s">
        <v>684</v>
      </c>
      <c r="C675" s="2" t="s">
        <v>590</v>
      </c>
      <c r="D675" s="2" t="s">
        <v>591</v>
      </c>
      <c r="E675" s="2" t="s">
        <v>168</v>
      </c>
      <c r="F675" s="2" t="s">
        <v>43</v>
      </c>
      <c r="G675" s="2" t="s">
        <v>43</v>
      </c>
      <c r="H675" s="2" t="s">
        <v>44</v>
      </c>
      <c r="I675" s="2" t="s">
        <v>833</v>
      </c>
      <c r="J675" s="2" t="s">
        <v>44</v>
      </c>
      <c r="K675" s="2" t="s">
        <v>45</v>
      </c>
      <c r="L675" s="2" t="s">
        <v>127</v>
      </c>
      <c r="M675" s="2" t="s">
        <v>811</v>
      </c>
      <c r="N675" s="2" t="s">
        <v>833</v>
      </c>
      <c r="O675" s="2" t="s">
        <v>834</v>
      </c>
      <c r="P675" s="3">
        <v>12</v>
      </c>
      <c r="Q675" s="3">
        <v>12</v>
      </c>
      <c r="R675" s="4">
        <f t="shared" si="10"/>
        <v>24</v>
      </c>
      <c r="S675" s="2" t="s">
        <v>31</v>
      </c>
      <c r="T675" s="2" t="s">
        <v>721</v>
      </c>
    </row>
    <row r="676" spans="1:20" x14ac:dyDescent="0.3">
      <c r="A676" s="2" t="s">
        <v>683</v>
      </c>
      <c r="B676" s="2" t="s">
        <v>684</v>
      </c>
      <c r="C676" s="2" t="s">
        <v>590</v>
      </c>
      <c r="D676" s="2" t="s">
        <v>591</v>
      </c>
      <c r="E676" s="2" t="s">
        <v>168</v>
      </c>
      <c r="F676" s="2" t="s">
        <v>43</v>
      </c>
      <c r="G676" s="2" t="s">
        <v>43</v>
      </c>
      <c r="H676" s="2" t="s">
        <v>44</v>
      </c>
      <c r="I676" s="2" t="s">
        <v>835</v>
      </c>
      <c r="J676" s="2" t="s">
        <v>44</v>
      </c>
      <c r="K676" s="2" t="s">
        <v>45</v>
      </c>
      <c r="L676" s="2" t="s">
        <v>127</v>
      </c>
      <c r="M676" s="2" t="s">
        <v>798</v>
      </c>
      <c r="N676" s="2" t="s">
        <v>835</v>
      </c>
      <c r="O676" s="2" t="s">
        <v>836</v>
      </c>
      <c r="P676" s="3">
        <v>8</v>
      </c>
      <c r="Q676" s="3">
        <v>8</v>
      </c>
      <c r="R676" s="4">
        <f t="shared" si="10"/>
        <v>16</v>
      </c>
      <c r="S676" s="2" t="s">
        <v>31</v>
      </c>
      <c r="T676" s="2" t="s">
        <v>721</v>
      </c>
    </row>
    <row r="677" spans="1:20" x14ac:dyDescent="0.3">
      <c r="A677" s="2" t="s">
        <v>683</v>
      </c>
      <c r="B677" s="2" t="s">
        <v>684</v>
      </c>
      <c r="C677" s="2" t="s">
        <v>590</v>
      </c>
      <c r="D677" s="2" t="s">
        <v>591</v>
      </c>
      <c r="E677" s="2" t="s">
        <v>168</v>
      </c>
      <c r="F677" s="2" t="s">
        <v>43</v>
      </c>
      <c r="G677" s="2" t="s">
        <v>43</v>
      </c>
      <c r="H677" s="2" t="s">
        <v>44</v>
      </c>
      <c r="I677" s="2" t="s">
        <v>837</v>
      </c>
      <c r="J677" s="2" t="s">
        <v>44</v>
      </c>
      <c r="K677" s="2" t="s">
        <v>45</v>
      </c>
      <c r="L677" s="2" t="s">
        <v>127</v>
      </c>
      <c r="M677" s="2" t="s">
        <v>811</v>
      </c>
      <c r="N677" s="2" t="s">
        <v>837</v>
      </c>
      <c r="O677" s="2" t="s">
        <v>838</v>
      </c>
      <c r="P677" s="3">
        <v>16</v>
      </c>
      <c r="Q677" s="3">
        <v>16</v>
      </c>
      <c r="R677" s="4">
        <f t="shared" si="10"/>
        <v>32</v>
      </c>
      <c r="S677" s="2" t="s">
        <v>31</v>
      </c>
      <c r="T677" s="2" t="s">
        <v>721</v>
      </c>
    </row>
    <row r="678" spans="1:20" x14ac:dyDescent="0.3">
      <c r="A678" s="2" t="s">
        <v>683</v>
      </c>
      <c r="B678" s="2" t="s">
        <v>684</v>
      </c>
      <c r="C678" s="2" t="s">
        <v>590</v>
      </c>
      <c r="D678" s="2" t="s">
        <v>591</v>
      </c>
      <c r="E678" s="2" t="s">
        <v>168</v>
      </c>
      <c r="F678" s="2" t="s">
        <v>43</v>
      </c>
      <c r="G678" s="2" t="s">
        <v>43</v>
      </c>
      <c r="H678" s="2" t="s">
        <v>44</v>
      </c>
      <c r="I678" s="2" t="s">
        <v>839</v>
      </c>
      <c r="J678" s="2" t="s">
        <v>44</v>
      </c>
      <c r="K678" s="2" t="s">
        <v>45</v>
      </c>
      <c r="L678" s="2" t="s">
        <v>127</v>
      </c>
      <c r="M678" s="2" t="s">
        <v>798</v>
      </c>
      <c r="N678" s="2" t="s">
        <v>839</v>
      </c>
      <c r="O678" s="2" t="s">
        <v>840</v>
      </c>
      <c r="P678" s="3">
        <v>9</v>
      </c>
      <c r="Q678" s="3">
        <v>9</v>
      </c>
      <c r="R678" s="4">
        <f t="shared" si="10"/>
        <v>18</v>
      </c>
      <c r="S678" s="2" t="s">
        <v>31</v>
      </c>
      <c r="T678" s="2" t="s">
        <v>721</v>
      </c>
    </row>
    <row r="679" spans="1:20" x14ac:dyDescent="0.3">
      <c r="A679" s="2" t="s">
        <v>683</v>
      </c>
      <c r="B679" s="2" t="s">
        <v>684</v>
      </c>
      <c r="C679" s="2" t="s">
        <v>590</v>
      </c>
      <c r="D679" s="2" t="s">
        <v>591</v>
      </c>
      <c r="E679" s="2" t="s">
        <v>168</v>
      </c>
      <c r="F679" s="2" t="s">
        <v>43</v>
      </c>
      <c r="G679" s="2" t="s">
        <v>43</v>
      </c>
      <c r="H679" s="2" t="s">
        <v>44</v>
      </c>
      <c r="I679" s="2" t="s">
        <v>841</v>
      </c>
      <c r="J679" s="2" t="s">
        <v>44</v>
      </c>
      <c r="K679" s="2" t="s">
        <v>45</v>
      </c>
      <c r="L679" s="2" t="s">
        <v>127</v>
      </c>
      <c r="M679" s="2" t="s">
        <v>798</v>
      </c>
      <c r="N679" s="2" t="s">
        <v>842</v>
      </c>
      <c r="O679" s="2" t="s">
        <v>843</v>
      </c>
      <c r="P679" s="3">
        <v>14</v>
      </c>
      <c r="Q679" s="3">
        <v>8</v>
      </c>
      <c r="R679" s="4">
        <f t="shared" si="10"/>
        <v>22</v>
      </c>
      <c r="S679" s="2" t="s">
        <v>31</v>
      </c>
      <c r="T679" s="2" t="s">
        <v>844</v>
      </c>
    </row>
    <row r="680" spans="1:20" x14ac:dyDescent="0.3">
      <c r="A680" s="2" t="s">
        <v>683</v>
      </c>
      <c r="B680" s="2" t="s">
        <v>684</v>
      </c>
      <c r="C680" s="2" t="s">
        <v>590</v>
      </c>
      <c r="D680" s="2" t="s">
        <v>591</v>
      </c>
      <c r="E680" s="2" t="s">
        <v>168</v>
      </c>
      <c r="F680" s="2" t="s">
        <v>43</v>
      </c>
      <c r="G680" s="2" t="s">
        <v>43</v>
      </c>
      <c r="H680" s="2" t="s">
        <v>44</v>
      </c>
      <c r="I680" s="2" t="s">
        <v>845</v>
      </c>
      <c r="J680" s="2" t="s">
        <v>44</v>
      </c>
      <c r="K680" s="2" t="s">
        <v>45</v>
      </c>
      <c r="L680" s="2" t="s">
        <v>127</v>
      </c>
      <c r="M680" s="2" t="s">
        <v>801</v>
      </c>
      <c r="N680" s="2" t="s">
        <v>845</v>
      </c>
      <c r="O680" s="2" t="s">
        <v>846</v>
      </c>
      <c r="P680" s="3">
        <v>5</v>
      </c>
      <c r="Q680" s="3">
        <v>5</v>
      </c>
      <c r="R680" s="4">
        <f t="shared" si="10"/>
        <v>10</v>
      </c>
      <c r="S680" s="2" t="s">
        <v>31</v>
      </c>
      <c r="T680" s="2" t="s">
        <v>721</v>
      </c>
    </row>
    <row r="681" spans="1:20" x14ac:dyDescent="0.3">
      <c r="A681" s="2" t="s">
        <v>683</v>
      </c>
      <c r="B681" s="2" t="s">
        <v>684</v>
      </c>
      <c r="C681" s="2" t="s">
        <v>590</v>
      </c>
      <c r="D681" s="2" t="s">
        <v>591</v>
      </c>
      <c r="E681" s="2" t="s">
        <v>168</v>
      </c>
      <c r="F681" s="2" t="s">
        <v>43</v>
      </c>
      <c r="G681" s="2" t="s">
        <v>43</v>
      </c>
      <c r="H681" s="2" t="s">
        <v>44</v>
      </c>
      <c r="I681" s="2" t="s">
        <v>845</v>
      </c>
      <c r="J681" s="2" t="s">
        <v>44</v>
      </c>
      <c r="K681" s="2" t="s">
        <v>45</v>
      </c>
      <c r="L681" s="2" t="s">
        <v>127</v>
      </c>
      <c r="M681" s="2" t="s">
        <v>801</v>
      </c>
      <c r="N681" s="2" t="s">
        <v>845</v>
      </c>
      <c r="O681" s="2" t="s">
        <v>846</v>
      </c>
      <c r="P681" s="3">
        <v>5</v>
      </c>
      <c r="Q681" s="3">
        <v>5</v>
      </c>
      <c r="R681" s="4">
        <f t="shared" si="10"/>
        <v>10</v>
      </c>
      <c r="S681" s="2" t="s">
        <v>31</v>
      </c>
      <c r="T681" s="2" t="s">
        <v>721</v>
      </c>
    </row>
    <row r="682" spans="1:20" x14ac:dyDescent="0.3">
      <c r="A682" s="2" t="s">
        <v>683</v>
      </c>
      <c r="B682" s="2" t="s">
        <v>684</v>
      </c>
      <c r="C682" s="2" t="s">
        <v>590</v>
      </c>
      <c r="D682" s="2" t="s">
        <v>591</v>
      </c>
      <c r="E682" s="2" t="s">
        <v>168</v>
      </c>
      <c r="F682" s="2" t="s">
        <v>43</v>
      </c>
      <c r="G682" s="2" t="s">
        <v>43</v>
      </c>
      <c r="H682" s="2" t="s">
        <v>44</v>
      </c>
      <c r="I682" s="2" t="s">
        <v>847</v>
      </c>
      <c r="J682" s="2" t="s">
        <v>44</v>
      </c>
      <c r="K682" s="2" t="s">
        <v>45</v>
      </c>
      <c r="L682" s="2" t="s">
        <v>127</v>
      </c>
      <c r="M682" s="2" t="s">
        <v>811</v>
      </c>
      <c r="N682" s="2" t="s">
        <v>847</v>
      </c>
      <c r="O682" s="2" t="s">
        <v>848</v>
      </c>
      <c r="P682" s="3">
        <v>12</v>
      </c>
      <c r="Q682" s="3">
        <v>12</v>
      </c>
      <c r="R682" s="4">
        <f t="shared" si="10"/>
        <v>24</v>
      </c>
      <c r="S682" s="2" t="s">
        <v>31</v>
      </c>
      <c r="T682" s="2" t="s">
        <v>721</v>
      </c>
    </row>
    <row r="683" spans="1:20" x14ac:dyDescent="0.3">
      <c r="A683" s="2" t="s">
        <v>683</v>
      </c>
      <c r="B683" s="2" t="s">
        <v>684</v>
      </c>
      <c r="C683" s="2" t="s">
        <v>590</v>
      </c>
      <c r="D683" s="2" t="s">
        <v>591</v>
      </c>
      <c r="E683" s="2" t="s">
        <v>168</v>
      </c>
      <c r="F683" s="2" t="s">
        <v>43</v>
      </c>
      <c r="G683" s="2" t="s">
        <v>43</v>
      </c>
      <c r="H683" s="2" t="s">
        <v>44</v>
      </c>
      <c r="I683" s="2" t="s">
        <v>849</v>
      </c>
      <c r="J683" s="2" t="s">
        <v>44</v>
      </c>
      <c r="K683" s="2" t="s">
        <v>45</v>
      </c>
      <c r="L683" s="2" t="s">
        <v>127</v>
      </c>
      <c r="M683" s="2" t="s">
        <v>811</v>
      </c>
      <c r="N683" s="2" t="s">
        <v>849</v>
      </c>
      <c r="O683" s="2" t="s">
        <v>850</v>
      </c>
      <c r="P683" s="3">
        <v>10</v>
      </c>
      <c r="Q683" s="3">
        <v>10</v>
      </c>
      <c r="R683" s="4">
        <f t="shared" si="10"/>
        <v>20</v>
      </c>
      <c r="S683" s="2" t="s">
        <v>31</v>
      </c>
      <c r="T683" s="2" t="s">
        <v>721</v>
      </c>
    </row>
    <row r="684" spans="1:20" x14ac:dyDescent="0.3">
      <c r="A684" s="2" t="s">
        <v>683</v>
      </c>
      <c r="B684" s="2" t="s">
        <v>684</v>
      </c>
      <c r="C684" s="2" t="s">
        <v>590</v>
      </c>
      <c r="D684" s="2" t="s">
        <v>591</v>
      </c>
      <c r="E684" s="2" t="s">
        <v>168</v>
      </c>
      <c r="F684" s="2" t="s">
        <v>43</v>
      </c>
      <c r="G684" s="2" t="s">
        <v>43</v>
      </c>
      <c r="H684" s="2" t="s">
        <v>44</v>
      </c>
      <c r="I684" s="2" t="s">
        <v>851</v>
      </c>
      <c r="J684" s="2" t="s">
        <v>44</v>
      </c>
      <c r="K684" s="2" t="s">
        <v>45</v>
      </c>
      <c r="L684" s="2" t="s">
        <v>127</v>
      </c>
      <c r="M684" s="2" t="s">
        <v>811</v>
      </c>
      <c r="N684" s="2" t="s">
        <v>851</v>
      </c>
      <c r="O684" s="2" t="s">
        <v>852</v>
      </c>
      <c r="P684" s="3">
        <v>11</v>
      </c>
      <c r="Q684" s="3">
        <v>11</v>
      </c>
      <c r="R684" s="4">
        <f t="shared" si="10"/>
        <v>22</v>
      </c>
      <c r="S684" s="2" t="s">
        <v>31</v>
      </c>
      <c r="T684" s="2" t="s">
        <v>721</v>
      </c>
    </row>
    <row r="685" spans="1:20" x14ac:dyDescent="0.3">
      <c r="A685" s="2" t="s">
        <v>683</v>
      </c>
      <c r="B685" s="2" t="s">
        <v>684</v>
      </c>
      <c r="C685" s="2" t="s">
        <v>590</v>
      </c>
      <c r="D685" s="2" t="s">
        <v>591</v>
      </c>
      <c r="E685" s="2" t="s">
        <v>168</v>
      </c>
      <c r="F685" s="2" t="s">
        <v>43</v>
      </c>
      <c r="G685" s="2" t="s">
        <v>43</v>
      </c>
      <c r="H685" s="2" t="s">
        <v>44</v>
      </c>
      <c r="I685" s="2" t="s">
        <v>853</v>
      </c>
      <c r="J685" s="2" t="s">
        <v>44</v>
      </c>
      <c r="K685" s="2" t="s">
        <v>45</v>
      </c>
      <c r="L685" s="2" t="s">
        <v>127</v>
      </c>
      <c r="M685" s="2" t="s">
        <v>798</v>
      </c>
      <c r="N685" s="2" t="s">
        <v>853</v>
      </c>
      <c r="O685" s="2" t="s">
        <v>854</v>
      </c>
      <c r="P685" s="3">
        <v>7</v>
      </c>
      <c r="Q685" s="3">
        <v>7</v>
      </c>
      <c r="R685" s="4">
        <f t="shared" si="10"/>
        <v>14</v>
      </c>
      <c r="S685" s="2" t="s">
        <v>31</v>
      </c>
      <c r="T685" s="2" t="s">
        <v>721</v>
      </c>
    </row>
    <row r="686" spans="1:20" x14ac:dyDescent="0.3">
      <c r="A686" s="2" t="s">
        <v>683</v>
      </c>
      <c r="B686" s="2" t="s">
        <v>684</v>
      </c>
      <c r="C686" s="2" t="s">
        <v>590</v>
      </c>
      <c r="D686" s="2" t="s">
        <v>591</v>
      </c>
      <c r="E686" s="2" t="s">
        <v>168</v>
      </c>
      <c r="F686" s="2" t="s">
        <v>43</v>
      </c>
      <c r="G686" s="2" t="s">
        <v>43</v>
      </c>
      <c r="H686" s="2" t="s">
        <v>44</v>
      </c>
      <c r="I686" s="2" t="s">
        <v>855</v>
      </c>
      <c r="J686" s="2" t="s">
        <v>44</v>
      </c>
      <c r="K686" s="2" t="s">
        <v>45</v>
      </c>
      <c r="L686" s="2" t="s">
        <v>127</v>
      </c>
      <c r="M686" s="2" t="s">
        <v>801</v>
      </c>
      <c r="N686" s="2" t="s">
        <v>855</v>
      </c>
      <c r="O686" s="2" t="s">
        <v>856</v>
      </c>
      <c r="P686" s="3">
        <v>4</v>
      </c>
      <c r="Q686" s="3">
        <v>4</v>
      </c>
      <c r="R686" s="4">
        <f t="shared" si="10"/>
        <v>8</v>
      </c>
      <c r="S686" s="2" t="s">
        <v>31</v>
      </c>
      <c r="T686" s="2" t="s">
        <v>721</v>
      </c>
    </row>
    <row r="687" spans="1:20" x14ac:dyDescent="0.3">
      <c r="A687" s="2" t="s">
        <v>683</v>
      </c>
      <c r="B687" s="2" t="s">
        <v>684</v>
      </c>
      <c r="C687" s="2" t="s">
        <v>590</v>
      </c>
      <c r="D687" s="2" t="s">
        <v>591</v>
      </c>
      <c r="E687" s="2" t="s">
        <v>168</v>
      </c>
      <c r="F687" s="2" t="s">
        <v>43</v>
      </c>
      <c r="G687" s="2" t="s">
        <v>43</v>
      </c>
      <c r="H687" s="2" t="s">
        <v>44</v>
      </c>
      <c r="I687" s="2" t="s">
        <v>855</v>
      </c>
      <c r="J687" s="2" t="s">
        <v>44</v>
      </c>
      <c r="K687" s="2" t="s">
        <v>45</v>
      </c>
      <c r="L687" s="2" t="s">
        <v>127</v>
      </c>
      <c r="M687" s="2" t="s">
        <v>801</v>
      </c>
      <c r="N687" s="2" t="s">
        <v>855</v>
      </c>
      <c r="O687" s="2" t="s">
        <v>856</v>
      </c>
      <c r="P687" s="3">
        <v>4</v>
      </c>
      <c r="Q687" s="3">
        <v>4</v>
      </c>
      <c r="R687" s="4">
        <f t="shared" si="10"/>
        <v>8</v>
      </c>
      <c r="S687" s="2" t="s">
        <v>31</v>
      </c>
      <c r="T687" s="2" t="s">
        <v>721</v>
      </c>
    </row>
    <row r="688" spans="1:20" x14ac:dyDescent="0.3">
      <c r="A688" s="2" t="s">
        <v>683</v>
      </c>
      <c r="B688" s="2" t="s">
        <v>684</v>
      </c>
      <c r="C688" s="2" t="s">
        <v>590</v>
      </c>
      <c r="D688" s="2" t="s">
        <v>591</v>
      </c>
      <c r="E688" s="2" t="s">
        <v>168</v>
      </c>
      <c r="F688" s="2" t="s">
        <v>43</v>
      </c>
      <c r="G688" s="2" t="s">
        <v>43</v>
      </c>
      <c r="H688" s="2" t="s">
        <v>44</v>
      </c>
      <c r="I688" s="2" t="s">
        <v>857</v>
      </c>
      <c r="J688" s="2" t="s">
        <v>44</v>
      </c>
      <c r="K688" s="2" t="s">
        <v>45</v>
      </c>
      <c r="L688" s="2" t="s">
        <v>127</v>
      </c>
      <c r="M688" s="2" t="s">
        <v>801</v>
      </c>
      <c r="N688" s="2" t="s">
        <v>857</v>
      </c>
      <c r="O688" s="2" t="s">
        <v>858</v>
      </c>
      <c r="P688" s="3">
        <v>5</v>
      </c>
      <c r="Q688" s="3">
        <v>5</v>
      </c>
      <c r="R688" s="4">
        <f t="shared" si="10"/>
        <v>10</v>
      </c>
      <c r="S688" s="2" t="s">
        <v>31</v>
      </c>
      <c r="T688" s="2" t="s">
        <v>721</v>
      </c>
    </row>
    <row r="689" spans="1:20" x14ac:dyDescent="0.3">
      <c r="A689" s="2" t="s">
        <v>683</v>
      </c>
      <c r="B689" s="2" t="s">
        <v>684</v>
      </c>
      <c r="C689" s="2" t="s">
        <v>590</v>
      </c>
      <c r="D689" s="2" t="s">
        <v>591</v>
      </c>
      <c r="E689" s="2" t="s">
        <v>168</v>
      </c>
      <c r="F689" s="2" t="s">
        <v>43</v>
      </c>
      <c r="G689" s="2" t="s">
        <v>43</v>
      </c>
      <c r="H689" s="2" t="s">
        <v>44</v>
      </c>
      <c r="I689" s="2" t="s">
        <v>859</v>
      </c>
      <c r="J689" s="2" t="s">
        <v>44</v>
      </c>
      <c r="K689" s="2" t="s">
        <v>45</v>
      </c>
      <c r="L689" s="2" t="s">
        <v>127</v>
      </c>
      <c r="M689" s="2" t="s">
        <v>811</v>
      </c>
      <c r="N689" s="2" t="s">
        <v>859</v>
      </c>
      <c r="O689" s="2" t="s">
        <v>860</v>
      </c>
      <c r="P689" s="3">
        <v>12</v>
      </c>
      <c r="Q689" s="3">
        <v>12</v>
      </c>
      <c r="R689" s="4">
        <f t="shared" si="10"/>
        <v>24</v>
      </c>
      <c r="S689" s="2" t="s">
        <v>31</v>
      </c>
      <c r="T689" s="2" t="s">
        <v>721</v>
      </c>
    </row>
    <row r="690" spans="1:20" x14ac:dyDescent="0.3">
      <c r="A690" s="2" t="s">
        <v>683</v>
      </c>
      <c r="B690" s="2" t="s">
        <v>684</v>
      </c>
      <c r="C690" s="2" t="s">
        <v>590</v>
      </c>
      <c r="D690" s="2" t="s">
        <v>591</v>
      </c>
      <c r="E690" s="2" t="s">
        <v>168</v>
      </c>
      <c r="F690" s="2" t="s">
        <v>43</v>
      </c>
      <c r="G690" s="2" t="s">
        <v>43</v>
      </c>
      <c r="H690" s="2" t="s">
        <v>44</v>
      </c>
      <c r="I690" s="2" t="s">
        <v>861</v>
      </c>
      <c r="J690" s="2" t="s">
        <v>44</v>
      </c>
      <c r="K690" s="2" t="s">
        <v>45</v>
      </c>
      <c r="L690" s="2" t="s">
        <v>127</v>
      </c>
      <c r="M690" s="2" t="s">
        <v>801</v>
      </c>
      <c r="N690" s="2" t="s">
        <v>855</v>
      </c>
      <c r="O690" s="2" t="s">
        <v>856</v>
      </c>
      <c r="P690" s="3">
        <v>4</v>
      </c>
      <c r="Q690" s="3">
        <v>4</v>
      </c>
      <c r="R690" s="4">
        <f t="shared" si="10"/>
        <v>8</v>
      </c>
      <c r="S690" s="2" t="s">
        <v>31</v>
      </c>
      <c r="T690" s="2" t="s">
        <v>721</v>
      </c>
    </row>
    <row r="691" spans="1:20" x14ac:dyDescent="0.3">
      <c r="A691" s="2" t="s">
        <v>683</v>
      </c>
      <c r="B691" s="2" t="s">
        <v>684</v>
      </c>
      <c r="C691" s="2" t="s">
        <v>590</v>
      </c>
      <c r="D691" s="2" t="s">
        <v>591</v>
      </c>
      <c r="E691" s="2" t="s">
        <v>168</v>
      </c>
      <c r="F691" s="2" t="s">
        <v>43</v>
      </c>
      <c r="G691" s="2" t="s">
        <v>43</v>
      </c>
      <c r="H691" s="2" t="s">
        <v>44</v>
      </c>
      <c r="I691" s="2" t="s">
        <v>862</v>
      </c>
      <c r="J691" s="2" t="s">
        <v>44</v>
      </c>
      <c r="K691" s="2" t="s">
        <v>45</v>
      </c>
      <c r="L691" s="2" t="s">
        <v>127</v>
      </c>
      <c r="M691" s="2" t="s">
        <v>801</v>
      </c>
      <c r="N691" s="2" t="s">
        <v>855</v>
      </c>
      <c r="O691" s="2" t="s">
        <v>856</v>
      </c>
      <c r="P691" s="3">
        <v>4</v>
      </c>
      <c r="Q691" s="3">
        <v>4</v>
      </c>
      <c r="R691" s="4">
        <f t="shared" si="10"/>
        <v>8</v>
      </c>
      <c r="S691" s="2" t="s">
        <v>31</v>
      </c>
      <c r="T691" s="2" t="s">
        <v>721</v>
      </c>
    </row>
    <row r="692" spans="1:20" x14ac:dyDescent="0.3">
      <c r="A692" s="2" t="s">
        <v>683</v>
      </c>
      <c r="B692" s="2" t="s">
        <v>684</v>
      </c>
      <c r="C692" s="2" t="s">
        <v>590</v>
      </c>
      <c r="D692" s="2" t="s">
        <v>591</v>
      </c>
      <c r="E692" s="2" t="s">
        <v>168</v>
      </c>
      <c r="F692" s="2" t="s">
        <v>43</v>
      </c>
      <c r="G692" s="2" t="s">
        <v>43</v>
      </c>
      <c r="H692" s="2" t="s">
        <v>44</v>
      </c>
      <c r="I692" s="2" t="s">
        <v>863</v>
      </c>
      <c r="J692" s="2" t="s">
        <v>44</v>
      </c>
      <c r="K692" s="2" t="s">
        <v>45</v>
      </c>
      <c r="L692" s="2" t="s">
        <v>127</v>
      </c>
      <c r="M692" s="2" t="s">
        <v>811</v>
      </c>
      <c r="N692" s="2" t="s">
        <v>863</v>
      </c>
      <c r="O692" s="2" t="s">
        <v>864</v>
      </c>
      <c r="P692" s="3">
        <v>8</v>
      </c>
      <c r="Q692" s="3">
        <v>8</v>
      </c>
      <c r="R692" s="4">
        <f t="shared" si="10"/>
        <v>16</v>
      </c>
      <c r="S692" s="2" t="s">
        <v>31</v>
      </c>
      <c r="T692" s="2" t="s">
        <v>721</v>
      </c>
    </row>
    <row r="693" spans="1:20" x14ac:dyDescent="0.3">
      <c r="A693" s="2" t="s">
        <v>588</v>
      </c>
      <c r="B693" s="2" t="s">
        <v>589</v>
      </c>
      <c r="C693" s="2" t="s">
        <v>590</v>
      </c>
      <c r="D693" s="2" t="s">
        <v>591</v>
      </c>
      <c r="E693" s="2" t="s">
        <v>168</v>
      </c>
      <c r="F693" s="2" t="s">
        <v>152</v>
      </c>
      <c r="G693" s="2" t="s">
        <v>159</v>
      </c>
      <c r="H693" s="2" t="s">
        <v>152</v>
      </c>
      <c r="I693" s="2" t="s">
        <v>27</v>
      </c>
      <c r="J693" s="2" t="s">
        <v>27</v>
      </c>
      <c r="K693" s="2" t="s">
        <v>28</v>
      </c>
      <c r="L693" s="2" t="s">
        <v>29</v>
      </c>
      <c r="M693" s="2"/>
      <c r="N693" s="2" t="s">
        <v>27</v>
      </c>
      <c r="O693" s="2" t="s">
        <v>164</v>
      </c>
      <c r="P693" s="3">
        <v>984</v>
      </c>
      <c r="Q693" s="3">
        <v>984</v>
      </c>
      <c r="R693" s="4">
        <f t="shared" si="10"/>
        <v>1968</v>
      </c>
      <c r="S693" s="2" t="s">
        <v>40</v>
      </c>
      <c r="T693" s="2"/>
    </row>
    <row r="694" spans="1:20" x14ac:dyDescent="0.3">
      <c r="A694" s="2" t="s">
        <v>588</v>
      </c>
      <c r="B694" s="2" t="s">
        <v>589</v>
      </c>
      <c r="C694" s="2" t="s">
        <v>590</v>
      </c>
      <c r="D694" s="2" t="s">
        <v>591</v>
      </c>
      <c r="E694" s="2" t="s">
        <v>168</v>
      </c>
      <c r="F694" s="2" t="s">
        <v>152</v>
      </c>
      <c r="G694" s="2" t="s">
        <v>159</v>
      </c>
      <c r="H694" s="2" t="s">
        <v>152</v>
      </c>
      <c r="I694" s="2" t="s">
        <v>65</v>
      </c>
      <c r="J694" s="2" t="s">
        <v>65</v>
      </c>
      <c r="K694" s="2" t="s">
        <v>28</v>
      </c>
      <c r="L694" s="2" t="s">
        <v>29</v>
      </c>
      <c r="M694" s="2"/>
      <c r="N694" s="2" t="s">
        <v>65</v>
      </c>
      <c r="O694" s="2" t="s">
        <v>169</v>
      </c>
      <c r="P694" s="3">
        <v>762</v>
      </c>
      <c r="Q694" s="3">
        <v>762</v>
      </c>
      <c r="R694" s="4">
        <f t="shared" si="10"/>
        <v>1524</v>
      </c>
      <c r="S694" s="2" t="s">
        <v>31</v>
      </c>
      <c r="T694" s="2"/>
    </row>
    <row r="695" spans="1:20" x14ac:dyDescent="0.3">
      <c r="A695" s="2" t="s">
        <v>588</v>
      </c>
      <c r="B695" s="2" t="s">
        <v>589</v>
      </c>
      <c r="C695" s="2" t="s">
        <v>590</v>
      </c>
      <c r="D695" s="2" t="s">
        <v>591</v>
      </c>
      <c r="E695" s="2" t="s">
        <v>168</v>
      </c>
      <c r="F695" s="2" t="s">
        <v>152</v>
      </c>
      <c r="G695" s="2" t="s">
        <v>159</v>
      </c>
      <c r="H695" s="2" t="s">
        <v>152</v>
      </c>
      <c r="I695" s="2" t="s">
        <v>43</v>
      </c>
      <c r="J695" s="2" t="s">
        <v>44</v>
      </c>
      <c r="K695" s="2" t="s">
        <v>45</v>
      </c>
      <c r="L695" s="2" t="s">
        <v>29</v>
      </c>
      <c r="M695" s="2"/>
      <c r="N695" s="2" t="s">
        <v>43</v>
      </c>
      <c r="O695" s="2" t="s">
        <v>163</v>
      </c>
      <c r="P695" s="3">
        <v>740</v>
      </c>
      <c r="Q695" s="3">
        <v>740</v>
      </c>
      <c r="R695" s="4">
        <f t="shared" si="10"/>
        <v>1480</v>
      </c>
      <c r="S695" s="2" t="s">
        <v>40</v>
      </c>
      <c r="T695" s="2"/>
    </row>
    <row r="696" spans="1:20" x14ac:dyDescent="0.3">
      <c r="A696" s="2" t="s">
        <v>588</v>
      </c>
      <c r="B696" s="2" t="s">
        <v>589</v>
      </c>
      <c r="C696" s="2" t="s">
        <v>590</v>
      </c>
      <c r="D696" s="2" t="s">
        <v>591</v>
      </c>
      <c r="E696" s="2" t="s">
        <v>168</v>
      </c>
      <c r="F696" s="2" t="s">
        <v>152</v>
      </c>
      <c r="G696" s="2" t="s">
        <v>159</v>
      </c>
      <c r="H696" s="2" t="s">
        <v>152</v>
      </c>
      <c r="I696" s="2" t="s">
        <v>657</v>
      </c>
      <c r="J696" s="2" t="s">
        <v>348</v>
      </c>
      <c r="K696" s="2" t="s">
        <v>133</v>
      </c>
      <c r="L696" s="2" t="s">
        <v>29</v>
      </c>
      <c r="M696" s="2"/>
      <c r="N696" s="2" t="s">
        <v>365</v>
      </c>
      <c r="O696" s="2" t="s">
        <v>865</v>
      </c>
      <c r="P696" s="3">
        <v>681</v>
      </c>
      <c r="Q696" s="3">
        <v>681</v>
      </c>
      <c r="R696" s="4">
        <f t="shared" si="10"/>
        <v>1362</v>
      </c>
      <c r="S696" s="2" t="s">
        <v>31</v>
      </c>
      <c r="T696" s="2"/>
    </row>
    <row r="697" spans="1:20" x14ac:dyDescent="0.3">
      <c r="A697" s="2" t="s">
        <v>588</v>
      </c>
      <c r="B697" s="2" t="s">
        <v>589</v>
      </c>
      <c r="C697" s="2" t="s">
        <v>590</v>
      </c>
      <c r="D697" s="2" t="s">
        <v>591</v>
      </c>
      <c r="E697" s="2" t="s">
        <v>168</v>
      </c>
      <c r="F697" s="2" t="s">
        <v>152</v>
      </c>
      <c r="G697" s="2" t="s">
        <v>159</v>
      </c>
      <c r="H697" s="2" t="s">
        <v>152</v>
      </c>
      <c r="I697" s="2" t="s">
        <v>160</v>
      </c>
      <c r="J697" s="2" t="s">
        <v>161</v>
      </c>
      <c r="K697" s="2" t="s">
        <v>133</v>
      </c>
      <c r="L697" s="2" t="s">
        <v>29</v>
      </c>
      <c r="M697" s="2"/>
      <c r="N697" s="2" t="s">
        <v>160</v>
      </c>
      <c r="O697" s="2" t="s">
        <v>162</v>
      </c>
      <c r="P697" s="3">
        <v>603</v>
      </c>
      <c r="Q697" s="3">
        <v>603</v>
      </c>
      <c r="R697" s="4">
        <f t="shared" si="10"/>
        <v>1206</v>
      </c>
      <c r="S697" s="2" t="s">
        <v>31</v>
      </c>
      <c r="T697" s="2"/>
    </row>
    <row r="698" spans="1:20" x14ac:dyDescent="0.3">
      <c r="A698" s="2" t="s">
        <v>588</v>
      </c>
      <c r="B698" s="2" t="s">
        <v>589</v>
      </c>
      <c r="C698" s="2" t="s">
        <v>590</v>
      </c>
      <c r="D698" s="2" t="s">
        <v>591</v>
      </c>
      <c r="E698" s="2" t="s">
        <v>168</v>
      </c>
      <c r="F698" s="2" t="s">
        <v>152</v>
      </c>
      <c r="G698" s="2" t="s">
        <v>159</v>
      </c>
      <c r="H698" s="2" t="s">
        <v>152</v>
      </c>
      <c r="I698" s="2" t="s">
        <v>619</v>
      </c>
      <c r="J698" s="2" t="s">
        <v>143</v>
      </c>
      <c r="K698" s="2" t="s">
        <v>137</v>
      </c>
      <c r="L698" s="2" t="s">
        <v>29</v>
      </c>
      <c r="M698" s="2"/>
      <c r="N698" s="2" t="s">
        <v>371</v>
      </c>
      <c r="O698" s="2" t="s">
        <v>866</v>
      </c>
      <c r="P698" s="3">
        <v>512</v>
      </c>
      <c r="Q698" s="3">
        <v>512</v>
      </c>
      <c r="R698" s="4">
        <f t="shared" si="10"/>
        <v>1024</v>
      </c>
      <c r="S698" s="2" t="s">
        <v>31</v>
      </c>
      <c r="T698" s="2"/>
    </row>
    <row r="699" spans="1:20" x14ac:dyDescent="0.3">
      <c r="A699" s="2" t="s">
        <v>588</v>
      </c>
      <c r="B699" s="2" t="s">
        <v>589</v>
      </c>
      <c r="C699" s="2" t="s">
        <v>590</v>
      </c>
      <c r="D699" s="2" t="s">
        <v>591</v>
      </c>
      <c r="E699" s="2" t="s">
        <v>168</v>
      </c>
      <c r="F699" s="2" t="s">
        <v>152</v>
      </c>
      <c r="G699" s="2" t="s">
        <v>159</v>
      </c>
      <c r="H699" s="2" t="s">
        <v>152</v>
      </c>
      <c r="I699" s="2" t="s">
        <v>142</v>
      </c>
      <c r="J699" s="2" t="s">
        <v>143</v>
      </c>
      <c r="K699" s="2" t="s">
        <v>137</v>
      </c>
      <c r="L699" s="2" t="s">
        <v>29</v>
      </c>
      <c r="M699" s="2"/>
      <c r="N699" s="2" t="s">
        <v>142</v>
      </c>
      <c r="O699" s="2" t="s">
        <v>867</v>
      </c>
      <c r="P699" s="3">
        <v>472</v>
      </c>
      <c r="Q699" s="3">
        <v>472</v>
      </c>
      <c r="R699" s="4">
        <f t="shared" si="10"/>
        <v>944</v>
      </c>
      <c r="S699" s="2" t="s">
        <v>31</v>
      </c>
      <c r="T699" s="2"/>
    </row>
    <row r="700" spans="1:20" x14ac:dyDescent="0.3">
      <c r="A700" s="2" t="s">
        <v>588</v>
      </c>
      <c r="B700" s="2" t="s">
        <v>589</v>
      </c>
      <c r="C700" s="2" t="s">
        <v>590</v>
      </c>
      <c r="D700" s="2" t="s">
        <v>591</v>
      </c>
      <c r="E700" s="2" t="s">
        <v>168</v>
      </c>
      <c r="F700" s="2" t="s">
        <v>152</v>
      </c>
      <c r="G700" s="2" t="s">
        <v>159</v>
      </c>
      <c r="H700" s="2" t="s">
        <v>152</v>
      </c>
      <c r="I700" s="2" t="s">
        <v>174</v>
      </c>
      <c r="J700" s="2" t="s">
        <v>140</v>
      </c>
      <c r="K700" s="2" t="s">
        <v>133</v>
      </c>
      <c r="L700" s="2" t="s">
        <v>29</v>
      </c>
      <c r="M700" s="2"/>
      <c r="N700" s="2" t="s">
        <v>174</v>
      </c>
      <c r="O700" s="2" t="s">
        <v>868</v>
      </c>
      <c r="P700" s="3">
        <v>423</v>
      </c>
      <c r="Q700" s="3">
        <v>423</v>
      </c>
      <c r="R700" s="4">
        <f t="shared" si="10"/>
        <v>846</v>
      </c>
      <c r="S700" s="2" t="s">
        <v>31</v>
      </c>
      <c r="T700" s="2"/>
    </row>
    <row r="701" spans="1:20" x14ac:dyDescent="0.3">
      <c r="A701" s="2" t="s">
        <v>588</v>
      </c>
      <c r="B701" s="2" t="s">
        <v>589</v>
      </c>
      <c r="C701" s="2" t="s">
        <v>590</v>
      </c>
      <c r="D701" s="2" t="s">
        <v>591</v>
      </c>
      <c r="E701" s="2" t="s">
        <v>168</v>
      </c>
      <c r="F701" s="2" t="s">
        <v>152</v>
      </c>
      <c r="G701" s="2" t="s">
        <v>159</v>
      </c>
      <c r="H701" s="2" t="s">
        <v>152</v>
      </c>
      <c r="I701" s="2" t="s">
        <v>278</v>
      </c>
      <c r="J701" s="2" t="s">
        <v>277</v>
      </c>
      <c r="K701" s="2" t="s">
        <v>38</v>
      </c>
      <c r="L701" s="2" t="s">
        <v>29</v>
      </c>
      <c r="M701" s="2"/>
      <c r="N701" s="2" t="s">
        <v>278</v>
      </c>
      <c r="O701" s="2" t="s">
        <v>279</v>
      </c>
      <c r="P701" s="3">
        <v>305</v>
      </c>
      <c r="Q701" s="3">
        <v>305</v>
      </c>
      <c r="R701" s="4">
        <f t="shared" si="10"/>
        <v>610</v>
      </c>
      <c r="S701" s="2" t="s">
        <v>31</v>
      </c>
      <c r="T701" s="2"/>
    </row>
    <row r="702" spans="1:20" x14ac:dyDescent="0.3">
      <c r="A702" s="2" t="s">
        <v>588</v>
      </c>
      <c r="B702" s="2" t="s">
        <v>589</v>
      </c>
      <c r="C702" s="2" t="s">
        <v>590</v>
      </c>
      <c r="D702" s="2" t="s">
        <v>591</v>
      </c>
      <c r="E702" s="2" t="s">
        <v>168</v>
      </c>
      <c r="F702" s="2" t="s">
        <v>152</v>
      </c>
      <c r="G702" s="2" t="s">
        <v>159</v>
      </c>
      <c r="H702" s="2" t="s">
        <v>152</v>
      </c>
      <c r="I702" s="2" t="s">
        <v>246</v>
      </c>
      <c r="J702" s="2" t="s">
        <v>132</v>
      </c>
      <c r="K702" s="2" t="s">
        <v>133</v>
      </c>
      <c r="L702" s="2" t="s">
        <v>29</v>
      </c>
      <c r="M702" s="2"/>
      <c r="N702" s="2" t="s">
        <v>246</v>
      </c>
      <c r="O702" s="2" t="s">
        <v>294</v>
      </c>
      <c r="P702" s="3">
        <v>303</v>
      </c>
      <c r="Q702" s="3">
        <v>303</v>
      </c>
      <c r="R702" s="4">
        <f t="shared" si="10"/>
        <v>606</v>
      </c>
      <c r="S702" s="2" t="s">
        <v>31</v>
      </c>
      <c r="T702" s="2"/>
    </row>
    <row r="703" spans="1:20" x14ac:dyDescent="0.3">
      <c r="A703" s="2" t="s">
        <v>588</v>
      </c>
      <c r="B703" s="2" t="s">
        <v>589</v>
      </c>
      <c r="C703" s="2" t="s">
        <v>590</v>
      </c>
      <c r="D703" s="2" t="s">
        <v>591</v>
      </c>
      <c r="E703" s="2" t="s">
        <v>168</v>
      </c>
      <c r="F703" s="2" t="s">
        <v>152</v>
      </c>
      <c r="G703" s="2" t="s">
        <v>159</v>
      </c>
      <c r="H703" s="2" t="s">
        <v>152</v>
      </c>
      <c r="I703" s="2" t="s">
        <v>282</v>
      </c>
      <c r="J703" s="2" t="s">
        <v>281</v>
      </c>
      <c r="K703" s="2" t="s">
        <v>38</v>
      </c>
      <c r="L703" s="2" t="s">
        <v>29</v>
      </c>
      <c r="M703" s="2"/>
      <c r="N703" s="2" t="s">
        <v>282</v>
      </c>
      <c r="O703" s="2" t="s">
        <v>283</v>
      </c>
      <c r="P703" s="3">
        <v>278</v>
      </c>
      <c r="Q703" s="3">
        <v>278</v>
      </c>
      <c r="R703" s="4">
        <f t="shared" si="10"/>
        <v>556</v>
      </c>
      <c r="S703" s="2" t="s">
        <v>31</v>
      </c>
      <c r="T703" s="2"/>
    </row>
    <row r="704" spans="1:20" x14ac:dyDescent="0.3">
      <c r="A704" s="2" t="s">
        <v>588</v>
      </c>
      <c r="B704" s="2" t="s">
        <v>589</v>
      </c>
      <c r="C704" s="2" t="s">
        <v>590</v>
      </c>
      <c r="D704" s="2" t="s">
        <v>591</v>
      </c>
      <c r="E704" s="2" t="s">
        <v>168</v>
      </c>
      <c r="F704" s="2" t="s">
        <v>152</v>
      </c>
      <c r="G704" s="2" t="s">
        <v>159</v>
      </c>
      <c r="H704" s="2" t="s">
        <v>152</v>
      </c>
      <c r="I704" s="2" t="s">
        <v>229</v>
      </c>
      <c r="J704" s="2" t="s">
        <v>230</v>
      </c>
      <c r="K704" s="2" t="s">
        <v>45</v>
      </c>
      <c r="L704" s="2" t="s">
        <v>29</v>
      </c>
      <c r="M704" s="2"/>
      <c r="N704" s="2" t="s">
        <v>229</v>
      </c>
      <c r="O704" s="2" t="s">
        <v>289</v>
      </c>
      <c r="P704" s="3">
        <v>351</v>
      </c>
      <c r="Q704" s="3">
        <v>351</v>
      </c>
      <c r="R704" s="4">
        <f t="shared" si="10"/>
        <v>702</v>
      </c>
      <c r="S704" s="2" t="s">
        <v>31</v>
      </c>
      <c r="T704" s="2"/>
    </row>
    <row r="705" spans="1:20" x14ac:dyDescent="0.3">
      <c r="A705" s="2" t="s">
        <v>588</v>
      </c>
      <c r="B705" s="2" t="s">
        <v>589</v>
      </c>
      <c r="C705" s="2" t="s">
        <v>590</v>
      </c>
      <c r="D705" s="2" t="s">
        <v>591</v>
      </c>
      <c r="E705" s="2" t="s">
        <v>168</v>
      </c>
      <c r="F705" s="2" t="s">
        <v>152</v>
      </c>
      <c r="G705" s="2" t="s">
        <v>159</v>
      </c>
      <c r="H705" s="2" t="s">
        <v>152</v>
      </c>
      <c r="I705" s="2" t="s">
        <v>420</v>
      </c>
      <c r="J705" s="2" t="s">
        <v>26</v>
      </c>
      <c r="K705" s="2" t="s">
        <v>38</v>
      </c>
      <c r="L705" s="2" t="s">
        <v>29</v>
      </c>
      <c r="M705" s="2"/>
      <c r="N705" s="2" t="s">
        <v>420</v>
      </c>
      <c r="O705" s="2" t="s">
        <v>869</v>
      </c>
      <c r="P705" s="3">
        <v>206</v>
      </c>
      <c r="Q705" s="3">
        <v>206</v>
      </c>
      <c r="R705" s="4">
        <f t="shared" si="10"/>
        <v>412</v>
      </c>
      <c r="S705" s="2" t="s">
        <v>31</v>
      </c>
      <c r="T705" s="2"/>
    </row>
    <row r="706" spans="1:20" x14ac:dyDescent="0.3">
      <c r="A706" s="2" t="s">
        <v>588</v>
      </c>
      <c r="B706" s="2" t="s">
        <v>589</v>
      </c>
      <c r="C706" s="2" t="s">
        <v>590</v>
      </c>
      <c r="D706" s="2" t="s">
        <v>591</v>
      </c>
      <c r="E706" s="2" t="s">
        <v>168</v>
      </c>
      <c r="F706" s="2" t="s">
        <v>152</v>
      </c>
      <c r="G706" s="2" t="s">
        <v>159</v>
      </c>
      <c r="H706" s="2" t="s">
        <v>152</v>
      </c>
      <c r="I706" s="2" t="s">
        <v>284</v>
      </c>
      <c r="J706" s="2" t="s">
        <v>285</v>
      </c>
      <c r="K706" s="2" t="s">
        <v>38</v>
      </c>
      <c r="L706" s="2" t="s">
        <v>29</v>
      </c>
      <c r="M706" s="2"/>
      <c r="N706" s="2" t="s">
        <v>286</v>
      </c>
      <c r="O706" s="2" t="s">
        <v>287</v>
      </c>
      <c r="P706" s="3">
        <v>243</v>
      </c>
      <c r="Q706" s="3">
        <v>243</v>
      </c>
      <c r="R706" s="4">
        <f t="shared" ref="R706:R769" si="11">IF(P706="","",P706+Q706)</f>
        <v>486</v>
      </c>
      <c r="S706" s="2" t="s">
        <v>31</v>
      </c>
      <c r="T706" s="2"/>
    </row>
    <row r="707" spans="1:20" x14ac:dyDescent="0.3">
      <c r="A707" s="2" t="s">
        <v>588</v>
      </c>
      <c r="B707" s="2" t="s">
        <v>589</v>
      </c>
      <c r="C707" s="2" t="s">
        <v>590</v>
      </c>
      <c r="D707" s="2" t="s">
        <v>591</v>
      </c>
      <c r="E707" s="2" t="s">
        <v>168</v>
      </c>
      <c r="F707" s="2" t="s">
        <v>152</v>
      </c>
      <c r="G707" s="2" t="s">
        <v>159</v>
      </c>
      <c r="H707" s="2" t="s">
        <v>152</v>
      </c>
      <c r="I707" s="2" t="s">
        <v>212</v>
      </c>
      <c r="J707" s="2" t="s">
        <v>37</v>
      </c>
      <c r="K707" s="2" t="s">
        <v>38</v>
      </c>
      <c r="L707" s="2" t="s">
        <v>29</v>
      </c>
      <c r="M707" s="2"/>
      <c r="N707" s="2" t="s">
        <v>212</v>
      </c>
      <c r="O707" s="2" t="s">
        <v>557</v>
      </c>
      <c r="P707" s="3">
        <v>85</v>
      </c>
      <c r="Q707" s="3">
        <v>85</v>
      </c>
      <c r="R707" s="4">
        <f t="shared" si="11"/>
        <v>170</v>
      </c>
      <c r="S707" s="2" t="s">
        <v>31</v>
      </c>
      <c r="T707" s="2"/>
    </row>
    <row r="708" spans="1:20" x14ac:dyDescent="0.3">
      <c r="A708" s="2" t="s">
        <v>588</v>
      </c>
      <c r="B708" s="2" t="s">
        <v>589</v>
      </c>
      <c r="C708" s="2" t="s">
        <v>590</v>
      </c>
      <c r="D708" s="2" t="s">
        <v>591</v>
      </c>
      <c r="E708" s="2" t="s">
        <v>168</v>
      </c>
      <c r="F708" s="2" t="s">
        <v>152</v>
      </c>
      <c r="G708" s="2" t="s">
        <v>159</v>
      </c>
      <c r="H708" s="2" t="s">
        <v>152</v>
      </c>
      <c r="I708" s="2" t="s">
        <v>870</v>
      </c>
      <c r="J708" s="2" t="s">
        <v>285</v>
      </c>
      <c r="K708" s="2" t="s">
        <v>38</v>
      </c>
      <c r="L708" s="2" t="s">
        <v>29</v>
      </c>
      <c r="M708" s="2"/>
      <c r="N708" s="2" t="s">
        <v>871</v>
      </c>
      <c r="O708" s="2" t="s">
        <v>872</v>
      </c>
      <c r="P708" s="3">
        <v>215</v>
      </c>
      <c r="Q708" s="3">
        <v>215</v>
      </c>
      <c r="R708" s="4">
        <f t="shared" si="11"/>
        <v>430</v>
      </c>
      <c r="S708" s="2" t="s">
        <v>31</v>
      </c>
      <c r="T708" s="2"/>
    </row>
    <row r="709" spans="1:20" x14ac:dyDescent="0.3">
      <c r="A709" s="2" t="s">
        <v>588</v>
      </c>
      <c r="B709" s="2" t="s">
        <v>589</v>
      </c>
      <c r="C709" s="2" t="s">
        <v>590</v>
      </c>
      <c r="D709" s="2" t="s">
        <v>591</v>
      </c>
      <c r="E709" s="2" t="s">
        <v>168</v>
      </c>
      <c r="F709" s="2" t="s">
        <v>152</v>
      </c>
      <c r="G709" s="2" t="s">
        <v>159</v>
      </c>
      <c r="H709" s="2" t="s">
        <v>152</v>
      </c>
      <c r="I709" s="2" t="s">
        <v>25</v>
      </c>
      <c r="J709" s="2" t="s">
        <v>26</v>
      </c>
      <c r="K709" s="2" t="s">
        <v>38</v>
      </c>
      <c r="L709" s="2" t="s">
        <v>29</v>
      </c>
      <c r="M709" s="2"/>
      <c r="N709" s="2" t="s">
        <v>25</v>
      </c>
      <c r="O709" s="2" t="s">
        <v>165</v>
      </c>
      <c r="P709" s="3">
        <v>124</v>
      </c>
      <c r="Q709" s="3">
        <v>124</v>
      </c>
      <c r="R709" s="4">
        <f t="shared" si="11"/>
        <v>248</v>
      </c>
      <c r="S709" s="2" t="s">
        <v>40</v>
      </c>
      <c r="T709" s="2"/>
    </row>
    <row r="710" spans="1:20" x14ac:dyDescent="0.3">
      <c r="A710" s="2" t="s">
        <v>683</v>
      </c>
      <c r="B710" s="2" t="s">
        <v>684</v>
      </c>
      <c r="C710" s="2" t="s">
        <v>590</v>
      </c>
      <c r="D710" s="2" t="s">
        <v>591</v>
      </c>
      <c r="E710" s="2" t="s">
        <v>168</v>
      </c>
      <c r="F710" s="2" t="s">
        <v>152</v>
      </c>
      <c r="G710" s="2" t="s">
        <v>159</v>
      </c>
      <c r="H710" s="2" t="s">
        <v>152</v>
      </c>
      <c r="I710" s="2" t="s">
        <v>292</v>
      </c>
      <c r="J710" s="2" t="s">
        <v>37</v>
      </c>
      <c r="K710" s="2" t="s">
        <v>38</v>
      </c>
      <c r="L710" s="2" t="s">
        <v>29</v>
      </c>
      <c r="M710" s="2"/>
      <c r="N710" s="2" t="s">
        <v>292</v>
      </c>
      <c r="O710" s="2" t="s">
        <v>293</v>
      </c>
      <c r="P710" s="3">
        <v>85</v>
      </c>
      <c r="Q710" s="3">
        <v>85</v>
      </c>
      <c r="R710" s="4">
        <f t="shared" si="11"/>
        <v>170</v>
      </c>
      <c r="S710" s="2" t="s">
        <v>31</v>
      </c>
      <c r="T710" s="2"/>
    </row>
    <row r="711" spans="1:20" x14ac:dyDescent="0.3">
      <c r="A711" s="2" t="s">
        <v>683</v>
      </c>
      <c r="B711" s="2" t="s">
        <v>684</v>
      </c>
      <c r="C711" s="2" t="s">
        <v>590</v>
      </c>
      <c r="D711" s="2" t="s">
        <v>591</v>
      </c>
      <c r="E711" s="2" t="s">
        <v>168</v>
      </c>
      <c r="F711" s="2" t="s">
        <v>152</v>
      </c>
      <c r="G711" s="2" t="s">
        <v>159</v>
      </c>
      <c r="H711" s="2" t="s">
        <v>152</v>
      </c>
      <c r="I711" s="2" t="s">
        <v>204</v>
      </c>
      <c r="J711" s="2" t="s">
        <v>37</v>
      </c>
      <c r="K711" s="2" t="s">
        <v>38</v>
      </c>
      <c r="L711" s="2" t="s">
        <v>29</v>
      </c>
      <c r="M711" s="2"/>
      <c r="N711" s="2" t="s">
        <v>204</v>
      </c>
      <c r="O711" s="2" t="s">
        <v>558</v>
      </c>
      <c r="P711" s="3">
        <v>55</v>
      </c>
      <c r="Q711" s="3">
        <v>55</v>
      </c>
      <c r="R711" s="4">
        <f t="shared" si="11"/>
        <v>110</v>
      </c>
      <c r="S711" s="2" t="s">
        <v>31</v>
      </c>
      <c r="T711" s="2"/>
    </row>
    <row r="712" spans="1:20" x14ac:dyDescent="0.3">
      <c r="A712" s="2" t="s">
        <v>683</v>
      </c>
      <c r="B712" s="2" t="s">
        <v>684</v>
      </c>
      <c r="C712" s="2" t="s">
        <v>590</v>
      </c>
      <c r="D712" s="2" t="s">
        <v>591</v>
      </c>
      <c r="E712" s="2" t="s">
        <v>168</v>
      </c>
      <c r="F712" s="2" t="s">
        <v>152</v>
      </c>
      <c r="G712" s="2" t="s">
        <v>159</v>
      </c>
      <c r="H712" s="2" t="s">
        <v>152</v>
      </c>
      <c r="I712" s="2" t="s">
        <v>873</v>
      </c>
      <c r="J712" s="2" t="s">
        <v>37</v>
      </c>
      <c r="K712" s="2" t="s">
        <v>38</v>
      </c>
      <c r="L712" s="2" t="s">
        <v>29</v>
      </c>
      <c r="M712" s="2"/>
      <c r="N712" s="2" t="s">
        <v>292</v>
      </c>
      <c r="O712" s="2" t="s">
        <v>293</v>
      </c>
      <c r="P712" s="3">
        <v>85</v>
      </c>
      <c r="Q712" s="3">
        <v>85</v>
      </c>
      <c r="R712" s="4">
        <f t="shared" si="11"/>
        <v>170</v>
      </c>
      <c r="S712" s="2" t="s">
        <v>31</v>
      </c>
      <c r="T712" s="2"/>
    </row>
    <row r="713" spans="1:20" x14ac:dyDescent="0.3">
      <c r="A713" s="2" t="s">
        <v>683</v>
      </c>
      <c r="B713" s="2" t="s">
        <v>684</v>
      </c>
      <c r="C713" s="2" t="s">
        <v>590</v>
      </c>
      <c r="D713" s="2" t="s">
        <v>591</v>
      </c>
      <c r="E713" s="2" t="s">
        <v>168</v>
      </c>
      <c r="F713" s="2" t="s">
        <v>152</v>
      </c>
      <c r="G713" s="2" t="s">
        <v>159</v>
      </c>
      <c r="H713" s="2" t="s">
        <v>152</v>
      </c>
      <c r="I713" s="2" t="s">
        <v>573</v>
      </c>
      <c r="J713" s="2" t="s">
        <v>152</v>
      </c>
      <c r="K713" s="2" t="s">
        <v>38</v>
      </c>
      <c r="L713" s="2" t="s">
        <v>127</v>
      </c>
      <c r="M713" s="2" t="s">
        <v>574</v>
      </c>
      <c r="N713" s="2" t="s">
        <v>573</v>
      </c>
      <c r="O713" s="2" t="s">
        <v>575</v>
      </c>
      <c r="P713" s="3">
        <v>30</v>
      </c>
      <c r="Q713" s="3">
        <v>30</v>
      </c>
      <c r="R713" s="4">
        <f t="shared" si="11"/>
        <v>60</v>
      </c>
      <c r="S713" s="2" t="s">
        <v>31</v>
      </c>
      <c r="T713" s="2"/>
    </row>
    <row r="714" spans="1:20" x14ac:dyDescent="0.3">
      <c r="A714" s="2" t="s">
        <v>683</v>
      </c>
      <c r="B714" s="2" t="s">
        <v>684</v>
      </c>
      <c r="C714" s="2" t="s">
        <v>590</v>
      </c>
      <c r="D714" s="2" t="s">
        <v>591</v>
      </c>
      <c r="E714" s="2" t="s">
        <v>168</v>
      </c>
      <c r="F714" s="2" t="s">
        <v>152</v>
      </c>
      <c r="G714" s="2" t="s">
        <v>159</v>
      </c>
      <c r="H714" s="2" t="s">
        <v>152</v>
      </c>
      <c r="I714" s="2" t="s">
        <v>307</v>
      </c>
      <c r="J714" s="2" t="s">
        <v>152</v>
      </c>
      <c r="K714" s="2" t="s">
        <v>38</v>
      </c>
      <c r="L714" s="2" t="s">
        <v>127</v>
      </c>
      <c r="M714" s="2" t="s">
        <v>186</v>
      </c>
      <c r="N714" s="2" t="s">
        <v>307</v>
      </c>
      <c r="O714" s="2" t="s">
        <v>308</v>
      </c>
      <c r="P714" s="3">
        <v>34</v>
      </c>
      <c r="Q714" s="3">
        <v>34</v>
      </c>
      <c r="R714" s="4">
        <f t="shared" si="11"/>
        <v>68</v>
      </c>
      <c r="S714" s="2" t="s">
        <v>31</v>
      </c>
      <c r="T714" s="2"/>
    </row>
    <row r="715" spans="1:20" x14ac:dyDescent="0.3">
      <c r="A715" s="2" t="s">
        <v>683</v>
      </c>
      <c r="B715" s="2" t="s">
        <v>684</v>
      </c>
      <c r="C715" s="2" t="s">
        <v>590</v>
      </c>
      <c r="D715" s="2" t="s">
        <v>591</v>
      </c>
      <c r="E715" s="2" t="s">
        <v>168</v>
      </c>
      <c r="F715" s="2" t="s">
        <v>152</v>
      </c>
      <c r="G715" s="2" t="s">
        <v>159</v>
      </c>
      <c r="H715" s="2" t="s">
        <v>152</v>
      </c>
      <c r="I715" s="2" t="s">
        <v>874</v>
      </c>
      <c r="J715" s="2" t="s">
        <v>152</v>
      </c>
      <c r="K715" s="2" t="s">
        <v>38</v>
      </c>
      <c r="L715" s="2" t="s">
        <v>127</v>
      </c>
      <c r="M715" s="2" t="s">
        <v>186</v>
      </c>
      <c r="N715" s="2" t="s">
        <v>874</v>
      </c>
      <c r="O715" s="2" t="s">
        <v>875</v>
      </c>
      <c r="P715" s="3">
        <v>32</v>
      </c>
      <c r="Q715" s="3">
        <v>32</v>
      </c>
      <c r="R715" s="4">
        <f t="shared" si="11"/>
        <v>64</v>
      </c>
      <c r="S715" s="2" t="s">
        <v>31</v>
      </c>
      <c r="T715" s="2"/>
    </row>
    <row r="716" spans="1:20" x14ac:dyDescent="0.3">
      <c r="A716" s="2" t="s">
        <v>683</v>
      </c>
      <c r="B716" s="2" t="s">
        <v>684</v>
      </c>
      <c r="C716" s="2" t="s">
        <v>590</v>
      </c>
      <c r="D716" s="2" t="s">
        <v>591</v>
      </c>
      <c r="E716" s="2" t="s">
        <v>168</v>
      </c>
      <c r="F716" s="2" t="s">
        <v>152</v>
      </c>
      <c r="G716" s="2" t="s">
        <v>159</v>
      </c>
      <c r="H716" s="2" t="s">
        <v>152</v>
      </c>
      <c r="I716" s="2" t="s">
        <v>206</v>
      </c>
      <c r="J716" s="2" t="s">
        <v>37</v>
      </c>
      <c r="K716" s="2" t="s">
        <v>38</v>
      </c>
      <c r="L716" s="2" t="s">
        <v>29</v>
      </c>
      <c r="M716" s="2"/>
      <c r="N716" s="2" t="s">
        <v>206</v>
      </c>
      <c r="O716" s="2" t="s">
        <v>876</v>
      </c>
      <c r="P716" s="3">
        <v>39</v>
      </c>
      <c r="Q716" s="3">
        <v>39</v>
      </c>
      <c r="R716" s="4">
        <f t="shared" si="11"/>
        <v>78</v>
      </c>
      <c r="S716" s="2" t="s">
        <v>31</v>
      </c>
      <c r="T716" s="2"/>
    </row>
    <row r="717" spans="1:20" x14ac:dyDescent="0.3">
      <c r="A717" s="2" t="s">
        <v>683</v>
      </c>
      <c r="B717" s="2" t="s">
        <v>684</v>
      </c>
      <c r="C717" s="2" t="s">
        <v>590</v>
      </c>
      <c r="D717" s="2" t="s">
        <v>591</v>
      </c>
      <c r="E717" s="2" t="s">
        <v>168</v>
      </c>
      <c r="F717" s="2" t="s">
        <v>152</v>
      </c>
      <c r="G717" s="2" t="s">
        <v>159</v>
      </c>
      <c r="H717" s="2" t="s">
        <v>152</v>
      </c>
      <c r="I717" s="2" t="s">
        <v>559</v>
      </c>
      <c r="J717" s="2" t="s">
        <v>37</v>
      </c>
      <c r="K717" s="2" t="s">
        <v>38</v>
      </c>
      <c r="L717" s="2" t="s">
        <v>29</v>
      </c>
      <c r="M717" s="2"/>
      <c r="N717" s="2" t="s">
        <v>559</v>
      </c>
      <c r="O717" s="2" t="s">
        <v>560</v>
      </c>
      <c r="P717" s="3">
        <v>24</v>
      </c>
      <c r="Q717" s="3">
        <v>24</v>
      </c>
      <c r="R717" s="4">
        <f t="shared" si="11"/>
        <v>48</v>
      </c>
      <c r="S717" s="2" t="s">
        <v>31</v>
      </c>
      <c r="T717" s="2"/>
    </row>
    <row r="718" spans="1:20" x14ac:dyDescent="0.3">
      <c r="A718" s="2" t="s">
        <v>683</v>
      </c>
      <c r="B718" s="2" t="s">
        <v>684</v>
      </c>
      <c r="C718" s="2" t="s">
        <v>590</v>
      </c>
      <c r="D718" s="2" t="s">
        <v>591</v>
      </c>
      <c r="E718" s="2" t="s">
        <v>168</v>
      </c>
      <c r="F718" s="2" t="s">
        <v>152</v>
      </c>
      <c r="G718" s="2" t="s">
        <v>159</v>
      </c>
      <c r="H718" s="2" t="s">
        <v>152</v>
      </c>
      <c r="I718" s="2" t="s">
        <v>877</v>
      </c>
      <c r="J718" s="2" t="s">
        <v>152</v>
      </c>
      <c r="K718" s="2" t="s">
        <v>38</v>
      </c>
      <c r="L718" s="2" t="s">
        <v>127</v>
      </c>
      <c r="M718" s="2" t="s">
        <v>186</v>
      </c>
      <c r="N718" s="2" t="s">
        <v>877</v>
      </c>
      <c r="O718" s="2" t="s">
        <v>878</v>
      </c>
      <c r="P718" s="3">
        <v>25</v>
      </c>
      <c r="Q718" s="3">
        <v>25</v>
      </c>
      <c r="R718" s="4">
        <f t="shared" si="11"/>
        <v>50</v>
      </c>
      <c r="S718" s="2" t="s">
        <v>31</v>
      </c>
      <c r="T718" s="2"/>
    </row>
    <row r="719" spans="1:20" x14ac:dyDescent="0.3">
      <c r="A719" s="2" t="s">
        <v>683</v>
      </c>
      <c r="B719" s="2" t="s">
        <v>684</v>
      </c>
      <c r="C719" s="2" t="s">
        <v>590</v>
      </c>
      <c r="D719" s="2" t="s">
        <v>591</v>
      </c>
      <c r="E719" s="2" t="s">
        <v>168</v>
      </c>
      <c r="F719" s="2" t="s">
        <v>152</v>
      </c>
      <c r="G719" s="2" t="s">
        <v>159</v>
      </c>
      <c r="H719" s="2" t="s">
        <v>152</v>
      </c>
      <c r="I719" s="2" t="s">
        <v>192</v>
      </c>
      <c r="J719" s="2" t="s">
        <v>37</v>
      </c>
      <c r="K719" s="2" t="s">
        <v>38</v>
      </c>
      <c r="L719" s="2" t="s">
        <v>29</v>
      </c>
      <c r="M719" s="2"/>
      <c r="N719" s="2" t="s">
        <v>192</v>
      </c>
      <c r="O719" s="2" t="s">
        <v>514</v>
      </c>
      <c r="P719" s="3">
        <v>31</v>
      </c>
      <c r="Q719" s="3">
        <v>31</v>
      </c>
      <c r="R719" s="4">
        <f t="shared" si="11"/>
        <v>62</v>
      </c>
      <c r="S719" s="2" t="s">
        <v>31</v>
      </c>
      <c r="T719" s="2"/>
    </row>
    <row r="720" spans="1:20" x14ac:dyDescent="0.3">
      <c r="A720" s="2" t="s">
        <v>683</v>
      </c>
      <c r="B720" s="2" t="s">
        <v>684</v>
      </c>
      <c r="C720" s="2" t="s">
        <v>590</v>
      </c>
      <c r="D720" s="2" t="s">
        <v>591</v>
      </c>
      <c r="E720" s="2" t="s">
        <v>168</v>
      </c>
      <c r="F720" s="2" t="s">
        <v>152</v>
      </c>
      <c r="G720" s="2" t="s">
        <v>159</v>
      </c>
      <c r="H720" s="2" t="s">
        <v>152</v>
      </c>
      <c r="I720" s="2" t="s">
        <v>224</v>
      </c>
      <c r="J720" s="2" t="s">
        <v>152</v>
      </c>
      <c r="K720" s="2" t="s">
        <v>38</v>
      </c>
      <c r="L720" s="2" t="s">
        <v>127</v>
      </c>
      <c r="M720" s="2" t="s">
        <v>225</v>
      </c>
      <c r="N720" s="2" t="s">
        <v>224</v>
      </c>
      <c r="O720" s="2" t="s">
        <v>576</v>
      </c>
      <c r="P720" s="3">
        <v>21</v>
      </c>
      <c r="Q720" s="3">
        <v>21</v>
      </c>
      <c r="R720" s="4">
        <f t="shared" si="11"/>
        <v>42</v>
      </c>
      <c r="S720" s="2" t="s">
        <v>31</v>
      </c>
      <c r="T720" s="2"/>
    </row>
    <row r="721" spans="1:20" x14ac:dyDescent="0.3">
      <c r="A721" s="2" t="s">
        <v>683</v>
      </c>
      <c r="B721" s="2" t="s">
        <v>684</v>
      </c>
      <c r="C721" s="2" t="s">
        <v>590</v>
      </c>
      <c r="D721" s="2" t="s">
        <v>591</v>
      </c>
      <c r="E721" s="2" t="s">
        <v>168</v>
      </c>
      <c r="F721" s="2" t="s">
        <v>152</v>
      </c>
      <c r="G721" s="2" t="s">
        <v>159</v>
      </c>
      <c r="H721" s="2" t="s">
        <v>152</v>
      </c>
      <c r="I721" s="2" t="s">
        <v>522</v>
      </c>
      <c r="J721" s="2" t="s">
        <v>152</v>
      </c>
      <c r="K721" s="2" t="s">
        <v>38</v>
      </c>
      <c r="L721" s="2" t="s">
        <v>127</v>
      </c>
      <c r="M721" s="2" t="s">
        <v>188</v>
      </c>
      <c r="N721" s="2" t="s">
        <v>522</v>
      </c>
      <c r="O721" s="2" t="s">
        <v>523</v>
      </c>
      <c r="P721" s="3">
        <v>21</v>
      </c>
      <c r="Q721" s="3">
        <v>21</v>
      </c>
      <c r="R721" s="4">
        <f t="shared" si="11"/>
        <v>42</v>
      </c>
      <c r="S721" s="2" t="s">
        <v>31</v>
      </c>
      <c r="T721" s="2"/>
    </row>
    <row r="722" spans="1:20" x14ac:dyDescent="0.3">
      <c r="A722" s="2" t="s">
        <v>683</v>
      </c>
      <c r="B722" s="2" t="s">
        <v>684</v>
      </c>
      <c r="C722" s="2" t="s">
        <v>590</v>
      </c>
      <c r="D722" s="2" t="s">
        <v>591</v>
      </c>
      <c r="E722" s="2" t="s">
        <v>168</v>
      </c>
      <c r="F722" s="2" t="s">
        <v>152</v>
      </c>
      <c r="G722" s="2" t="s">
        <v>159</v>
      </c>
      <c r="H722" s="2" t="s">
        <v>152</v>
      </c>
      <c r="I722" s="2" t="s">
        <v>550</v>
      </c>
      <c r="J722" s="2" t="s">
        <v>152</v>
      </c>
      <c r="K722" s="2" t="s">
        <v>38</v>
      </c>
      <c r="L722" s="2" t="s">
        <v>127</v>
      </c>
      <c r="M722" s="2" t="s">
        <v>550</v>
      </c>
      <c r="N722" s="2" t="s">
        <v>550</v>
      </c>
      <c r="O722" s="2" t="s">
        <v>551</v>
      </c>
      <c r="P722" s="3">
        <v>20</v>
      </c>
      <c r="Q722" s="3">
        <v>20</v>
      </c>
      <c r="R722" s="4">
        <f t="shared" si="11"/>
        <v>40</v>
      </c>
      <c r="S722" s="2" t="s">
        <v>31</v>
      </c>
      <c r="T722" s="2"/>
    </row>
    <row r="723" spans="1:20" x14ac:dyDescent="0.3">
      <c r="A723" s="2" t="s">
        <v>683</v>
      </c>
      <c r="B723" s="2" t="s">
        <v>684</v>
      </c>
      <c r="C723" s="2" t="s">
        <v>590</v>
      </c>
      <c r="D723" s="2" t="s">
        <v>591</v>
      </c>
      <c r="E723" s="2" t="s">
        <v>168</v>
      </c>
      <c r="F723" s="2" t="s">
        <v>152</v>
      </c>
      <c r="G723" s="2" t="s">
        <v>159</v>
      </c>
      <c r="H723" s="2" t="s">
        <v>152</v>
      </c>
      <c r="I723" s="2" t="s">
        <v>577</v>
      </c>
      <c r="J723" s="2" t="s">
        <v>152</v>
      </c>
      <c r="K723" s="2" t="s">
        <v>38</v>
      </c>
      <c r="L723" s="2" t="s">
        <v>127</v>
      </c>
      <c r="M723" s="2" t="s">
        <v>225</v>
      </c>
      <c r="N723" s="2" t="s">
        <v>577</v>
      </c>
      <c r="O723" s="2" t="s">
        <v>578</v>
      </c>
      <c r="P723" s="3">
        <v>20</v>
      </c>
      <c r="Q723" s="3">
        <v>20</v>
      </c>
      <c r="R723" s="4">
        <f t="shared" si="11"/>
        <v>40</v>
      </c>
      <c r="S723" s="2" t="s">
        <v>31</v>
      </c>
      <c r="T723" s="2"/>
    </row>
    <row r="724" spans="1:20" x14ac:dyDescent="0.3">
      <c r="A724" s="2" t="s">
        <v>683</v>
      </c>
      <c r="B724" s="2" t="s">
        <v>684</v>
      </c>
      <c r="C724" s="2" t="s">
        <v>590</v>
      </c>
      <c r="D724" s="2" t="s">
        <v>591</v>
      </c>
      <c r="E724" s="2" t="s">
        <v>168</v>
      </c>
      <c r="F724" s="2" t="s">
        <v>152</v>
      </c>
      <c r="G724" s="2" t="s">
        <v>159</v>
      </c>
      <c r="H724" s="2" t="s">
        <v>152</v>
      </c>
      <c r="I724" s="2" t="s">
        <v>579</v>
      </c>
      <c r="J724" s="2" t="s">
        <v>152</v>
      </c>
      <c r="K724" s="2" t="s">
        <v>38</v>
      </c>
      <c r="L724" s="2" t="s">
        <v>127</v>
      </c>
      <c r="M724" s="2" t="s">
        <v>225</v>
      </c>
      <c r="N724" s="2" t="s">
        <v>579</v>
      </c>
      <c r="O724" s="2" t="s">
        <v>580</v>
      </c>
      <c r="P724" s="3">
        <v>21</v>
      </c>
      <c r="Q724" s="3">
        <v>21</v>
      </c>
      <c r="R724" s="4">
        <f t="shared" si="11"/>
        <v>42</v>
      </c>
      <c r="S724" s="2" t="s">
        <v>31</v>
      </c>
      <c r="T724" s="2"/>
    </row>
    <row r="725" spans="1:20" x14ac:dyDescent="0.3">
      <c r="A725" s="2" t="s">
        <v>683</v>
      </c>
      <c r="B725" s="2" t="s">
        <v>684</v>
      </c>
      <c r="C725" s="2" t="s">
        <v>590</v>
      </c>
      <c r="D725" s="2" t="s">
        <v>591</v>
      </c>
      <c r="E725" s="2" t="s">
        <v>168</v>
      </c>
      <c r="F725" s="2" t="s">
        <v>152</v>
      </c>
      <c r="G725" s="2" t="s">
        <v>159</v>
      </c>
      <c r="H725" s="2" t="s">
        <v>152</v>
      </c>
      <c r="I725" s="2" t="s">
        <v>497</v>
      </c>
      <c r="J725" s="2" t="s">
        <v>152</v>
      </c>
      <c r="K725" s="2" t="s">
        <v>38</v>
      </c>
      <c r="L725" s="2" t="s">
        <v>127</v>
      </c>
      <c r="M725" s="2" t="s">
        <v>225</v>
      </c>
      <c r="N725" s="2" t="s">
        <v>497</v>
      </c>
      <c r="O725" s="2" t="s">
        <v>554</v>
      </c>
      <c r="P725" s="3">
        <v>16</v>
      </c>
      <c r="Q725" s="3">
        <v>16</v>
      </c>
      <c r="R725" s="4">
        <f t="shared" si="11"/>
        <v>32</v>
      </c>
      <c r="S725" s="2" t="s">
        <v>31</v>
      </c>
      <c r="T725" s="2"/>
    </row>
    <row r="726" spans="1:20" x14ac:dyDescent="0.3">
      <c r="A726" s="2" t="s">
        <v>683</v>
      </c>
      <c r="B726" s="2" t="s">
        <v>684</v>
      </c>
      <c r="C726" s="2" t="s">
        <v>590</v>
      </c>
      <c r="D726" s="2" t="s">
        <v>591</v>
      </c>
      <c r="E726" s="2" t="s">
        <v>168</v>
      </c>
      <c r="F726" s="2" t="s">
        <v>152</v>
      </c>
      <c r="G726" s="2" t="s">
        <v>159</v>
      </c>
      <c r="H726" s="2" t="s">
        <v>152</v>
      </c>
      <c r="I726" s="2" t="s">
        <v>515</v>
      </c>
      <c r="J726" s="2" t="s">
        <v>152</v>
      </c>
      <c r="K726" s="2" t="s">
        <v>38</v>
      </c>
      <c r="L726" s="2" t="s">
        <v>127</v>
      </c>
      <c r="M726" s="2" t="s">
        <v>188</v>
      </c>
      <c r="N726" s="2" t="s">
        <v>515</v>
      </c>
      <c r="O726" s="2" t="s">
        <v>516</v>
      </c>
      <c r="P726" s="3">
        <v>19</v>
      </c>
      <c r="Q726" s="3">
        <v>19</v>
      </c>
      <c r="R726" s="4">
        <f t="shared" si="11"/>
        <v>38</v>
      </c>
      <c r="S726" s="2" t="s">
        <v>31</v>
      </c>
      <c r="T726" s="2"/>
    </row>
    <row r="727" spans="1:20" x14ac:dyDescent="0.3">
      <c r="A727" s="2" t="s">
        <v>683</v>
      </c>
      <c r="B727" s="2" t="s">
        <v>684</v>
      </c>
      <c r="C727" s="2" t="s">
        <v>590</v>
      </c>
      <c r="D727" s="2" t="s">
        <v>591</v>
      </c>
      <c r="E727" s="2" t="s">
        <v>168</v>
      </c>
      <c r="F727" s="2" t="s">
        <v>152</v>
      </c>
      <c r="G727" s="2" t="s">
        <v>159</v>
      </c>
      <c r="H727" s="2" t="s">
        <v>152</v>
      </c>
      <c r="I727" s="2" t="s">
        <v>879</v>
      </c>
      <c r="J727" s="2" t="s">
        <v>152</v>
      </c>
      <c r="K727" s="2" t="s">
        <v>38</v>
      </c>
      <c r="L727" s="2" t="s">
        <v>127</v>
      </c>
      <c r="M727" s="2" t="s">
        <v>225</v>
      </c>
      <c r="N727" s="2" t="s">
        <v>879</v>
      </c>
      <c r="O727" s="2" t="s">
        <v>880</v>
      </c>
      <c r="P727" s="3">
        <v>22</v>
      </c>
      <c r="Q727" s="3">
        <v>22</v>
      </c>
      <c r="R727" s="4">
        <f t="shared" si="11"/>
        <v>44</v>
      </c>
      <c r="S727" s="2" t="s">
        <v>31</v>
      </c>
      <c r="T727" s="2"/>
    </row>
    <row r="728" spans="1:20" x14ac:dyDescent="0.3">
      <c r="A728" s="2" t="s">
        <v>683</v>
      </c>
      <c r="B728" s="2" t="s">
        <v>684</v>
      </c>
      <c r="C728" s="2" t="s">
        <v>590</v>
      </c>
      <c r="D728" s="2" t="s">
        <v>591</v>
      </c>
      <c r="E728" s="2" t="s">
        <v>168</v>
      </c>
      <c r="F728" s="2" t="s">
        <v>152</v>
      </c>
      <c r="G728" s="2" t="s">
        <v>159</v>
      </c>
      <c r="H728" s="2" t="s">
        <v>152</v>
      </c>
      <c r="I728" s="2" t="s">
        <v>881</v>
      </c>
      <c r="J728" s="2" t="s">
        <v>152</v>
      </c>
      <c r="K728" s="2" t="s">
        <v>38</v>
      </c>
      <c r="L728" s="2" t="s">
        <v>127</v>
      </c>
      <c r="M728" s="2" t="s">
        <v>225</v>
      </c>
      <c r="N728" s="2" t="s">
        <v>881</v>
      </c>
      <c r="O728" s="2" t="s">
        <v>882</v>
      </c>
      <c r="P728" s="3">
        <v>20</v>
      </c>
      <c r="Q728" s="3">
        <v>20</v>
      </c>
      <c r="R728" s="4">
        <f t="shared" si="11"/>
        <v>40</v>
      </c>
      <c r="S728" s="2" t="s">
        <v>31</v>
      </c>
      <c r="T728" s="2"/>
    </row>
    <row r="729" spans="1:20" x14ac:dyDescent="0.3">
      <c r="A729" s="2" t="s">
        <v>683</v>
      </c>
      <c r="B729" s="2" t="s">
        <v>684</v>
      </c>
      <c r="C729" s="2" t="s">
        <v>590</v>
      </c>
      <c r="D729" s="2" t="s">
        <v>591</v>
      </c>
      <c r="E729" s="2" t="s">
        <v>168</v>
      </c>
      <c r="F729" s="2" t="s">
        <v>152</v>
      </c>
      <c r="G729" s="2" t="s">
        <v>159</v>
      </c>
      <c r="H729" s="2" t="s">
        <v>152</v>
      </c>
      <c r="I729" s="2" t="s">
        <v>540</v>
      </c>
      <c r="J729" s="2" t="s">
        <v>152</v>
      </c>
      <c r="K729" s="2" t="s">
        <v>38</v>
      </c>
      <c r="L729" s="2" t="s">
        <v>127</v>
      </c>
      <c r="M729" s="2" t="s">
        <v>188</v>
      </c>
      <c r="N729" s="2" t="s">
        <v>540</v>
      </c>
      <c r="O729" s="2" t="s">
        <v>541</v>
      </c>
      <c r="P729" s="3">
        <v>7</v>
      </c>
      <c r="Q729" s="3">
        <v>7</v>
      </c>
      <c r="R729" s="4">
        <f t="shared" si="11"/>
        <v>14</v>
      </c>
      <c r="S729" s="2" t="s">
        <v>31</v>
      </c>
      <c r="T729" s="2"/>
    </row>
    <row r="730" spans="1:20" x14ac:dyDescent="0.3">
      <c r="A730" s="2" t="s">
        <v>683</v>
      </c>
      <c r="B730" s="2" t="s">
        <v>684</v>
      </c>
      <c r="C730" s="2" t="s">
        <v>590</v>
      </c>
      <c r="D730" s="2" t="s">
        <v>591</v>
      </c>
      <c r="E730" s="2" t="s">
        <v>168</v>
      </c>
      <c r="F730" s="2" t="s">
        <v>152</v>
      </c>
      <c r="G730" s="2" t="s">
        <v>159</v>
      </c>
      <c r="H730" s="2" t="s">
        <v>152</v>
      </c>
      <c r="I730" s="2" t="s">
        <v>517</v>
      </c>
      <c r="J730" s="2" t="s">
        <v>37</v>
      </c>
      <c r="K730" s="2" t="s">
        <v>38</v>
      </c>
      <c r="L730" s="2" t="s">
        <v>29</v>
      </c>
      <c r="M730" s="2" t="s">
        <v>188</v>
      </c>
      <c r="N730" s="2" t="s">
        <v>517</v>
      </c>
      <c r="O730" s="2" t="s">
        <v>518</v>
      </c>
      <c r="P730" s="3">
        <v>24</v>
      </c>
      <c r="Q730" s="3">
        <v>24</v>
      </c>
      <c r="R730" s="4">
        <f t="shared" si="11"/>
        <v>48</v>
      </c>
      <c r="S730" s="2" t="s">
        <v>31</v>
      </c>
      <c r="T730" s="2"/>
    </row>
    <row r="731" spans="1:20" x14ac:dyDescent="0.3">
      <c r="A731" s="2" t="s">
        <v>683</v>
      </c>
      <c r="B731" s="2" t="s">
        <v>684</v>
      </c>
      <c r="C731" s="2" t="s">
        <v>590</v>
      </c>
      <c r="D731" s="2" t="s">
        <v>591</v>
      </c>
      <c r="E731" s="2" t="s">
        <v>168</v>
      </c>
      <c r="F731" s="2" t="s">
        <v>152</v>
      </c>
      <c r="G731" s="2" t="s">
        <v>159</v>
      </c>
      <c r="H731" s="2" t="s">
        <v>152</v>
      </c>
      <c r="I731" s="2" t="s">
        <v>561</v>
      </c>
      <c r="J731" s="2" t="s">
        <v>37</v>
      </c>
      <c r="K731" s="2" t="s">
        <v>38</v>
      </c>
      <c r="L731" s="2" t="s">
        <v>29</v>
      </c>
      <c r="M731" s="2"/>
      <c r="N731" s="2" t="s">
        <v>561</v>
      </c>
      <c r="O731" s="2" t="s">
        <v>562</v>
      </c>
      <c r="P731" s="3">
        <v>19</v>
      </c>
      <c r="Q731" s="3">
        <v>19</v>
      </c>
      <c r="R731" s="4">
        <f t="shared" si="11"/>
        <v>38</v>
      </c>
      <c r="S731" s="2" t="s">
        <v>31</v>
      </c>
      <c r="T731" s="2"/>
    </row>
    <row r="732" spans="1:20" x14ac:dyDescent="0.3">
      <c r="A732" s="5" t="s">
        <v>683</v>
      </c>
      <c r="B732" s="5" t="s">
        <v>684</v>
      </c>
      <c r="C732" s="5" t="s">
        <v>590</v>
      </c>
      <c r="D732" s="5" t="s">
        <v>591</v>
      </c>
      <c r="E732" s="5" t="s">
        <v>168</v>
      </c>
      <c r="F732" s="5" t="s">
        <v>152</v>
      </c>
      <c r="G732" s="5" t="s">
        <v>159</v>
      </c>
      <c r="H732" s="5" t="s">
        <v>152</v>
      </c>
      <c r="I732" s="5" t="s">
        <v>268</v>
      </c>
      <c r="J732" s="5"/>
      <c r="K732" s="5"/>
      <c r="L732" s="5"/>
      <c r="M732" s="5"/>
      <c r="N732" s="5" t="s">
        <v>269</v>
      </c>
      <c r="O732" s="5"/>
      <c r="P732" s="6"/>
      <c r="Q732" s="6"/>
      <c r="R732" s="7" t="str">
        <f t="shared" si="11"/>
        <v/>
      </c>
      <c r="S732" s="5"/>
      <c r="T732" s="5" t="s">
        <v>270</v>
      </c>
    </row>
    <row r="733" spans="1:20" x14ac:dyDescent="0.3">
      <c r="A733" s="2" t="s">
        <v>683</v>
      </c>
      <c r="B733" s="2" t="s">
        <v>684</v>
      </c>
      <c r="C733" s="2" t="s">
        <v>590</v>
      </c>
      <c r="D733" s="2" t="s">
        <v>591</v>
      </c>
      <c r="E733" s="2" t="s">
        <v>168</v>
      </c>
      <c r="F733" s="2" t="s">
        <v>152</v>
      </c>
      <c r="G733" s="2" t="s">
        <v>159</v>
      </c>
      <c r="H733" s="2" t="s">
        <v>152</v>
      </c>
      <c r="I733" s="2" t="s">
        <v>569</v>
      </c>
      <c r="J733" s="2" t="s">
        <v>152</v>
      </c>
      <c r="K733" s="2" t="s">
        <v>38</v>
      </c>
      <c r="L733" s="2" t="s">
        <v>127</v>
      </c>
      <c r="M733" s="2" t="s">
        <v>188</v>
      </c>
      <c r="N733" s="2" t="s">
        <v>569</v>
      </c>
      <c r="O733" s="2" t="s">
        <v>570</v>
      </c>
      <c r="P733" s="3">
        <v>8</v>
      </c>
      <c r="Q733" s="3">
        <v>8</v>
      </c>
      <c r="R733" s="4">
        <f t="shared" si="11"/>
        <v>16</v>
      </c>
      <c r="S733" s="2" t="s">
        <v>31</v>
      </c>
      <c r="T733" s="2"/>
    </row>
    <row r="734" spans="1:20" x14ac:dyDescent="0.3">
      <c r="A734" s="5" t="s">
        <v>683</v>
      </c>
      <c r="B734" s="5" t="s">
        <v>684</v>
      </c>
      <c r="C734" s="5" t="s">
        <v>590</v>
      </c>
      <c r="D734" s="5" t="s">
        <v>591</v>
      </c>
      <c r="E734" s="5" t="s">
        <v>168</v>
      </c>
      <c r="F734" s="5" t="s">
        <v>152</v>
      </c>
      <c r="G734" s="5" t="s">
        <v>159</v>
      </c>
      <c r="H734" s="5" t="s">
        <v>152</v>
      </c>
      <c r="I734" s="5" t="s">
        <v>883</v>
      </c>
      <c r="J734" s="5"/>
      <c r="K734" s="5"/>
      <c r="L734" s="5"/>
      <c r="M734" s="5"/>
      <c r="N734" s="5" t="s">
        <v>269</v>
      </c>
      <c r="O734" s="5"/>
      <c r="P734" s="6"/>
      <c r="Q734" s="6"/>
      <c r="R734" s="7" t="str">
        <f t="shared" si="11"/>
        <v/>
      </c>
      <c r="S734" s="5"/>
      <c r="T734" s="5" t="s">
        <v>270</v>
      </c>
    </row>
    <row r="735" spans="1:20" x14ac:dyDescent="0.3">
      <c r="A735" s="2" t="s">
        <v>683</v>
      </c>
      <c r="B735" s="2" t="s">
        <v>684</v>
      </c>
      <c r="C735" s="2" t="s">
        <v>590</v>
      </c>
      <c r="D735" s="2" t="s">
        <v>591</v>
      </c>
      <c r="E735" s="2" t="s">
        <v>168</v>
      </c>
      <c r="F735" s="2" t="s">
        <v>152</v>
      </c>
      <c r="G735" s="2" t="s">
        <v>159</v>
      </c>
      <c r="H735" s="2" t="s">
        <v>152</v>
      </c>
      <c r="I735" s="2" t="s">
        <v>240</v>
      </c>
      <c r="J735" s="2" t="s">
        <v>152</v>
      </c>
      <c r="K735" s="2" t="s">
        <v>38</v>
      </c>
      <c r="L735" s="2" t="s">
        <v>127</v>
      </c>
      <c r="M735" s="2" t="s">
        <v>188</v>
      </c>
      <c r="N735" s="2" t="s">
        <v>240</v>
      </c>
      <c r="O735" s="2" t="s">
        <v>524</v>
      </c>
      <c r="P735" s="3">
        <v>18</v>
      </c>
      <c r="Q735" s="3">
        <v>18</v>
      </c>
      <c r="R735" s="4">
        <f t="shared" si="11"/>
        <v>36</v>
      </c>
      <c r="S735" s="2" t="s">
        <v>31</v>
      </c>
      <c r="T735" s="2"/>
    </row>
    <row r="736" spans="1:20" x14ac:dyDescent="0.3">
      <c r="A736" s="2" t="s">
        <v>683</v>
      </c>
      <c r="B736" s="2" t="s">
        <v>684</v>
      </c>
      <c r="C736" s="2" t="s">
        <v>590</v>
      </c>
      <c r="D736" s="2" t="s">
        <v>591</v>
      </c>
      <c r="E736" s="2" t="s">
        <v>168</v>
      </c>
      <c r="F736" s="2" t="s">
        <v>152</v>
      </c>
      <c r="G736" s="2" t="s">
        <v>159</v>
      </c>
      <c r="H736" s="2" t="s">
        <v>152</v>
      </c>
      <c r="I736" s="2" t="s">
        <v>555</v>
      </c>
      <c r="J736" s="2" t="s">
        <v>152</v>
      </c>
      <c r="K736" s="2" t="s">
        <v>38</v>
      </c>
      <c r="L736" s="2" t="s">
        <v>127</v>
      </c>
      <c r="M736" s="2" t="s">
        <v>225</v>
      </c>
      <c r="N736" s="2" t="s">
        <v>555</v>
      </c>
      <c r="O736" s="2" t="s">
        <v>556</v>
      </c>
      <c r="P736" s="3">
        <v>16</v>
      </c>
      <c r="Q736" s="3">
        <v>16</v>
      </c>
      <c r="R736" s="4">
        <f t="shared" si="11"/>
        <v>32</v>
      </c>
      <c r="S736" s="2" t="s">
        <v>31</v>
      </c>
      <c r="T736" s="2"/>
    </row>
    <row r="737" spans="1:20" x14ac:dyDescent="0.3">
      <c r="A737" s="2" t="s">
        <v>683</v>
      </c>
      <c r="B737" s="2" t="s">
        <v>684</v>
      </c>
      <c r="C737" s="2" t="s">
        <v>590</v>
      </c>
      <c r="D737" s="2" t="s">
        <v>591</v>
      </c>
      <c r="E737" s="2" t="s">
        <v>168</v>
      </c>
      <c r="F737" s="2" t="s">
        <v>152</v>
      </c>
      <c r="G737" s="2" t="s">
        <v>159</v>
      </c>
      <c r="H737" s="2" t="s">
        <v>152</v>
      </c>
      <c r="I737" s="2" t="s">
        <v>219</v>
      </c>
      <c r="J737" s="2" t="s">
        <v>152</v>
      </c>
      <c r="K737" s="2" t="s">
        <v>38</v>
      </c>
      <c r="L737" s="2" t="s">
        <v>127</v>
      </c>
      <c r="M737" s="2" t="s">
        <v>188</v>
      </c>
      <c r="N737" s="2" t="s">
        <v>219</v>
      </c>
      <c r="O737" s="2" t="s">
        <v>544</v>
      </c>
      <c r="P737" s="3">
        <v>14</v>
      </c>
      <c r="Q737" s="3">
        <v>14</v>
      </c>
      <c r="R737" s="4">
        <f t="shared" si="11"/>
        <v>28</v>
      </c>
      <c r="S737" s="2" t="s">
        <v>31</v>
      </c>
      <c r="T737" s="2"/>
    </row>
    <row r="738" spans="1:20" x14ac:dyDescent="0.3">
      <c r="A738" s="2" t="s">
        <v>683</v>
      </c>
      <c r="B738" s="2" t="s">
        <v>684</v>
      </c>
      <c r="C738" s="2" t="s">
        <v>590</v>
      </c>
      <c r="D738" s="2" t="s">
        <v>591</v>
      </c>
      <c r="E738" s="2" t="s">
        <v>168</v>
      </c>
      <c r="F738" s="2" t="s">
        <v>152</v>
      </c>
      <c r="G738" s="2" t="s">
        <v>159</v>
      </c>
      <c r="H738" s="2" t="s">
        <v>152</v>
      </c>
      <c r="I738" s="2" t="s">
        <v>884</v>
      </c>
      <c r="J738" s="2" t="s">
        <v>152</v>
      </c>
      <c r="K738" s="2" t="s">
        <v>38</v>
      </c>
      <c r="L738" s="2" t="s">
        <v>127</v>
      </c>
      <c r="M738" s="2" t="s">
        <v>188</v>
      </c>
      <c r="N738" s="2" t="s">
        <v>884</v>
      </c>
      <c r="O738" s="2" t="s">
        <v>885</v>
      </c>
      <c r="P738" s="3">
        <v>18</v>
      </c>
      <c r="Q738" s="3">
        <v>18</v>
      </c>
      <c r="R738" s="4">
        <f t="shared" si="11"/>
        <v>36</v>
      </c>
      <c r="S738" s="2" t="s">
        <v>31</v>
      </c>
      <c r="T738" s="2"/>
    </row>
    <row r="739" spans="1:20" x14ac:dyDescent="0.3">
      <c r="A739" s="2" t="s">
        <v>683</v>
      </c>
      <c r="B739" s="2" t="s">
        <v>684</v>
      </c>
      <c r="C739" s="2" t="s">
        <v>590</v>
      </c>
      <c r="D739" s="2" t="s">
        <v>591</v>
      </c>
      <c r="E739" s="2" t="s">
        <v>168</v>
      </c>
      <c r="F739" s="2" t="s">
        <v>152</v>
      </c>
      <c r="G739" s="2" t="s">
        <v>159</v>
      </c>
      <c r="H739" s="2" t="s">
        <v>152</v>
      </c>
      <c r="I739" s="2" t="s">
        <v>886</v>
      </c>
      <c r="J739" s="2" t="s">
        <v>152</v>
      </c>
      <c r="K739" s="2" t="s">
        <v>38</v>
      </c>
      <c r="L739" s="2" t="s">
        <v>127</v>
      </c>
      <c r="M739" s="2" t="s">
        <v>225</v>
      </c>
      <c r="N739" s="2" t="s">
        <v>886</v>
      </c>
      <c r="O739" s="2" t="s">
        <v>887</v>
      </c>
      <c r="P739" s="3">
        <v>15</v>
      </c>
      <c r="Q739" s="3">
        <v>15</v>
      </c>
      <c r="R739" s="4">
        <f t="shared" si="11"/>
        <v>30</v>
      </c>
      <c r="S739" s="2" t="s">
        <v>31</v>
      </c>
      <c r="T739" s="2"/>
    </row>
    <row r="740" spans="1:20" x14ac:dyDescent="0.3">
      <c r="A740" s="2" t="s">
        <v>683</v>
      </c>
      <c r="B740" s="2" t="s">
        <v>684</v>
      </c>
      <c r="C740" s="2" t="s">
        <v>590</v>
      </c>
      <c r="D740" s="2" t="s">
        <v>591</v>
      </c>
      <c r="E740" s="2" t="s">
        <v>168</v>
      </c>
      <c r="F740" s="2" t="s">
        <v>152</v>
      </c>
      <c r="G740" s="2" t="s">
        <v>159</v>
      </c>
      <c r="H740" s="2" t="s">
        <v>152</v>
      </c>
      <c r="I740" s="2" t="s">
        <v>888</v>
      </c>
      <c r="J740" s="2" t="s">
        <v>152</v>
      </c>
      <c r="K740" s="2" t="s">
        <v>38</v>
      </c>
      <c r="L740" s="2" t="s">
        <v>127</v>
      </c>
      <c r="M740" s="2" t="s">
        <v>188</v>
      </c>
      <c r="N740" s="2" t="s">
        <v>888</v>
      </c>
      <c r="O740" s="2" t="s">
        <v>889</v>
      </c>
      <c r="P740" s="3">
        <v>14</v>
      </c>
      <c r="Q740" s="3">
        <v>14</v>
      </c>
      <c r="R740" s="4">
        <f t="shared" si="11"/>
        <v>28</v>
      </c>
      <c r="S740" s="2" t="s">
        <v>31</v>
      </c>
      <c r="T740" s="2"/>
    </row>
    <row r="741" spans="1:20" x14ac:dyDescent="0.3">
      <c r="A741" s="2" t="s">
        <v>683</v>
      </c>
      <c r="B741" s="2" t="s">
        <v>684</v>
      </c>
      <c r="C741" s="2" t="s">
        <v>590</v>
      </c>
      <c r="D741" s="2" t="s">
        <v>591</v>
      </c>
      <c r="E741" s="2" t="s">
        <v>168</v>
      </c>
      <c r="F741" s="2" t="s">
        <v>152</v>
      </c>
      <c r="G741" s="2" t="s">
        <v>159</v>
      </c>
      <c r="H741" s="2" t="s">
        <v>152</v>
      </c>
      <c r="I741" s="2" t="s">
        <v>172</v>
      </c>
      <c r="J741" s="2" t="s">
        <v>152</v>
      </c>
      <c r="K741" s="2" t="s">
        <v>38</v>
      </c>
      <c r="L741" s="2" t="s">
        <v>127</v>
      </c>
      <c r="M741" s="2" t="s">
        <v>188</v>
      </c>
      <c r="N741" s="2" t="s">
        <v>172</v>
      </c>
      <c r="O741" s="2" t="s">
        <v>545</v>
      </c>
      <c r="P741" s="3">
        <v>17</v>
      </c>
      <c r="Q741" s="3">
        <v>17</v>
      </c>
      <c r="R741" s="4">
        <f t="shared" si="11"/>
        <v>34</v>
      </c>
      <c r="S741" s="2" t="s">
        <v>31</v>
      </c>
      <c r="T741" s="2"/>
    </row>
    <row r="742" spans="1:20" x14ac:dyDescent="0.3">
      <c r="A742" s="2" t="s">
        <v>683</v>
      </c>
      <c r="B742" s="2" t="s">
        <v>684</v>
      </c>
      <c r="C742" s="2" t="s">
        <v>590</v>
      </c>
      <c r="D742" s="2" t="s">
        <v>591</v>
      </c>
      <c r="E742" s="2" t="s">
        <v>168</v>
      </c>
      <c r="F742" s="2" t="s">
        <v>152</v>
      </c>
      <c r="G742" s="2" t="s">
        <v>159</v>
      </c>
      <c r="H742" s="2" t="s">
        <v>152</v>
      </c>
      <c r="I742" s="2" t="s">
        <v>536</v>
      </c>
      <c r="J742" s="2" t="s">
        <v>152</v>
      </c>
      <c r="K742" s="2" t="s">
        <v>38</v>
      </c>
      <c r="L742" s="2" t="s">
        <v>127</v>
      </c>
      <c r="M742" s="2" t="s">
        <v>188</v>
      </c>
      <c r="N742" s="2" t="s">
        <v>536</v>
      </c>
      <c r="O742" s="2" t="s">
        <v>537</v>
      </c>
      <c r="P742" s="3">
        <v>14</v>
      </c>
      <c r="Q742" s="3">
        <v>14</v>
      </c>
      <c r="R742" s="4">
        <f t="shared" si="11"/>
        <v>28</v>
      </c>
      <c r="S742" s="2" t="s">
        <v>31</v>
      </c>
      <c r="T742" s="2"/>
    </row>
    <row r="743" spans="1:20" x14ac:dyDescent="0.3">
      <c r="A743" s="2" t="s">
        <v>683</v>
      </c>
      <c r="B743" s="2" t="s">
        <v>684</v>
      </c>
      <c r="C743" s="2" t="s">
        <v>590</v>
      </c>
      <c r="D743" s="2" t="s">
        <v>591</v>
      </c>
      <c r="E743" s="2" t="s">
        <v>168</v>
      </c>
      <c r="F743" s="2" t="s">
        <v>152</v>
      </c>
      <c r="G743" s="2" t="s">
        <v>159</v>
      </c>
      <c r="H743" s="2" t="s">
        <v>152</v>
      </c>
      <c r="I743" s="2" t="s">
        <v>563</v>
      </c>
      <c r="J743" s="2" t="s">
        <v>152</v>
      </c>
      <c r="K743" s="2" t="s">
        <v>38</v>
      </c>
      <c r="L743" s="2" t="s">
        <v>127</v>
      </c>
      <c r="M743" s="2" t="s">
        <v>188</v>
      </c>
      <c r="N743" s="2" t="s">
        <v>563</v>
      </c>
      <c r="O743" s="2" t="s">
        <v>564</v>
      </c>
      <c r="P743" s="3">
        <v>13</v>
      </c>
      <c r="Q743" s="3">
        <v>13</v>
      </c>
      <c r="R743" s="4">
        <f t="shared" si="11"/>
        <v>26</v>
      </c>
      <c r="S743" s="2" t="s">
        <v>31</v>
      </c>
      <c r="T743" s="2"/>
    </row>
    <row r="744" spans="1:20" x14ac:dyDescent="0.3">
      <c r="A744" s="2" t="s">
        <v>683</v>
      </c>
      <c r="B744" s="2" t="s">
        <v>684</v>
      </c>
      <c r="C744" s="2" t="s">
        <v>590</v>
      </c>
      <c r="D744" s="2" t="s">
        <v>591</v>
      </c>
      <c r="E744" s="2" t="s">
        <v>168</v>
      </c>
      <c r="F744" s="2" t="s">
        <v>152</v>
      </c>
      <c r="G744" s="2" t="s">
        <v>159</v>
      </c>
      <c r="H744" s="2" t="s">
        <v>152</v>
      </c>
      <c r="I744" s="2" t="s">
        <v>529</v>
      </c>
      <c r="J744" s="2" t="s">
        <v>152</v>
      </c>
      <c r="K744" s="2" t="s">
        <v>38</v>
      </c>
      <c r="L744" s="2" t="s">
        <v>127</v>
      </c>
      <c r="M744" s="2" t="s">
        <v>188</v>
      </c>
      <c r="N744" s="2" t="s">
        <v>529</v>
      </c>
      <c r="O744" s="2" t="s">
        <v>530</v>
      </c>
      <c r="P744" s="3">
        <v>14</v>
      </c>
      <c r="Q744" s="3">
        <v>14</v>
      </c>
      <c r="R744" s="4">
        <f t="shared" si="11"/>
        <v>28</v>
      </c>
      <c r="S744" s="2" t="s">
        <v>31</v>
      </c>
      <c r="T744" s="2"/>
    </row>
    <row r="745" spans="1:20" x14ac:dyDescent="0.3">
      <c r="A745" s="2" t="s">
        <v>683</v>
      </c>
      <c r="B745" s="2" t="s">
        <v>684</v>
      </c>
      <c r="C745" s="2" t="s">
        <v>590</v>
      </c>
      <c r="D745" s="2" t="s">
        <v>591</v>
      </c>
      <c r="E745" s="2" t="s">
        <v>168</v>
      </c>
      <c r="F745" s="2" t="s">
        <v>152</v>
      </c>
      <c r="G745" s="2" t="s">
        <v>159</v>
      </c>
      <c r="H745" s="2" t="s">
        <v>152</v>
      </c>
      <c r="I745" s="2" t="s">
        <v>519</v>
      </c>
      <c r="J745" s="2" t="s">
        <v>152</v>
      </c>
      <c r="K745" s="2" t="s">
        <v>38</v>
      </c>
      <c r="L745" s="2" t="s">
        <v>127</v>
      </c>
      <c r="M745" s="2" t="s">
        <v>188</v>
      </c>
      <c r="N745" s="2" t="s">
        <v>519</v>
      </c>
      <c r="O745" s="2" t="s">
        <v>520</v>
      </c>
      <c r="P745" s="3">
        <v>17</v>
      </c>
      <c r="Q745" s="3">
        <v>17</v>
      </c>
      <c r="R745" s="4">
        <f t="shared" si="11"/>
        <v>34</v>
      </c>
      <c r="S745" s="2" t="s">
        <v>31</v>
      </c>
      <c r="T745" s="2"/>
    </row>
    <row r="746" spans="1:20" x14ac:dyDescent="0.3">
      <c r="A746" s="2" t="s">
        <v>683</v>
      </c>
      <c r="B746" s="2" t="s">
        <v>684</v>
      </c>
      <c r="C746" s="2" t="s">
        <v>590</v>
      </c>
      <c r="D746" s="2" t="s">
        <v>591</v>
      </c>
      <c r="E746" s="2" t="s">
        <v>168</v>
      </c>
      <c r="F746" s="2" t="s">
        <v>152</v>
      </c>
      <c r="G746" s="2" t="s">
        <v>159</v>
      </c>
      <c r="H746" s="2" t="s">
        <v>152</v>
      </c>
      <c r="I746" s="2" t="s">
        <v>227</v>
      </c>
      <c r="J746" s="2" t="s">
        <v>152</v>
      </c>
      <c r="K746" s="2" t="s">
        <v>38</v>
      </c>
      <c r="L746" s="2" t="s">
        <v>127</v>
      </c>
      <c r="M746" s="2" t="s">
        <v>188</v>
      </c>
      <c r="N746" s="2" t="s">
        <v>227</v>
      </c>
      <c r="O746" s="2" t="s">
        <v>890</v>
      </c>
      <c r="P746" s="3">
        <v>13</v>
      </c>
      <c r="Q746" s="3">
        <v>13</v>
      </c>
      <c r="R746" s="4">
        <f t="shared" si="11"/>
        <v>26</v>
      </c>
      <c r="S746" s="2" t="s">
        <v>31</v>
      </c>
      <c r="T746" s="2"/>
    </row>
    <row r="747" spans="1:20" x14ac:dyDescent="0.3">
      <c r="A747" s="2" t="s">
        <v>683</v>
      </c>
      <c r="B747" s="2" t="s">
        <v>684</v>
      </c>
      <c r="C747" s="2" t="s">
        <v>590</v>
      </c>
      <c r="D747" s="2" t="s">
        <v>591</v>
      </c>
      <c r="E747" s="2" t="s">
        <v>168</v>
      </c>
      <c r="F747" s="2" t="s">
        <v>152</v>
      </c>
      <c r="G747" s="2" t="s">
        <v>159</v>
      </c>
      <c r="H747" s="2" t="s">
        <v>152</v>
      </c>
      <c r="I747" s="2" t="s">
        <v>200</v>
      </c>
      <c r="J747" s="2" t="s">
        <v>152</v>
      </c>
      <c r="K747" s="2" t="s">
        <v>38</v>
      </c>
      <c r="L747" s="2" t="s">
        <v>127</v>
      </c>
      <c r="M747" s="2" t="s">
        <v>188</v>
      </c>
      <c r="N747" s="2" t="s">
        <v>200</v>
      </c>
      <c r="O747" s="2" t="s">
        <v>531</v>
      </c>
      <c r="P747" s="3">
        <v>9</v>
      </c>
      <c r="Q747" s="3">
        <v>9</v>
      </c>
      <c r="R747" s="4">
        <f t="shared" si="11"/>
        <v>18</v>
      </c>
      <c r="S747" s="2" t="s">
        <v>31</v>
      </c>
      <c r="T747" s="2"/>
    </row>
    <row r="748" spans="1:20" x14ac:dyDescent="0.3">
      <c r="A748" s="2" t="s">
        <v>683</v>
      </c>
      <c r="B748" s="2" t="s">
        <v>684</v>
      </c>
      <c r="C748" s="2" t="s">
        <v>590</v>
      </c>
      <c r="D748" s="2" t="s">
        <v>591</v>
      </c>
      <c r="E748" s="2" t="s">
        <v>168</v>
      </c>
      <c r="F748" s="2" t="s">
        <v>152</v>
      </c>
      <c r="G748" s="2" t="s">
        <v>159</v>
      </c>
      <c r="H748" s="2" t="s">
        <v>152</v>
      </c>
      <c r="I748" s="2" t="s">
        <v>891</v>
      </c>
      <c r="J748" s="2" t="s">
        <v>152</v>
      </c>
      <c r="K748" s="2" t="s">
        <v>38</v>
      </c>
      <c r="L748" s="2" t="s">
        <v>127</v>
      </c>
      <c r="M748" s="2" t="s">
        <v>188</v>
      </c>
      <c r="N748" s="2" t="s">
        <v>891</v>
      </c>
      <c r="O748" s="2" t="s">
        <v>892</v>
      </c>
      <c r="P748" s="3">
        <v>11</v>
      </c>
      <c r="Q748" s="3">
        <v>11</v>
      </c>
      <c r="R748" s="4">
        <f t="shared" si="11"/>
        <v>22</v>
      </c>
      <c r="S748" s="2" t="s">
        <v>31</v>
      </c>
      <c r="T748" s="2"/>
    </row>
    <row r="749" spans="1:20" x14ac:dyDescent="0.3">
      <c r="A749" s="2" t="s">
        <v>683</v>
      </c>
      <c r="B749" s="2" t="s">
        <v>684</v>
      </c>
      <c r="C749" s="2" t="s">
        <v>590</v>
      </c>
      <c r="D749" s="2" t="s">
        <v>591</v>
      </c>
      <c r="E749" s="2" t="s">
        <v>168</v>
      </c>
      <c r="F749" s="2" t="s">
        <v>152</v>
      </c>
      <c r="G749" s="2" t="s">
        <v>159</v>
      </c>
      <c r="H749" s="2" t="s">
        <v>152</v>
      </c>
      <c r="I749" s="2" t="s">
        <v>567</v>
      </c>
      <c r="J749" s="2" t="s">
        <v>152</v>
      </c>
      <c r="K749" s="2" t="s">
        <v>38</v>
      </c>
      <c r="L749" s="2" t="s">
        <v>127</v>
      </c>
      <c r="M749" s="2" t="s">
        <v>188</v>
      </c>
      <c r="N749" s="2" t="s">
        <v>567</v>
      </c>
      <c r="O749" s="2" t="s">
        <v>568</v>
      </c>
      <c r="P749" s="3">
        <v>10</v>
      </c>
      <c r="Q749" s="3">
        <v>10</v>
      </c>
      <c r="R749" s="4">
        <f t="shared" si="11"/>
        <v>20</v>
      </c>
      <c r="S749" s="2" t="s">
        <v>31</v>
      </c>
      <c r="T749" s="2"/>
    </row>
    <row r="750" spans="1:20" x14ac:dyDescent="0.3">
      <c r="A750" s="2" t="s">
        <v>683</v>
      </c>
      <c r="B750" s="2" t="s">
        <v>684</v>
      </c>
      <c r="C750" s="2" t="s">
        <v>590</v>
      </c>
      <c r="D750" s="2" t="s">
        <v>591</v>
      </c>
      <c r="E750" s="2" t="s">
        <v>168</v>
      </c>
      <c r="F750" s="2" t="s">
        <v>152</v>
      </c>
      <c r="G750" s="2" t="s">
        <v>159</v>
      </c>
      <c r="H750" s="2" t="s">
        <v>152</v>
      </c>
      <c r="I750" s="2" t="s">
        <v>190</v>
      </c>
      <c r="J750" s="2" t="s">
        <v>152</v>
      </c>
      <c r="K750" s="2" t="s">
        <v>38</v>
      </c>
      <c r="L750" s="2" t="s">
        <v>127</v>
      </c>
      <c r="M750" s="2" t="s">
        <v>188</v>
      </c>
      <c r="N750" s="2" t="s">
        <v>190</v>
      </c>
      <c r="O750" s="2" t="s">
        <v>538</v>
      </c>
      <c r="P750" s="3">
        <v>11</v>
      </c>
      <c r="Q750" s="3">
        <v>11</v>
      </c>
      <c r="R750" s="4">
        <f t="shared" si="11"/>
        <v>22</v>
      </c>
      <c r="S750" s="2" t="s">
        <v>31</v>
      </c>
      <c r="T750" s="2"/>
    </row>
    <row r="751" spans="1:20" x14ac:dyDescent="0.3">
      <c r="A751" s="5" t="s">
        <v>683</v>
      </c>
      <c r="B751" s="5" t="s">
        <v>684</v>
      </c>
      <c r="C751" s="5" t="s">
        <v>590</v>
      </c>
      <c r="D751" s="5" t="s">
        <v>591</v>
      </c>
      <c r="E751" s="5" t="s">
        <v>168</v>
      </c>
      <c r="F751" s="5" t="s">
        <v>152</v>
      </c>
      <c r="G751" s="5" t="s">
        <v>159</v>
      </c>
      <c r="H751" s="5" t="s">
        <v>152</v>
      </c>
      <c r="I751" s="5" t="s">
        <v>893</v>
      </c>
      <c r="J751" s="5"/>
      <c r="K751" s="5"/>
      <c r="L751" s="5"/>
      <c r="M751" s="5"/>
      <c r="N751" s="5" t="s">
        <v>269</v>
      </c>
      <c r="O751" s="5"/>
      <c r="P751" s="6"/>
      <c r="Q751" s="6"/>
      <c r="R751" s="7" t="str">
        <f t="shared" si="11"/>
        <v/>
      </c>
      <c r="S751" s="5"/>
      <c r="T751" s="5" t="s">
        <v>270</v>
      </c>
    </row>
    <row r="752" spans="1:20" x14ac:dyDescent="0.3">
      <c r="A752" s="2" t="s">
        <v>683</v>
      </c>
      <c r="B752" s="2" t="s">
        <v>684</v>
      </c>
      <c r="C752" s="2" t="s">
        <v>590</v>
      </c>
      <c r="D752" s="2" t="s">
        <v>591</v>
      </c>
      <c r="E752" s="2" t="s">
        <v>168</v>
      </c>
      <c r="F752" s="2" t="s">
        <v>152</v>
      </c>
      <c r="G752" s="2" t="s">
        <v>159</v>
      </c>
      <c r="H752" s="2" t="s">
        <v>152</v>
      </c>
      <c r="I752" s="2" t="s">
        <v>894</v>
      </c>
      <c r="J752" s="2" t="s">
        <v>152</v>
      </c>
      <c r="K752" s="2" t="s">
        <v>38</v>
      </c>
      <c r="L752" s="2" t="s">
        <v>127</v>
      </c>
      <c r="M752" s="2" t="s">
        <v>188</v>
      </c>
      <c r="N752" s="2" t="s">
        <v>200</v>
      </c>
      <c r="O752" s="2" t="s">
        <v>531</v>
      </c>
      <c r="P752" s="3">
        <v>9</v>
      </c>
      <c r="Q752" s="3">
        <v>9</v>
      </c>
      <c r="R752" s="4">
        <f t="shared" si="11"/>
        <v>18</v>
      </c>
      <c r="S752" s="2" t="s">
        <v>31</v>
      </c>
      <c r="T752" s="2"/>
    </row>
    <row r="753" spans="1:20" x14ac:dyDescent="0.3">
      <c r="A753" s="2" t="s">
        <v>683</v>
      </c>
      <c r="B753" s="2" t="s">
        <v>684</v>
      </c>
      <c r="C753" s="2" t="s">
        <v>590</v>
      </c>
      <c r="D753" s="2" t="s">
        <v>591</v>
      </c>
      <c r="E753" s="2" t="s">
        <v>168</v>
      </c>
      <c r="F753" s="2" t="s">
        <v>152</v>
      </c>
      <c r="G753" s="2" t="s">
        <v>159</v>
      </c>
      <c r="H753" s="2" t="s">
        <v>152</v>
      </c>
      <c r="I753" s="2" t="s">
        <v>895</v>
      </c>
      <c r="J753" s="2" t="s">
        <v>152</v>
      </c>
      <c r="K753" s="2" t="s">
        <v>38</v>
      </c>
      <c r="L753" s="2" t="s">
        <v>127</v>
      </c>
      <c r="M753" s="2" t="s">
        <v>188</v>
      </c>
      <c r="N753" s="2" t="s">
        <v>895</v>
      </c>
      <c r="O753" s="2" t="s">
        <v>896</v>
      </c>
      <c r="P753" s="3">
        <v>5</v>
      </c>
      <c r="Q753" s="3">
        <v>5</v>
      </c>
      <c r="R753" s="4">
        <f t="shared" si="11"/>
        <v>10</v>
      </c>
      <c r="S753" s="2" t="s">
        <v>31</v>
      </c>
      <c r="T753" s="2"/>
    </row>
    <row r="754" spans="1:20" x14ac:dyDescent="0.3">
      <c r="A754" s="2" t="s">
        <v>683</v>
      </c>
      <c r="B754" s="2" t="s">
        <v>684</v>
      </c>
      <c r="C754" s="2" t="s">
        <v>590</v>
      </c>
      <c r="D754" s="2" t="s">
        <v>591</v>
      </c>
      <c r="E754" s="2" t="s">
        <v>168</v>
      </c>
      <c r="F754" s="2" t="s">
        <v>152</v>
      </c>
      <c r="G754" s="2" t="s">
        <v>159</v>
      </c>
      <c r="H754" s="2" t="s">
        <v>152</v>
      </c>
      <c r="I754" s="2" t="s">
        <v>897</v>
      </c>
      <c r="J754" s="2" t="s">
        <v>152</v>
      </c>
      <c r="K754" s="2" t="s">
        <v>38</v>
      </c>
      <c r="L754" s="2" t="s">
        <v>127</v>
      </c>
      <c r="M754" s="2" t="s">
        <v>188</v>
      </c>
      <c r="N754" s="2" t="s">
        <v>897</v>
      </c>
      <c r="O754" s="2" t="s">
        <v>898</v>
      </c>
      <c r="P754" s="3">
        <v>9</v>
      </c>
      <c r="Q754" s="3">
        <v>9</v>
      </c>
      <c r="R754" s="4">
        <f t="shared" si="11"/>
        <v>18</v>
      </c>
      <c r="S754" s="2" t="s">
        <v>31</v>
      </c>
      <c r="T754" s="2"/>
    </row>
    <row r="755" spans="1:20" x14ac:dyDescent="0.3">
      <c r="A755" s="2" t="s">
        <v>683</v>
      </c>
      <c r="B755" s="2" t="s">
        <v>684</v>
      </c>
      <c r="C755" s="2" t="s">
        <v>590</v>
      </c>
      <c r="D755" s="2" t="s">
        <v>591</v>
      </c>
      <c r="E755" s="2" t="s">
        <v>168</v>
      </c>
      <c r="F755" s="2" t="s">
        <v>152</v>
      </c>
      <c r="G755" s="2" t="s">
        <v>159</v>
      </c>
      <c r="H755" s="2" t="s">
        <v>152</v>
      </c>
      <c r="I755" s="2" t="s">
        <v>565</v>
      </c>
      <c r="J755" s="2" t="s">
        <v>152</v>
      </c>
      <c r="K755" s="2" t="s">
        <v>38</v>
      </c>
      <c r="L755" s="2" t="s">
        <v>127</v>
      </c>
      <c r="M755" s="2" t="s">
        <v>188</v>
      </c>
      <c r="N755" s="2" t="s">
        <v>565</v>
      </c>
      <c r="O755" s="2" t="s">
        <v>566</v>
      </c>
      <c r="P755" s="3">
        <v>7</v>
      </c>
      <c r="Q755" s="3">
        <v>7</v>
      </c>
      <c r="R755" s="4">
        <f t="shared" si="11"/>
        <v>14</v>
      </c>
      <c r="S755" s="2" t="s">
        <v>31</v>
      </c>
      <c r="T755" s="2"/>
    </row>
    <row r="756" spans="1:20" x14ac:dyDescent="0.3">
      <c r="A756" s="2" t="s">
        <v>683</v>
      </c>
      <c r="B756" s="2" t="s">
        <v>684</v>
      </c>
      <c r="C756" s="2" t="s">
        <v>590</v>
      </c>
      <c r="D756" s="2" t="s">
        <v>591</v>
      </c>
      <c r="E756" s="2" t="s">
        <v>168</v>
      </c>
      <c r="F756" s="2" t="s">
        <v>152</v>
      </c>
      <c r="G756" s="2" t="s">
        <v>159</v>
      </c>
      <c r="H756" s="2" t="s">
        <v>152</v>
      </c>
      <c r="I756" s="2" t="s">
        <v>221</v>
      </c>
      <c r="J756" s="2" t="s">
        <v>152</v>
      </c>
      <c r="K756" s="2" t="s">
        <v>38</v>
      </c>
      <c r="L756" s="2" t="s">
        <v>127</v>
      </c>
      <c r="M756" s="2" t="s">
        <v>188</v>
      </c>
      <c r="N756" s="2" t="s">
        <v>221</v>
      </c>
      <c r="O756" s="2" t="s">
        <v>539</v>
      </c>
      <c r="P756" s="3">
        <v>7</v>
      </c>
      <c r="Q756" s="3">
        <v>7</v>
      </c>
      <c r="R756" s="4">
        <f t="shared" si="11"/>
        <v>14</v>
      </c>
      <c r="S756" s="2" t="s">
        <v>31</v>
      </c>
      <c r="T756" s="2"/>
    </row>
    <row r="757" spans="1:20" x14ac:dyDescent="0.3">
      <c r="A757" s="2" t="s">
        <v>683</v>
      </c>
      <c r="B757" s="2" t="s">
        <v>684</v>
      </c>
      <c r="C757" s="2" t="s">
        <v>590</v>
      </c>
      <c r="D757" s="2" t="s">
        <v>591</v>
      </c>
      <c r="E757" s="2" t="s">
        <v>168</v>
      </c>
      <c r="F757" s="2" t="s">
        <v>152</v>
      </c>
      <c r="G757" s="2" t="s">
        <v>159</v>
      </c>
      <c r="H757" s="2" t="s">
        <v>152</v>
      </c>
      <c r="I757" s="2" t="s">
        <v>194</v>
      </c>
      <c r="J757" s="2" t="s">
        <v>152</v>
      </c>
      <c r="K757" s="2" t="s">
        <v>38</v>
      </c>
      <c r="L757" s="2" t="s">
        <v>127</v>
      </c>
      <c r="M757" s="2" t="s">
        <v>188</v>
      </c>
      <c r="N757" s="2" t="s">
        <v>194</v>
      </c>
      <c r="O757" s="2" t="s">
        <v>546</v>
      </c>
      <c r="P757" s="3">
        <v>9</v>
      </c>
      <c r="Q757" s="3">
        <v>9</v>
      </c>
      <c r="R757" s="4">
        <f t="shared" si="11"/>
        <v>18</v>
      </c>
      <c r="S757" s="2" t="s">
        <v>31</v>
      </c>
      <c r="T757" s="2"/>
    </row>
    <row r="758" spans="1:20" x14ac:dyDescent="0.3">
      <c r="A758" s="2" t="s">
        <v>683</v>
      </c>
      <c r="B758" s="2" t="s">
        <v>684</v>
      </c>
      <c r="C758" s="2" t="s">
        <v>590</v>
      </c>
      <c r="D758" s="2" t="s">
        <v>591</v>
      </c>
      <c r="E758" s="2" t="s">
        <v>168</v>
      </c>
      <c r="F758" s="2" t="s">
        <v>152</v>
      </c>
      <c r="G758" s="2" t="s">
        <v>159</v>
      </c>
      <c r="H758" s="2" t="s">
        <v>152</v>
      </c>
      <c r="I758" s="2" t="s">
        <v>899</v>
      </c>
      <c r="J758" s="2" t="s">
        <v>152</v>
      </c>
      <c r="K758" s="2" t="s">
        <v>38</v>
      </c>
      <c r="L758" s="2" t="s">
        <v>127</v>
      </c>
      <c r="M758" s="2" t="s">
        <v>188</v>
      </c>
      <c r="N758" s="2" t="s">
        <v>899</v>
      </c>
      <c r="O758" s="2" t="s">
        <v>900</v>
      </c>
      <c r="P758" s="3">
        <v>3</v>
      </c>
      <c r="Q758" s="3">
        <v>3</v>
      </c>
      <c r="R758" s="4">
        <f t="shared" si="11"/>
        <v>6</v>
      </c>
      <c r="S758" s="2" t="s">
        <v>31</v>
      </c>
      <c r="T758" s="2"/>
    </row>
    <row r="759" spans="1:20" x14ac:dyDescent="0.3">
      <c r="A759" s="2" t="s">
        <v>901</v>
      </c>
      <c r="B759" s="2" t="s">
        <v>589</v>
      </c>
      <c r="C759" s="2" t="s">
        <v>590</v>
      </c>
      <c r="D759" s="2" t="s">
        <v>587</v>
      </c>
      <c r="E759" s="2" t="s">
        <v>168</v>
      </c>
      <c r="F759" s="2" t="s">
        <v>152</v>
      </c>
      <c r="G759" s="2" t="s">
        <v>159</v>
      </c>
      <c r="H759" s="2" t="s">
        <v>152</v>
      </c>
      <c r="I759" s="2" t="s">
        <v>27</v>
      </c>
      <c r="J759" s="2" t="s">
        <v>27</v>
      </c>
      <c r="K759" s="2" t="s">
        <v>28</v>
      </c>
      <c r="L759" s="2" t="s">
        <v>29</v>
      </c>
      <c r="M759" s="2"/>
      <c r="N759" s="2" t="s">
        <v>27</v>
      </c>
      <c r="O759" s="2" t="s">
        <v>164</v>
      </c>
      <c r="P759" s="3">
        <v>984</v>
      </c>
      <c r="Q759" s="3">
        <v>984</v>
      </c>
      <c r="R759" s="4">
        <f t="shared" si="11"/>
        <v>1968</v>
      </c>
      <c r="S759" s="2" t="s">
        <v>40</v>
      </c>
      <c r="T759" s="2"/>
    </row>
    <row r="760" spans="1:20" x14ac:dyDescent="0.3">
      <c r="A760" s="2" t="s">
        <v>901</v>
      </c>
      <c r="B760" s="2" t="s">
        <v>589</v>
      </c>
      <c r="C760" s="2" t="s">
        <v>590</v>
      </c>
      <c r="D760" s="2" t="s">
        <v>587</v>
      </c>
      <c r="E760" s="2" t="s">
        <v>168</v>
      </c>
      <c r="F760" s="2" t="s">
        <v>152</v>
      </c>
      <c r="G760" s="2" t="s">
        <v>159</v>
      </c>
      <c r="H760" s="2" t="s">
        <v>152</v>
      </c>
      <c r="I760" s="2" t="s">
        <v>65</v>
      </c>
      <c r="J760" s="2" t="s">
        <v>65</v>
      </c>
      <c r="K760" s="2" t="s">
        <v>28</v>
      </c>
      <c r="L760" s="2" t="s">
        <v>29</v>
      </c>
      <c r="M760" s="2"/>
      <c r="N760" s="2" t="s">
        <v>65</v>
      </c>
      <c r="O760" s="2" t="s">
        <v>169</v>
      </c>
      <c r="P760" s="3">
        <v>762</v>
      </c>
      <c r="Q760" s="3">
        <v>762</v>
      </c>
      <c r="R760" s="4">
        <f t="shared" si="11"/>
        <v>1524</v>
      </c>
      <c r="S760" s="2" t="s">
        <v>31</v>
      </c>
      <c r="T760" s="2"/>
    </row>
    <row r="761" spans="1:20" x14ac:dyDescent="0.3">
      <c r="A761" s="2" t="s">
        <v>901</v>
      </c>
      <c r="B761" s="2" t="s">
        <v>589</v>
      </c>
      <c r="C761" s="2" t="s">
        <v>590</v>
      </c>
      <c r="D761" s="2" t="s">
        <v>587</v>
      </c>
      <c r="E761" s="2" t="s">
        <v>168</v>
      </c>
      <c r="F761" s="2" t="s">
        <v>152</v>
      </c>
      <c r="G761" s="2" t="s">
        <v>159</v>
      </c>
      <c r="H761" s="2" t="s">
        <v>152</v>
      </c>
      <c r="I761" s="2" t="s">
        <v>43</v>
      </c>
      <c r="J761" s="2" t="s">
        <v>44</v>
      </c>
      <c r="K761" s="2" t="s">
        <v>45</v>
      </c>
      <c r="L761" s="2" t="s">
        <v>29</v>
      </c>
      <c r="M761" s="2"/>
      <c r="N761" s="2" t="s">
        <v>43</v>
      </c>
      <c r="O761" s="2" t="s">
        <v>163</v>
      </c>
      <c r="P761" s="3">
        <v>740</v>
      </c>
      <c r="Q761" s="3">
        <v>740</v>
      </c>
      <c r="R761" s="4">
        <f t="shared" si="11"/>
        <v>1480</v>
      </c>
      <c r="S761" s="2" t="s">
        <v>40</v>
      </c>
      <c r="T761" s="2"/>
    </row>
    <row r="762" spans="1:20" x14ac:dyDescent="0.3">
      <c r="A762" s="2" t="s">
        <v>901</v>
      </c>
      <c r="B762" s="2" t="s">
        <v>589</v>
      </c>
      <c r="C762" s="2" t="s">
        <v>590</v>
      </c>
      <c r="D762" s="2" t="s">
        <v>587</v>
      </c>
      <c r="E762" s="2" t="s">
        <v>168</v>
      </c>
      <c r="F762" s="2" t="s">
        <v>152</v>
      </c>
      <c r="G762" s="2" t="s">
        <v>159</v>
      </c>
      <c r="H762" s="2" t="s">
        <v>152</v>
      </c>
      <c r="I762" s="2" t="s">
        <v>657</v>
      </c>
      <c r="J762" s="2" t="s">
        <v>348</v>
      </c>
      <c r="K762" s="2" t="s">
        <v>133</v>
      </c>
      <c r="L762" s="2" t="s">
        <v>29</v>
      </c>
      <c r="M762" s="2"/>
      <c r="N762" s="2" t="s">
        <v>365</v>
      </c>
      <c r="O762" s="2" t="s">
        <v>865</v>
      </c>
      <c r="P762" s="3">
        <v>681</v>
      </c>
      <c r="Q762" s="3">
        <v>681</v>
      </c>
      <c r="R762" s="4">
        <f t="shared" si="11"/>
        <v>1362</v>
      </c>
      <c r="S762" s="2" t="s">
        <v>31</v>
      </c>
      <c r="T762" s="2"/>
    </row>
    <row r="763" spans="1:20" x14ac:dyDescent="0.3">
      <c r="A763" s="2" t="s">
        <v>901</v>
      </c>
      <c r="B763" s="2" t="s">
        <v>589</v>
      </c>
      <c r="C763" s="2" t="s">
        <v>590</v>
      </c>
      <c r="D763" s="2" t="s">
        <v>587</v>
      </c>
      <c r="E763" s="2" t="s">
        <v>168</v>
      </c>
      <c r="F763" s="2" t="s">
        <v>152</v>
      </c>
      <c r="G763" s="2" t="s">
        <v>159</v>
      </c>
      <c r="H763" s="2" t="s">
        <v>152</v>
      </c>
      <c r="I763" s="2" t="s">
        <v>160</v>
      </c>
      <c r="J763" s="2" t="s">
        <v>161</v>
      </c>
      <c r="K763" s="2" t="s">
        <v>133</v>
      </c>
      <c r="L763" s="2" t="s">
        <v>29</v>
      </c>
      <c r="M763" s="2"/>
      <c r="N763" s="2" t="s">
        <v>160</v>
      </c>
      <c r="O763" s="2" t="s">
        <v>162</v>
      </c>
      <c r="P763" s="3">
        <v>603</v>
      </c>
      <c r="Q763" s="3">
        <v>603</v>
      </c>
      <c r="R763" s="4">
        <f t="shared" si="11"/>
        <v>1206</v>
      </c>
      <c r="S763" s="2" t="s">
        <v>31</v>
      </c>
      <c r="T763" s="2"/>
    </row>
    <row r="764" spans="1:20" x14ac:dyDescent="0.3">
      <c r="A764" s="2" t="s">
        <v>901</v>
      </c>
      <c r="B764" s="2" t="s">
        <v>589</v>
      </c>
      <c r="C764" s="2" t="s">
        <v>590</v>
      </c>
      <c r="D764" s="2" t="s">
        <v>587</v>
      </c>
      <c r="E764" s="2" t="s">
        <v>168</v>
      </c>
      <c r="F764" s="2" t="s">
        <v>152</v>
      </c>
      <c r="G764" s="2" t="s">
        <v>159</v>
      </c>
      <c r="H764" s="2" t="s">
        <v>152</v>
      </c>
      <c r="I764" s="2" t="s">
        <v>619</v>
      </c>
      <c r="J764" s="2" t="s">
        <v>143</v>
      </c>
      <c r="K764" s="2" t="s">
        <v>137</v>
      </c>
      <c r="L764" s="2" t="s">
        <v>29</v>
      </c>
      <c r="M764" s="2"/>
      <c r="N764" s="2" t="s">
        <v>371</v>
      </c>
      <c r="O764" s="2" t="s">
        <v>866</v>
      </c>
      <c r="P764" s="3">
        <v>512</v>
      </c>
      <c r="Q764" s="3">
        <v>512</v>
      </c>
      <c r="R764" s="4">
        <f t="shared" si="11"/>
        <v>1024</v>
      </c>
      <c r="S764" s="2" t="s">
        <v>31</v>
      </c>
      <c r="T764" s="2"/>
    </row>
    <row r="765" spans="1:20" x14ac:dyDescent="0.3">
      <c r="A765" s="2" t="s">
        <v>901</v>
      </c>
      <c r="B765" s="2" t="s">
        <v>589</v>
      </c>
      <c r="C765" s="2" t="s">
        <v>590</v>
      </c>
      <c r="D765" s="2" t="s">
        <v>587</v>
      </c>
      <c r="E765" s="2" t="s">
        <v>168</v>
      </c>
      <c r="F765" s="2" t="s">
        <v>152</v>
      </c>
      <c r="G765" s="2" t="s">
        <v>159</v>
      </c>
      <c r="H765" s="2" t="s">
        <v>152</v>
      </c>
      <c r="I765" s="2" t="s">
        <v>142</v>
      </c>
      <c r="J765" s="2" t="s">
        <v>143</v>
      </c>
      <c r="K765" s="2" t="s">
        <v>137</v>
      </c>
      <c r="L765" s="2" t="s">
        <v>29</v>
      </c>
      <c r="M765" s="2"/>
      <c r="N765" s="2" t="s">
        <v>142</v>
      </c>
      <c r="O765" s="2" t="s">
        <v>867</v>
      </c>
      <c r="P765" s="3">
        <v>472</v>
      </c>
      <c r="Q765" s="3">
        <v>472</v>
      </c>
      <c r="R765" s="4">
        <f t="shared" si="11"/>
        <v>944</v>
      </c>
      <c r="S765" s="2" t="s">
        <v>31</v>
      </c>
      <c r="T765" s="2"/>
    </row>
    <row r="766" spans="1:20" x14ac:dyDescent="0.3">
      <c r="A766" s="2" t="s">
        <v>901</v>
      </c>
      <c r="B766" s="2" t="s">
        <v>589</v>
      </c>
      <c r="C766" s="2" t="s">
        <v>590</v>
      </c>
      <c r="D766" s="2" t="s">
        <v>587</v>
      </c>
      <c r="E766" s="2" t="s">
        <v>168</v>
      </c>
      <c r="F766" s="2" t="s">
        <v>152</v>
      </c>
      <c r="G766" s="2" t="s">
        <v>159</v>
      </c>
      <c r="H766" s="2" t="s">
        <v>152</v>
      </c>
      <c r="I766" s="2" t="s">
        <v>174</v>
      </c>
      <c r="J766" s="2" t="s">
        <v>140</v>
      </c>
      <c r="K766" s="2" t="s">
        <v>133</v>
      </c>
      <c r="L766" s="2" t="s">
        <v>29</v>
      </c>
      <c r="M766" s="2"/>
      <c r="N766" s="2" t="s">
        <v>174</v>
      </c>
      <c r="O766" s="2" t="s">
        <v>868</v>
      </c>
      <c r="P766" s="3">
        <v>423</v>
      </c>
      <c r="Q766" s="3">
        <v>423</v>
      </c>
      <c r="R766" s="4">
        <f t="shared" si="11"/>
        <v>846</v>
      </c>
      <c r="S766" s="2" t="s">
        <v>31</v>
      </c>
      <c r="T766" s="2"/>
    </row>
    <row r="767" spans="1:20" x14ac:dyDescent="0.3">
      <c r="A767" s="2" t="s">
        <v>901</v>
      </c>
      <c r="B767" s="2" t="s">
        <v>589</v>
      </c>
      <c r="C767" s="2" t="s">
        <v>590</v>
      </c>
      <c r="D767" s="2" t="s">
        <v>587</v>
      </c>
      <c r="E767" s="2" t="s">
        <v>168</v>
      </c>
      <c r="F767" s="2" t="s">
        <v>152</v>
      </c>
      <c r="G767" s="2" t="s">
        <v>159</v>
      </c>
      <c r="H767" s="2" t="s">
        <v>152</v>
      </c>
      <c r="I767" s="2" t="s">
        <v>278</v>
      </c>
      <c r="J767" s="2" t="s">
        <v>277</v>
      </c>
      <c r="K767" s="2" t="s">
        <v>38</v>
      </c>
      <c r="L767" s="2" t="s">
        <v>29</v>
      </c>
      <c r="M767" s="2"/>
      <c r="N767" s="2" t="s">
        <v>278</v>
      </c>
      <c r="O767" s="2" t="s">
        <v>279</v>
      </c>
      <c r="P767" s="3">
        <v>305</v>
      </c>
      <c r="Q767" s="3">
        <v>305</v>
      </c>
      <c r="R767" s="4">
        <f t="shared" si="11"/>
        <v>610</v>
      </c>
      <c r="S767" s="2" t="s">
        <v>31</v>
      </c>
      <c r="T767" s="2"/>
    </row>
    <row r="768" spans="1:20" x14ac:dyDescent="0.3">
      <c r="A768" s="2" t="s">
        <v>901</v>
      </c>
      <c r="B768" s="2" t="s">
        <v>589</v>
      </c>
      <c r="C768" s="2" t="s">
        <v>590</v>
      </c>
      <c r="D768" s="2" t="s">
        <v>587</v>
      </c>
      <c r="E768" s="2" t="s">
        <v>168</v>
      </c>
      <c r="F768" s="2" t="s">
        <v>152</v>
      </c>
      <c r="G768" s="2" t="s">
        <v>159</v>
      </c>
      <c r="H768" s="2" t="s">
        <v>152</v>
      </c>
      <c r="I768" s="2" t="s">
        <v>246</v>
      </c>
      <c r="J768" s="2" t="s">
        <v>132</v>
      </c>
      <c r="K768" s="2" t="s">
        <v>133</v>
      </c>
      <c r="L768" s="2" t="s">
        <v>29</v>
      </c>
      <c r="M768" s="2"/>
      <c r="N768" s="2" t="s">
        <v>246</v>
      </c>
      <c r="O768" s="2" t="s">
        <v>294</v>
      </c>
      <c r="P768" s="3">
        <v>303</v>
      </c>
      <c r="Q768" s="3">
        <v>303</v>
      </c>
      <c r="R768" s="4">
        <f t="shared" si="11"/>
        <v>606</v>
      </c>
      <c r="S768" s="2" t="s">
        <v>31</v>
      </c>
      <c r="T768" s="2"/>
    </row>
    <row r="769" spans="1:20" x14ac:dyDescent="0.3">
      <c r="A769" s="2" t="s">
        <v>901</v>
      </c>
      <c r="B769" s="2" t="s">
        <v>589</v>
      </c>
      <c r="C769" s="2" t="s">
        <v>590</v>
      </c>
      <c r="D769" s="2" t="s">
        <v>587</v>
      </c>
      <c r="E769" s="2" t="s">
        <v>168</v>
      </c>
      <c r="F769" s="2" t="s">
        <v>152</v>
      </c>
      <c r="G769" s="2" t="s">
        <v>159</v>
      </c>
      <c r="H769" s="2" t="s">
        <v>152</v>
      </c>
      <c r="I769" s="2" t="s">
        <v>282</v>
      </c>
      <c r="J769" s="2" t="s">
        <v>281</v>
      </c>
      <c r="K769" s="2" t="s">
        <v>38</v>
      </c>
      <c r="L769" s="2" t="s">
        <v>29</v>
      </c>
      <c r="M769" s="2"/>
      <c r="N769" s="2" t="s">
        <v>282</v>
      </c>
      <c r="O769" s="2" t="s">
        <v>283</v>
      </c>
      <c r="P769" s="3">
        <v>278</v>
      </c>
      <c r="Q769" s="3">
        <v>278</v>
      </c>
      <c r="R769" s="4">
        <f t="shared" si="11"/>
        <v>556</v>
      </c>
      <c r="S769" s="2" t="s">
        <v>31</v>
      </c>
      <c r="T769" s="2"/>
    </row>
    <row r="770" spans="1:20" x14ac:dyDescent="0.3">
      <c r="A770" s="2" t="s">
        <v>901</v>
      </c>
      <c r="B770" s="2" t="s">
        <v>589</v>
      </c>
      <c r="C770" s="2" t="s">
        <v>590</v>
      </c>
      <c r="D770" s="2" t="s">
        <v>587</v>
      </c>
      <c r="E770" s="2" t="s">
        <v>168</v>
      </c>
      <c r="F770" s="2" t="s">
        <v>152</v>
      </c>
      <c r="G770" s="2" t="s">
        <v>159</v>
      </c>
      <c r="H770" s="2" t="s">
        <v>152</v>
      </c>
      <c r="I770" s="2" t="s">
        <v>229</v>
      </c>
      <c r="J770" s="2" t="s">
        <v>230</v>
      </c>
      <c r="K770" s="2" t="s">
        <v>45</v>
      </c>
      <c r="L770" s="2" t="s">
        <v>29</v>
      </c>
      <c r="M770" s="2"/>
      <c r="N770" s="2" t="s">
        <v>229</v>
      </c>
      <c r="O770" s="2" t="s">
        <v>289</v>
      </c>
      <c r="P770" s="3">
        <v>351</v>
      </c>
      <c r="Q770" s="3">
        <v>351</v>
      </c>
      <c r="R770" s="4">
        <f t="shared" ref="R770:R833" si="12">IF(P770="","",P770+Q770)</f>
        <v>702</v>
      </c>
      <c r="S770" s="2" t="s">
        <v>31</v>
      </c>
      <c r="T770" s="2"/>
    </row>
    <row r="771" spans="1:20" x14ac:dyDescent="0.3">
      <c r="A771" s="2" t="s">
        <v>901</v>
      </c>
      <c r="B771" s="2" t="s">
        <v>589</v>
      </c>
      <c r="C771" s="2" t="s">
        <v>590</v>
      </c>
      <c r="D771" s="2" t="s">
        <v>587</v>
      </c>
      <c r="E771" s="2" t="s">
        <v>168</v>
      </c>
      <c r="F771" s="2" t="s">
        <v>152</v>
      </c>
      <c r="G771" s="2" t="s">
        <v>159</v>
      </c>
      <c r="H771" s="2" t="s">
        <v>152</v>
      </c>
      <c r="I771" s="2" t="s">
        <v>420</v>
      </c>
      <c r="J771" s="2" t="s">
        <v>26</v>
      </c>
      <c r="K771" s="2" t="s">
        <v>38</v>
      </c>
      <c r="L771" s="2" t="s">
        <v>29</v>
      </c>
      <c r="M771" s="2"/>
      <c r="N771" s="2" t="s">
        <v>420</v>
      </c>
      <c r="O771" s="2" t="s">
        <v>869</v>
      </c>
      <c r="P771" s="3">
        <v>206</v>
      </c>
      <c r="Q771" s="3">
        <v>206</v>
      </c>
      <c r="R771" s="4">
        <f t="shared" si="12"/>
        <v>412</v>
      </c>
      <c r="S771" s="2" t="s">
        <v>31</v>
      </c>
      <c r="T771" s="2"/>
    </row>
    <row r="772" spans="1:20" x14ac:dyDescent="0.3">
      <c r="A772" s="2" t="s">
        <v>901</v>
      </c>
      <c r="B772" s="2" t="s">
        <v>589</v>
      </c>
      <c r="C772" s="2" t="s">
        <v>590</v>
      </c>
      <c r="D772" s="2" t="s">
        <v>587</v>
      </c>
      <c r="E772" s="2" t="s">
        <v>168</v>
      </c>
      <c r="F772" s="2" t="s">
        <v>152</v>
      </c>
      <c r="G772" s="2" t="s">
        <v>159</v>
      </c>
      <c r="H772" s="2" t="s">
        <v>152</v>
      </c>
      <c r="I772" s="2" t="s">
        <v>284</v>
      </c>
      <c r="J772" s="2" t="s">
        <v>285</v>
      </c>
      <c r="K772" s="2" t="s">
        <v>38</v>
      </c>
      <c r="L772" s="2" t="s">
        <v>29</v>
      </c>
      <c r="M772" s="2"/>
      <c r="N772" s="2" t="s">
        <v>286</v>
      </c>
      <c r="O772" s="2" t="s">
        <v>287</v>
      </c>
      <c r="P772" s="3">
        <v>243</v>
      </c>
      <c r="Q772" s="3">
        <v>243</v>
      </c>
      <c r="R772" s="4">
        <f t="shared" si="12"/>
        <v>486</v>
      </c>
      <c r="S772" s="2" t="s">
        <v>31</v>
      </c>
      <c r="T772" s="2"/>
    </row>
    <row r="773" spans="1:20" x14ac:dyDescent="0.3">
      <c r="A773" s="2" t="s">
        <v>901</v>
      </c>
      <c r="B773" s="2" t="s">
        <v>589</v>
      </c>
      <c r="C773" s="2" t="s">
        <v>590</v>
      </c>
      <c r="D773" s="2" t="s">
        <v>587</v>
      </c>
      <c r="E773" s="2" t="s">
        <v>168</v>
      </c>
      <c r="F773" s="2" t="s">
        <v>152</v>
      </c>
      <c r="G773" s="2" t="s">
        <v>159</v>
      </c>
      <c r="H773" s="2" t="s">
        <v>152</v>
      </c>
      <c r="I773" s="2" t="s">
        <v>212</v>
      </c>
      <c r="J773" s="2" t="s">
        <v>37</v>
      </c>
      <c r="K773" s="2" t="s">
        <v>38</v>
      </c>
      <c r="L773" s="2" t="s">
        <v>29</v>
      </c>
      <c r="M773" s="2"/>
      <c r="N773" s="2" t="s">
        <v>212</v>
      </c>
      <c r="O773" s="2" t="s">
        <v>557</v>
      </c>
      <c r="P773" s="3">
        <v>85</v>
      </c>
      <c r="Q773" s="3">
        <v>85</v>
      </c>
      <c r="R773" s="4">
        <f t="shared" si="12"/>
        <v>170</v>
      </c>
      <c r="S773" s="2" t="s">
        <v>31</v>
      </c>
      <c r="T773" s="2"/>
    </row>
    <row r="774" spans="1:20" x14ac:dyDescent="0.3">
      <c r="A774" s="2" t="s">
        <v>901</v>
      </c>
      <c r="B774" s="2" t="s">
        <v>589</v>
      </c>
      <c r="C774" s="2" t="s">
        <v>590</v>
      </c>
      <c r="D774" s="2" t="s">
        <v>587</v>
      </c>
      <c r="E774" s="2" t="s">
        <v>168</v>
      </c>
      <c r="F774" s="2" t="s">
        <v>152</v>
      </c>
      <c r="G774" s="2" t="s">
        <v>159</v>
      </c>
      <c r="H774" s="2" t="s">
        <v>152</v>
      </c>
      <c r="I774" s="2" t="s">
        <v>870</v>
      </c>
      <c r="J774" s="2" t="s">
        <v>285</v>
      </c>
      <c r="K774" s="2" t="s">
        <v>38</v>
      </c>
      <c r="L774" s="2" t="s">
        <v>29</v>
      </c>
      <c r="M774" s="2"/>
      <c r="N774" s="2" t="s">
        <v>871</v>
      </c>
      <c r="O774" s="2" t="s">
        <v>872</v>
      </c>
      <c r="P774" s="3">
        <v>215</v>
      </c>
      <c r="Q774" s="3">
        <v>215</v>
      </c>
      <c r="R774" s="4">
        <f t="shared" si="12"/>
        <v>430</v>
      </c>
      <c r="S774" s="2" t="s">
        <v>31</v>
      </c>
      <c r="T774" s="2"/>
    </row>
    <row r="775" spans="1:20" x14ac:dyDescent="0.3">
      <c r="A775" s="2" t="s">
        <v>901</v>
      </c>
      <c r="B775" s="2" t="s">
        <v>589</v>
      </c>
      <c r="C775" s="2" t="s">
        <v>590</v>
      </c>
      <c r="D775" s="2" t="s">
        <v>587</v>
      </c>
      <c r="E775" s="2" t="s">
        <v>168</v>
      </c>
      <c r="F775" s="2" t="s">
        <v>152</v>
      </c>
      <c r="G775" s="2" t="s">
        <v>159</v>
      </c>
      <c r="H775" s="2" t="s">
        <v>152</v>
      </c>
      <c r="I775" s="2" t="s">
        <v>25</v>
      </c>
      <c r="J775" s="2" t="s">
        <v>26</v>
      </c>
      <c r="K775" s="2" t="s">
        <v>38</v>
      </c>
      <c r="L775" s="2" t="s">
        <v>29</v>
      </c>
      <c r="M775" s="2"/>
      <c r="N775" s="2" t="s">
        <v>25</v>
      </c>
      <c r="O775" s="2" t="s">
        <v>165</v>
      </c>
      <c r="P775" s="3">
        <v>124</v>
      </c>
      <c r="Q775" s="3">
        <v>124</v>
      </c>
      <c r="R775" s="4">
        <f t="shared" si="12"/>
        <v>248</v>
      </c>
      <c r="S775" s="2" t="s">
        <v>40</v>
      </c>
      <c r="T775" s="2"/>
    </row>
    <row r="776" spans="1:20" x14ac:dyDescent="0.3">
      <c r="A776" s="2" t="s">
        <v>901</v>
      </c>
      <c r="B776" s="2" t="s">
        <v>589</v>
      </c>
      <c r="C776" s="2" t="s">
        <v>590</v>
      </c>
      <c r="D776" s="2" t="s">
        <v>587</v>
      </c>
      <c r="E776" s="2" t="s">
        <v>168</v>
      </c>
      <c r="F776" s="2" t="s">
        <v>152</v>
      </c>
      <c r="G776" s="2" t="s">
        <v>159</v>
      </c>
      <c r="H776" s="2" t="s">
        <v>152</v>
      </c>
      <c r="I776" s="2" t="s">
        <v>292</v>
      </c>
      <c r="J776" s="2" t="s">
        <v>37</v>
      </c>
      <c r="K776" s="2" t="s">
        <v>38</v>
      </c>
      <c r="L776" s="2" t="s">
        <v>29</v>
      </c>
      <c r="M776" s="2"/>
      <c r="N776" s="2" t="s">
        <v>292</v>
      </c>
      <c r="O776" s="2" t="s">
        <v>293</v>
      </c>
      <c r="P776" s="3">
        <v>85</v>
      </c>
      <c r="Q776" s="3">
        <v>85</v>
      </c>
      <c r="R776" s="4">
        <f t="shared" si="12"/>
        <v>170</v>
      </c>
      <c r="S776" s="2" t="s">
        <v>31</v>
      </c>
      <c r="T776" s="2"/>
    </row>
    <row r="777" spans="1:20" x14ac:dyDescent="0.3">
      <c r="A777" s="2" t="s">
        <v>901</v>
      </c>
      <c r="B777" s="2" t="s">
        <v>589</v>
      </c>
      <c r="C777" s="2" t="s">
        <v>590</v>
      </c>
      <c r="D777" s="2" t="s">
        <v>587</v>
      </c>
      <c r="E777" s="2" t="s">
        <v>168</v>
      </c>
      <c r="F777" s="2" t="s">
        <v>152</v>
      </c>
      <c r="G777" s="2" t="s">
        <v>159</v>
      </c>
      <c r="H777" s="2" t="s">
        <v>152</v>
      </c>
      <c r="I777" s="2" t="s">
        <v>204</v>
      </c>
      <c r="J777" s="2" t="s">
        <v>37</v>
      </c>
      <c r="K777" s="2" t="s">
        <v>38</v>
      </c>
      <c r="L777" s="2" t="s">
        <v>29</v>
      </c>
      <c r="M777" s="2"/>
      <c r="N777" s="2" t="s">
        <v>204</v>
      </c>
      <c r="O777" s="2" t="s">
        <v>558</v>
      </c>
      <c r="P777" s="3">
        <v>55</v>
      </c>
      <c r="Q777" s="3">
        <v>55</v>
      </c>
      <c r="R777" s="4">
        <f t="shared" si="12"/>
        <v>110</v>
      </c>
      <c r="S777" s="2" t="s">
        <v>31</v>
      </c>
      <c r="T777" s="2"/>
    </row>
    <row r="778" spans="1:20" x14ac:dyDescent="0.3">
      <c r="A778" s="2" t="s">
        <v>901</v>
      </c>
      <c r="B778" s="2" t="s">
        <v>589</v>
      </c>
      <c r="C778" s="2" t="s">
        <v>590</v>
      </c>
      <c r="D778" s="2" t="s">
        <v>587</v>
      </c>
      <c r="E778" s="2" t="s">
        <v>168</v>
      </c>
      <c r="F778" s="2" t="s">
        <v>152</v>
      </c>
      <c r="G778" s="2" t="s">
        <v>159</v>
      </c>
      <c r="H778" s="2" t="s">
        <v>152</v>
      </c>
      <c r="I778" s="2" t="s">
        <v>873</v>
      </c>
      <c r="J778" s="2" t="s">
        <v>37</v>
      </c>
      <c r="K778" s="2" t="s">
        <v>38</v>
      </c>
      <c r="L778" s="2" t="s">
        <v>29</v>
      </c>
      <c r="M778" s="2"/>
      <c r="N778" s="2" t="s">
        <v>292</v>
      </c>
      <c r="O778" s="2" t="s">
        <v>293</v>
      </c>
      <c r="P778" s="3">
        <v>85</v>
      </c>
      <c r="Q778" s="3">
        <v>85</v>
      </c>
      <c r="R778" s="4">
        <f t="shared" si="12"/>
        <v>170</v>
      </c>
      <c r="S778" s="2" t="s">
        <v>31</v>
      </c>
      <c r="T778" s="2"/>
    </row>
    <row r="779" spans="1:20" x14ac:dyDescent="0.3">
      <c r="A779" s="2" t="s">
        <v>902</v>
      </c>
      <c r="B779" s="2" t="s">
        <v>684</v>
      </c>
      <c r="C779" s="2" t="s">
        <v>590</v>
      </c>
      <c r="D779" s="2" t="s">
        <v>587</v>
      </c>
      <c r="E779" s="2" t="s">
        <v>168</v>
      </c>
      <c r="F779" s="2" t="s">
        <v>152</v>
      </c>
      <c r="G779" s="2" t="s">
        <v>159</v>
      </c>
      <c r="H779" s="2" t="s">
        <v>152</v>
      </c>
      <c r="I779" s="2" t="s">
        <v>573</v>
      </c>
      <c r="J779" s="2" t="s">
        <v>152</v>
      </c>
      <c r="K779" s="2" t="s">
        <v>38</v>
      </c>
      <c r="L779" s="2" t="s">
        <v>127</v>
      </c>
      <c r="M779" s="2" t="s">
        <v>574</v>
      </c>
      <c r="N779" s="2" t="s">
        <v>573</v>
      </c>
      <c r="O779" s="2" t="s">
        <v>575</v>
      </c>
      <c r="P779" s="3">
        <v>30</v>
      </c>
      <c r="Q779" s="3">
        <v>30</v>
      </c>
      <c r="R779" s="4">
        <f t="shared" si="12"/>
        <v>60</v>
      </c>
      <c r="S779" s="2" t="s">
        <v>31</v>
      </c>
      <c r="T779" s="2"/>
    </row>
    <row r="780" spans="1:20" x14ac:dyDescent="0.3">
      <c r="A780" s="2" t="s">
        <v>902</v>
      </c>
      <c r="B780" s="2" t="s">
        <v>684</v>
      </c>
      <c r="C780" s="2" t="s">
        <v>590</v>
      </c>
      <c r="D780" s="2" t="s">
        <v>587</v>
      </c>
      <c r="E780" s="2" t="s">
        <v>168</v>
      </c>
      <c r="F780" s="2" t="s">
        <v>152</v>
      </c>
      <c r="G780" s="2" t="s">
        <v>159</v>
      </c>
      <c r="H780" s="2" t="s">
        <v>152</v>
      </c>
      <c r="I780" s="2" t="s">
        <v>307</v>
      </c>
      <c r="J780" s="2" t="s">
        <v>152</v>
      </c>
      <c r="K780" s="2" t="s">
        <v>38</v>
      </c>
      <c r="L780" s="2" t="s">
        <v>127</v>
      </c>
      <c r="M780" s="2" t="s">
        <v>186</v>
      </c>
      <c r="N780" s="2" t="s">
        <v>307</v>
      </c>
      <c r="O780" s="2" t="s">
        <v>308</v>
      </c>
      <c r="P780" s="3">
        <v>34</v>
      </c>
      <c r="Q780" s="3">
        <v>34</v>
      </c>
      <c r="R780" s="4">
        <f t="shared" si="12"/>
        <v>68</v>
      </c>
      <c r="S780" s="2" t="s">
        <v>31</v>
      </c>
      <c r="T780" s="2"/>
    </row>
    <row r="781" spans="1:20" x14ac:dyDescent="0.3">
      <c r="A781" s="2" t="s">
        <v>902</v>
      </c>
      <c r="B781" s="2" t="s">
        <v>684</v>
      </c>
      <c r="C781" s="2" t="s">
        <v>590</v>
      </c>
      <c r="D781" s="2" t="s">
        <v>587</v>
      </c>
      <c r="E781" s="2" t="s">
        <v>168</v>
      </c>
      <c r="F781" s="2" t="s">
        <v>152</v>
      </c>
      <c r="G781" s="2" t="s">
        <v>159</v>
      </c>
      <c r="H781" s="2" t="s">
        <v>152</v>
      </c>
      <c r="I781" s="2" t="s">
        <v>874</v>
      </c>
      <c r="J781" s="2" t="s">
        <v>152</v>
      </c>
      <c r="K781" s="2" t="s">
        <v>38</v>
      </c>
      <c r="L781" s="2" t="s">
        <v>127</v>
      </c>
      <c r="M781" s="2" t="s">
        <v>186</v>
      </c>
      <c r="N781" s="2" t="s">
        <v>874</v>
      </c>
      <c r="O781" s="2" t="s">
        <v>875</v>
      </c>
      <c r="P781" s="3">
        <v>32</v>
      </c>
      <c r="Q781" s="3">
        <v>32</v>
      </c>
      <c r="R781" s="4">
        <f t="shared" si="12"/>
        <v>64</v>
      </c>
      <c r="S781" s="2" t="s">
        <v>31</v>
      </c>
      <c r="T781" s="2"/>
    </row>
    <row r="782" spans="1:20" x14ac:dyDescent="0.3">
      <c r="A782" s="2" t="s">
        <v>902</v>
      </c>
      <c r="B782" s="2" t="s">
        <v>684</v>
      </c>
      <c r="C782" s="2" t="s">
        <v>590</v>
      </c>
      <c r="D782" s="2" t="s">
        <v>587</v>
      </c>
      <c r="E782" s="2" t="s">
        <v>168</v>
      </c>
      <c r="F782" s="2" t="s">
        <v>152</v>
      </c>
      <c r="G782" s="2" t="s">
        <v>159</v>
      </c>
      <c r="H782" s="2" t="s">
        <v>152</v>
      </c>
      <c r="I782" s="2" t="s">
        <v>206</v>
      </c>
      <c r="J782" s="2" t="s">
        <v>37</v>
      </c>
      <c r="K782" s="2" t="s">
        <v>38</v>
      </c>
      <c r="L782" s="2" t="s">
        <v>29</v>
      </c>
      <c r="M782" s="2"/>
      <c r="N782" s="2" t="s">
        <v>206</v>
      </c>
      <c r="O782" s="2" t="s">
        <v>876</v>
      </c>
      <c r="P782" s="3">
        <v>39</v>
      </c>
      <c r="Q782" s="3">
        <v>39</v>
      </c>
      <c r="R782" s="4">
        <f t="shared" si="12"/>
        <v>78</v>
      </c>
      <c r="S782" s="2" t="s">
        <v>31</v>
      </c>
      <c r="T782" s="2"/>
    </row>
    <row r="783" spans="1:20" x14ac:dyDescent="0.3">
      <c r="A783" s="2" t="s">
        <v>902</v>
      </c>
      <c r="B783" s="2" t="s">
        <v>684</v>
      </c>
      <c r="C783" s="2" t="s">
        <v>590</v>
      </c>
      <c r="D783" s="2" t="s">
        <v>587</v>
      </c>
      <c r="E783" s="2" t="s">
        <v>168</v>
      </c>
      <c r="F783" s="2" t="s">
        <v>152</v>
      </c>
      <c r="G783" s="2" t="s">
        <v>159</v>
      </c>
      <c r="H783" s="2" t="s">
        <v>152</v>
      </c>
      <c r="I783" s="2" t="s">
        <v>559</v>
      </c>
      <c r="J783" s="2" t="s">
        <v>37</v>
      </c>
      <c r="K783" s="2" t="s">
        <v>38</v>
      </c>
      <c r="L783" s="2" t="s">
        <v>29</v>
      </c>
      <c r="M783" s="2"/>
      <c r="N783" s="2" t="s">
        <v>559</v>
      </c>
      <c r="O783" s="2" t="s">
        <v>560</v>
      </c>
      <c r="P783" s="3">
        <v>24</v>
      </c>
      <c r="Q783" s="3">
        <v>24</v>
      </c>
      <c r="R783" s="4">
        <f t="shared" si="12"/>
        <v>48</v>
      </c>
      <c r="S783" s="2" t="s">
        <v>31</v>
      </c>
      <c r="T783" s="2"/>
    </row>
    <row r="784" spans="1:20" x14ac:dyDescent="0.3">
      <c r="A784" s="2" t="s">
        <v>902</v>
      </c>
      <c r="B784" s="2" t="s">
        <v>684</v>
      </c>
      <c r="C784" s="2" t="s">
        <v>590</v>
      </c>
      <c r="D784" s="2" t="s">
        <v>587</v>
      </c>
      <c r="E784" s="2" t="s">
        <v>168</v>
      </c>
      <c r="F784" s="2" t="s">
        <v>152</v>
      </c>
      <c r="G784" s="2" t="s">
        <v>159</v>
      </c>
      <c r="H784" s="2" t="s">
        <v>152</v>
      </c>
      <c r="I784" s="2" t="s">
        <v>877</v>
      </c>
      <c r="J784" s="2" t="s">
        <v>152</v>
      </c>
      <c r="K784" s="2" t="s">
        <v>38</v>
      </c>
      <c r="L784" s="2" t="s">
        <v>127</v>
      </c>
      <c r="M784" s="2" t="s">
        <v>186</v>
      </c>
      <c r="N784" s="2" t="s">
        <v>877</v>
      </c>
      <c r="O784" s="2" t="s">
        <v>878</v>
      </c>
      <c r="P784" s="3">
        <v>25</v>
      </c>
      <c r="Q784" s="3">
        <v>25</v>
      </c>
      <c r="R784" s="4">
        <f t="shared" si="12"/>
        <v>50</v>
      </c>
      <c r="S784" s="2" t="s">
        <v>31</v>
      </c>
      <c r="T784" s="2"/>
    </row>
    <row r="785" spans="1:20" x14ac:dyDescent="0.3">
      <c r="A785" s="2" t="s">
        <v>902</v>
      </c>
      <c r="B785" s="2" t="s">
        <v>684</v>
      </c>
      <c r="C785" s="2" t="s">
        <v>590</v>
      </c>
      <c r="D785" s="2" t="s">
        <v>587</v>
      </c>
      <c r="E785" s="2" t="s">
        <v>168</v>
      </c>
      <c r="F785" s="2" t="s">
        <v>152</v>
      </c>
      <c r="G785" s="2" t="s">
        <v>159</v>
      </c>
      <c r="H785" s="2" t="s">
        <v>152</v>
      </c>
      <c r="I785" s="2" t="s">
        <v>192</v>
      </c>
      <c r="J785" s="2" t="s">
        <v>37</v>
      </c>
      <c r="K785" s="2" t="s">
        <v>38</v>
      </c>
      <c r="L785" s="2" t="s">
        <v>29</v>
      </c>
      <c r="M785" s="2"/>
      <c r="N785" s="2" t="s">
        <v>192</v>
      </c>
      <c r="O785" s="2" t="s">
        <v>514</v>
      </c>
      <c r="P785" s="3">
        <v>31</v>
      </c>
      <c r="Q785" s="3">
        <v>31</v>
      </c>
      <c r="R785" s="4">
        <f t="shared" si="12"/>
        <v>62</v>
      </c>
      <c r="S785" s="2" t="s">
        <v>31</v>
      </c>
      <c r="T785" s="2"/>
    </row>
    <row r="786" spans="1:20" x14ac:dyDescent="0.3">
      <c r="A786" s="2" t="s">
        <v>902</v>
      </c>
      <c r="B786" s="2" t="s">
        <v>684</v>
      </c>
      <c r="C786" s="2" t="s">
        <v>590</v>
      </c>
      <c r="D786" s="2" t="s">
        <v>587</v>
      </c>
      <c r="E786" s="2" t="s">
        <v>168</v>
      </c>
      <c r="F786" s="2" t="s">
        <v>152</v>
      </c>
      <c r="G786" s="2" t="s">
        <v>159</v>
      </c>
      <c r="H786" s="2" t="s">
        <v>152</v>
      </c>
      <c r="I786" s="2" t="s">
        <v>224</v>
      </c>
      <c r="J786" s="2" t="s">
        <v>152</v>
      </c>
      <c r="K786" s="2" t="s">
        <v>38</v>
      </c>
      <c r="L786" s="2" t="s">
        <v>127</v>
      </c>
      <c r="M786" s="2" t="s">
        <v>225</v>
      </c>
      <c r="N786" s="2" t="s">
        <v>224</v>
      </c>
      <c r="O786" s="2" t="s">
        <v>576</v>
      </c>
      <c r="P786" s="3">
        <v>21</v>
      </c>
      <c r="Q786" s="3">
        <v>21</v>
      </c>
      <c r="R786" s="4">
        <f t="shared" si="12"/>
        <v>42</v>
      </c>
      <c r="S786" s="2" t="s">
        <v>31</v>
      </c>
      <c r="T786" s="2"/>
    </row>
    <row r="787" spans="1:20" x14ac:dyDescent="0.3">
      <c r="A787" s="2" t="s">
        <v>902</v>
      </c>
      <c r="B787" s="2" t="s">
        <v>684</v>
      </c>
      <c r="C787" s="2" t="s">
        <v>590</v>
      </c>
      <c r="D787" s="2" t="s">
        <v>587</v>
      </c>
      <c r="E787" s="2" t="s">
        <v>168</v>
      </c>
      <c r="F787" s="2" t="s">
        <v>152</v>
      </c>
      <c r="G787" s="2" t="s">
        <v>159</v>
      </c>
      <c r="H787" s="2" t="s">
        <v>152</v>
      </c>
      <c r="I787" s="2" t="s">
        <v>522</v>
      </c>
      <c r="J787" s="2" t="s">
        <v>152</v>
      </c>
      <c r="K787" s="2" t="s">
        <v>38</v>
      </c>
      <c r="L787" s="2" t="s">
        <v>127</v>
      </c>
      <c r="M787" s="2" t="s">
        <v>188</v>
      </c>
      <c r="N787" s="2" t="s">
        <v>522</v>
      </c>
      <c r="O787" s="2" t="s">
        <v>523</v>
      </c>
      <c r="P787" s="3">
        <v>21</v>
      </c>
      <c r="Q787" s="3">
        <v>21</v>
      </c>
      <c r="R787" s="4">
        <f t="shared" si="12"/>
        <v>42</v>
      </c>
      <c r="S787" s="2" t="s">
        <v>31</v>
      </c>
      <c r="T787" s="2"/>
    </row>
    <row r="788" spans="1:20" x14ac:dyDescent="0.3">
      <c r="A788" s="2" t="s">
        <v>902</v>
      </c>
      <c r="B788" s="2" t="s">
        <v>684</v>
      </c>
      <c r="C788" s="2" t="s">
        <v>590</v>
      </c>
      <c r="D788" s="2" t="s">
        <v>587</v>
      </c>
      <c r="E788" s="2" t="s">
        <v>168</v>
      </c>
      <c r="F788" s="2" t="s">
        <v>152</v>
      </c>
      <c r="G788" s="2" t="s">
        <v>159</v>
      </c>
      <c r="H788" s="2" t="s">
        <v>152</v>
      </c>
      <c r="I788" s="2" t="s">
        <v>550</v>
      </c>
      <c r="J788" s="2" t="s">
        <v>152</v>
      </c>
      <c r="K788" s="2" t="s">
        <v>38</v>
      </c>
      <c r="L788" s="2" t="s">
        <v>127</v>
      </c>
      <c r="M788" s="2" t="s">
        <v>550</v>
      </c>
      <c r="N788" s="2" t="s">
        <v>550</v>
      </c>
      <c r="O788" s="2" t="s">
        <v>551</v>
      </c>
      <c r="P788" s="3">
        <v>20</v>
      </c>
      <c r="Q788" s="3">
        <v>20</v>
      </c>
      <c r="R788" s="4">
        <f t="shared" si="12"/>
        <v>40</v>
      </c>
      <c r="S788" s="2" t="s">
        <v>31</v>
      </c>
      <c r="T788" s="2"/>
    </row>
    <row r="789" spans="1:20" x14ac:dyDescent="0.3">
      <c r="A789" s="2" t="s">
        <v>902</v>
      </c>
      <c r="B789" s="2" t="s">
        <v>684</v>
      </c>
      <c r="C789" s="2" t="s">
        <v>590</v>
      </c>
      <c r="D789" s="2" t="s">
        <v>587</v>
      </c>
      <c r="E789" s="2" t="s">
        <v>168</v>
      </c>
      <c r="F789" s="2" t="s">
        <v>152</v>
      </c>
      <c r="G789" s="2" t="s">
        <v>159</v>
      </c>
      <c r="H789" s="2" t="s">
        <v>152</v>
      </c>
      <c r="I789" s="2" t="s">
        <v>577</v>
      </c>
      <c r="J789" s="2" t="s">
        <v>152</v>
      </c>
      <c r="K789" s="2" t="s">
        <v>38</v>
      </c>
      <c r="L789" s="2" t="s">
        <v>127</v>
      </c>
      <c r="M789" s="2" t="s">
        <v>225</v>
      </c>
      <c r="N789" s="2" t="s">
        <v>577</v>
      </c>
      <c r="O789" s="2" t="s">
        <v>578</v>
      </c>
      <c r="P789" s="3">
        <v>20</v>
      </c>
      <c r="Q789" s="3">
        <v>20</v>
      </c>
      <c r="R789" s="4">
        <f t="shared" si="12"/>
        <v>40</v>
      </c>
      <c r="S789" s="2" t="s">
        <v>31</v>
      </c>
      <c r="T789" s="2"/>
    </row>
    <row r="790" spans="1:20" x14ac:dyDescent="0.3">
      <c r="A790" s="2" t="s">
        <v>902</v>
      </c>
      <c r="B790" s="2" t="s">
        <v>684</v>
      </c>
      <c r="C790" s="2" t="s">
        <v>590</v>
      </c>
      <c r="D790" s="2" t="s">
        <v>587</v>
      </c>
      <c r="E790" s="2" t="s">
        <v>168</v>
      </c>
      <c r="F790" s="2" t="s">
        <v>152</v>
      </c>
      <c r="G790" s="2" t="s">
        <v>159</v>
      </c>
      <c r="H790" s="2" t="s">
        <v>152</v>
      </c>
      <c r="I790" s="2" t="s">
        <v>579</v>
      </c>
      <c r="J790" s="2" t="s">
        <v>152</v>
      </c>
      <c r="K790" s="2" t="s">
        <v>38</v>
      </c>
      <c r="L790" s="2" t="s">
        <v>127</v>
      </c>
      <c r="M790" s="2" t="s">
        <v>225</v>
      </c>
      <c r="N790" s="2" t="s">
        <v>579</v>
      </c>
      <c r="O790" s="2" t="s">
        <v>580</v>
      </c>
      <c r="P790" s="3">
        <v>21</v>
      </c>
      <c r="Q790" s="3">
        <v>21</v>
      </c>
      <c r="R790" s="4">
        <f t="shared" si="12"/>
        <v>42</v>
      </c>
      <c r="S790" s="2" t="s">
        <v>31</v>
      </c>
      <c r="T790" s="2"/>
    </row>
    <row r="791" spans="1:20" x14ac:dyDescent="0.3">
      <c r="A791" s="2" t="s">
        <v>902</v>
      </c>
      <c r="B791" s="2" t="s">
        <v>684</v>
      </c>
      <c r="C791" s="2" t="s">
        <v>590</v>
      </c>
      <c r="D791" s="2" t="s">
        <v>587</v>
      </c>
      <c r="E791" s="2" t="s">
        <v>168</v>
      </c>
      <c r="F791" s="2" t="s">
        <v>152</v>
      </c>
      <c r="G791" s="2" t="s">
        <v>159</v>
      </c>
      <c r="H791" s="2" t="s">
        <v>152</v>
      </c>
      <c r="I791" s="2" t="s">
        <v>497</v>
      </c>
      <c r="J791" s="2" t="s">
        <v>152</v>
      </c>
      <c r="K791" s="2" t="s">
        <v>38</v>
      </c>
      <c r="L791" s="2" t="s">
        <v>127</v>
      </c>
      <c r="M791" s="2" t="s">
        <v>225</v>
      </c>
      <c r="N791" s="2" t="s">
        <v>497</v>
      </c>
      <c r="O791" s="2" t="s">
        <v>554</v>
      </c>
      <c r="P791" s="3">
        <v>16</v>
      </c>
      <c r="Q791" s="3">
        <v>16</v>
      </c>
      <c r="R791" s="4">
        <f t="shared" si="12"/>
        <v>32</v>
      </c>
      <c r="S791" s="2" t="s">
        <v>31</v>
      </c>
      <c r="T791" s="2"/>
    </row>
    <row r="792" spans="1:20" x14ac:dyDescent="0.3">
      <c r="A792" s="2" t="s">
        <v>902</v>
      </c>
      <c r="B792" s="2" t="s">
        <v>684</v>
      </c>
      <c r="C792" s="2" t="s">
        <v>590</v>
      </c>
      <c r="D792" s="2" t="s">
        <v>587</v>
      </c>
      <c r="E792" s="2" t="s">
        <v>168</v>
      </c>
      <c r="F792" s="2" t="s">
        <v>152</v>
      </c>
      <c r="G792" s="2" t="s">
        <v>159</v>
      </c>
      <c r="H792" s="2" t="s">
        <v>152</v>
      </c>
      <c r="I792" s="2" t="s">
        <v>515</v>
      </c>
      <c r="J792" s="2" t="s">
        <v>152</v>
      </c>
      <c r="K792" s="2" t="s">
        <v>38</v>
      </c>
      <c r="L792" s="2" t="s">
        <v>127</v>
      </c>
      <c r="M792" s="2" t="s">
        <v>188</v>
      </c>
      <c r="N792" s="2" t="s">
        <v>515</v>
      </c>
      <c r="O792" s="2" t="s">
        <v>516</v>
      </c>
      <c r="P792" s="3">
        <v>19</v>
      </c>
      <c r="Q792" s="3">
        <v>19</v>
      </c>
      <c r="R792" s="4">
        <f t="shared" si="12"/>
        <v>38</v>
      </c>
      <c r="S792" s="2" t="s">
        <v>31</v>
      </c>
      <c r="T792" s="2"/>
    </row>
    <row r="793" spans="1:20" x14ac:dyDescent="0.3">
      <c r="A793" s="2" t="s">
        <v>902</v>
      </c>
      <c r="B793" s="2" t="s">
        <v>684</v>
      </c>
      <c r="C793" s="2" t="s">
        <v>590</v>
      </c>
      <c r="D793" s="2" t="s">
        <v>587</v>
      </c>
      <c r="E793" s="2" t="s">
        <v>168</v>
      </c>
      <c r="F793" s="2" t="s">
        <v>152</v>
      </c>
      <c r="G793" s="2" t="s">
        <v>159</v>
      </c>
      <c r="H793" s="2" t="s">
        <v>152</v>
      </c>
      <c r="I793" s="2" t="s">
        <v>879</v>
      </c>
      <c r="J793" s="2" t="s">
        <v>152</v>
      </c>
      <c r="K793" s="2" t="s">
        <v>38</v>
      </c>
      <c r="L793" s="2" t="s">
        <v>127</v>
      </c>
      <c r="M793" s="2" t="s">
        <v>225</v>
      </c>
      <c r="N793" s="2" t="s">
        <v>879</v>
      </c>
      <c r="O793" s="2" t="s">
        <v>880</v>
      </c>
      <c r="P793" s="3">
        <v>22</v>
      </c>
      <c r="Q793" s="3">
        <v>22</v>
      </c>
      <c r="R793" s="4">
        <f t="shared" si="12"/>
        <v>44</v>
      </c>
      <c r="S793" s="2" t="s">
        <v>31</v>
      </c>
      <c r="T793" s="2"/>
    </row>
    <row r="794" spans="1:20" x14ac:dyDescent="0.3">
      <c r="A794" s="2" t="s">
        <v>902</v>
      </c>
      <c r="B794" s="2" t="s">
        <v>684</v>
      </c>
      <c r="C794" s="2" t="s">
        <v>590</v>
      </c>
      <c r="D794" s="2" t="s">
        <v>587</v>
      </c>
      <c r="E794" s="2" t="s">
        <v>168</v>
      </c>
      <c r="F794" s="2" t="s">
        <v>152</v>
      </c>
      <c r="G794" s="2" t="s">
        <v>159</v>
      </c>
      <c r="H794" s="2" t="s">
        <v>152</v>
      </c>
      <c r="I794" s="2" t="s">
        <v>881</v>
      </c>
      <c r="J794" s="2" t="s">
        <v>152</v>
      </c>
      <c r="K794" s="2" t="s">
        <v>38</v>
      </c>
      <c r="L794" s="2" t="s">
        <v>127</v>
      </c>
      <c r="M794" s="2" t="s">
        <v>225</v>
      </c>
      <c r="N794" s="2" t="s">
        <v>881</v>
      </c>
      <c r="O794" s="2" t="s">
        <v>882</v>
      </c>
      <c r="P794" s="3">
        <v>20</v>
      </c>
      <c r="Q794" s="3">
        <v>20</v>
      </c>
      <c r="R794" s="4">
        <f t="shared" si="12"/>
        <v>40</v>
      </c>
      <c r="S794" s="2" t="s">
        <v>31</v>
      </c>
      <c r="T794" s="2"/>
    </row>
    <row r="795" spans="1:20" x14ac:dyDescent="0.3">
      <c r="A795" s="2" t="s">
        <v>902</v>
      </c>
      <c r="B795" s="2" t="s">
        <v>684</v>
      </c>
      <c r="C795" s="2" t="s">
        <v>590</v>
      </c>
      <c r="D795" s="2" t="s">
        <v>587</v>
      </c>
      <c r="E795" s="2" t="s">
        <v>168</v>
      </c>
      <c r="F795" s="2" t="s">
        <v>152</v>
      </c>
      <c r="G795" s="2" t="s">
        <v>159</v>
      </c>
      <c r="H795" s="2" t="s">
        <v>152</v>
      </c>
      <c r="I795" s="2" t="s">
        <v>540</v>
      </c>
      <c r="J795" s="2" t="s">
        <v>152</v>
      </c>
      <c r="K795" s="2" t="s">
        <v>38</v>
      </c>
      <c r="L795" s="2" t="s">
        <v>127</v>
      </c>
      <c r="M795" s="2" t="s">
        <v>188</v>
      </c>
      <c r="N795" s="2" t="s">
        <v>540</v>
      </c>
      <c r="O795" s="2" t="s">
        <v>541</v>
      </c>
      <c r="P795" s="3">
        <v>7</v>
      </c>
      <c r="Q795" s="3">
        <v>7</v>
      </c>
      <c r="R795" s="4">
        <f t="shared" si="12"/>
        <v>14</v>
      </c>
      <c r="S795" s="2" t="s">
        <v>31</v>
      </c>
      <c r="T795" s="2"/>
    </row>
    <row r="796" spans="1:20" x14ac:dyDescent="0.3">
      <c r="A796" s="2" t="s">
        <v>902</v>
      </c>
      <c r="B796" s="2" t="s">
        <v>684</v>
      </c>
      <c r="C796" s="2" t="s">
        <v>590</v>
      </c>
      <c r="D796" s="2" t="s">
        <v>587</v>
      </c>
      <c r="E796" s="2" t="s">
        <v>168</v>
      </c>
      <c r="F796" s="2" t="s">
        <v>152</v>
      </c>
      <c r="G796" s="2" t="s">
        <v>159</v>
      </c>
      <c r="H796" s="2" t="s">
        <v>152</v>
      </c>
      <c r="I796" s="2" t="s">
        <v>517</v>
      </c>
      <c r="J796" s="2" t="s">
        <v>37</v>
      </c>
      <c r="K796" s="2" t="s">
        <v>38</v>
      </c>
      <c r="L796" s="2" t="s">
        <v>29</v>
      </c>
      <c r="M796" s="2" t="s">
        <v>188</v>
      </c>
      <c r="N796" s="2" t="s">
        <v>517</v>
      </c>
      <c r="O796" s="2" t="s">
        <v>518</v>
      </c>
      <c r="P796" s="3">
        <v>24</v>
      </c>
      <c r="Q796" s="3">
        <v>24</v>
      </c>
      <c r="R796" s="4">
        <f t="shared" si="12"/>
        <v>48</v>
      </c>
      <c r="S796" s="2" t="s">
        <v>31</v>
      </c>
      <c r="T796" s="2"/>
    </row>
    <row r="797" spans="1:20" x14ac:dyDescent="0.3">
      <c r="A797" s="2" t="s">
        <v>902</v>
      </c>
      <c r="B797" s="2" t="s">
        <v>684</v>
      </c>
      <c r="C797" s="2" t="s">
        <v>590</v>
      </c>
      <c r="D797" s="2" t="s">
        <v>587</v>
      </c>
      <c r="E797" s="2" t="s">
        <v>168</v>
      </c>
      <c r="F797" s="2" t="s">
        <v>152</v>
      </c>
      <c r="G797" s="2" t="s">
        <v>159</v>
      </c>
      <c r="H797" s="2" t="s">
        <v>152</v>
      </c>
      <c r="I797" s="2" t="s">
        <v>561</v>
      </c>
      <c r="J797" s="2" t="s">
        <v>37</v>
      </c>
      <c r="K797" s="2" t="s">
        <v>38</v>
      </c>
      <c r="L797" s="2" t="s">
        <v>29</v>
      </c>
      <c r="M797" s="2"/>
      <c r="N797" s="2" t="s">
        <v>561</v>
      </c>
      <c r="O797" s="2" t="s">
        <v>562</v>
      </c>
      <c r="P797" s="3">
        <v>19</v>
      </c>
      <c r="Q797" s="3">
        <v>19</v>
      </c>
      <c r="R797" s="4">
        <f t="shared" si="12"/>
        <v>38</v>
      </c>
      <c r="S797" s="2" t="s">
        <v>31</v>
      </c>
      <c r="T797" s="2"/>
    </row>
    <row r="798" spans="1:20" x14ac:dyDescent="0.3">
      <c r="A798" s="5" t="s">
        <v>902</v>
      </c>
      <c r="B798" s="5" t="s">
        <v>684</v>
      </c>
      <c r="C798" s="5" t="s">
        <v>590</v>
      </c>
      <c r="D798" s="5" t="s">
        <v>587</v>
      </c>
      <c r="E798" s="5" t="s">
        <v>168</v>
      </c>
      <c r="F798" s="5" t="s">
        <v>152</v>
      </c>
      <c r="G798" s="5" t="s">
        <v>159</v>
      </c>
      <c r="H798" s="5" t="s">
        <v>152</v>
      </c>
      <c r="I798" s="5" t="s">
        <v>268</v>
      </c>
      <c r="J798" s="5"/>
      <c r="K798" s="5"/>
      <c r="L798" s="5"/>
      <c r="M798" s="5"/>
      <c r="N798" s="5" t="s">
        <v>269</v>
      </c>
      <c r="O798" s="5"/>
      <c r="P798" s="6"/>
      <c r="Q798" s="6"/>
      <c r="R798" s="7" t="str">
        <f t="shared" si="12"/>
        <v/>
      </c>
      <c r="S798" s="5"/>
      <c r="T798" s="5" t="s">
        <v>270</v>
      </c>
    </row>
    <row r="799" spans="1:20" x14ac:dyDescent="0.3">
      <c r="A799" s="2" t="s">
        <v>902</v>
      </c>
      <c r="B799" s="2" t="s">
        <v>684</v>
      </c>
      <c r="C799" s="2" t="s">
        <v>590</v>
      </c>
      <c r="D799" s="2" t="s">
        <v>587</v>
      </c>
      <c r="E799" s="2" t="s">
        <v>168</v>
      </c>
      <c r="F799" s="2" t="s">
        <v>152</v>
      </c>
      <c r="G799" s="2" t="s">
        <v>159</v>
      </c>
      <c r="H799" s="2" t="s">
        <v>152</v>
      </c>
      <c r="I799" s="2" t="s">
        <v>569</v>
      </c>
      <c r="J799" s="2" t="s">
        <v>152</v>
      </c>
      <c r="K799" s="2" t="s">
        <v>38</v>
      </c>
      <c r="L799" s="2" t="s">
        <v>127</v>
      </c>
      <c r="M799" s="2" t="s">
        <v>188</v>
      </c>
      <c r="N799" s="2" t="s">
        <v>569</v>
      </c>
      <c r="O799" s="2" t="s">
        <v>570</v>
      </c>
      <c r="P799" s="3">
        <v>8</v>
      </c>
      <c r="Q799" s="3">
        <v>8</v>
      </c>
      <c r="R799" s="4">
        <f t="shared" si="12"/>
        <v>16</v>
      </c>
      <c r="S799" s="2" t="s">
        <v>31</v>
      </c>
      <c r="T799" s="2"/>
    </row>
    <row r="800" spans="1:20" x14ac:dyDescent="0.3">
      <c r="A800" s="5" t="s">
        <v>902</v>
      </c>
      <c r="B800" s="5" t="s">
        <v>684</v>
      </c>
      <c r="C800" s="5" t="s">
        <v>590</v>
      </c>
      <c r="D800" s="5" t="s">
        <v>587</v>
      </c>
      <c r="E800" s="5" t="s">
        <v>168</v>
      </c>
      <c r="F800" s="5" t="s">
        <v>152</v>
      </c>
      <c r="G800" s="5" t="s">
        <v>159</v>
      </c>
      <c r="H800" s="5" t="s">
        <v>152</v>
      </c>
      <c r="I800" s="5" t="s">
        <v>883</v>
      </c>
      <c r="J800" s="5"/>
      <c r="K800" s="5"/>
      <c r="L800" s="5"/>
      <c r="M800" s="5"/>
      <c r="N800" s="5" t="s">
        <v>269</v>
      </c>
      <c r="O800" s="5"/>
      <c r="P800" s="6"/>
      <c r="Q800" s="6"/>
      <c r="R800" s="7" t="str">
        <f t="shared" si="12"/>
        <v/>
      </c>
      <c r="S800" s="5"/>
      <c r="T800" s="5" t="s">
        <v>270</v>
      </c>
    </row>
    <row r="801" spans="1:20" x14ac:dyDescent="0.3">
      <c r="A801" s="2" t="s">
        <v>902</v>
      </c>
      <c r="B801" s="2" t="s">
        <v>684</v>
      </c>
      <c r="C801" s="2" t="s">
        <v>590</v>
      </c>
      <c r="D801" s="2" t="s">
        <v>587</v>
      </c>
      <c r="E801" s="2" t="s">
        <v>168</v>
      </c>
      <c r="F801" s="2" t="s">
        <v>152</v>
      </c>
      <c r="G801" s="2" t="s">
        <v>159</v>
      </c>
      <c r="H801" s="2" t="s">
        <v>152</v>
      </c>
      <c r="I801" s="2" t="s">
        <v>240</v>
      </c>
      <c r="J801" s="2" t="s">
        <v>152</v>
      </c>
      <c r="K801" s="2" t="s">
        <v>38</v>
      </c>
      <c r="L801" s="2" t="s">
        <v>127</v>
      </c>
      <c r="M801" s="2" t="s">
        <v>188</v>
      </c>
      <c r="N801" s="2" t="s">
        <v>240</v>
      </c>
      <c r="O801" s="2" t="s">
        <v>524</v>
      </c>
      <c r="P801" s="3">
        <v>18</v>
      </c>
      <c r="Q801" s="3">
        <v>18</v>
      </c>
      <c r="R801" s="4">
        <f t="shared" si="12"/>
        <v>36</v>
      </c>
      <c r="S801" s="2" t="s">
        <v>31</v>
      </c>
      <c r="T801" s="2"/>
    </row>
    <row r="802" spans="1:20" x14ac:dyDescent="0.3">
      <c r="A802" s="2" t="s">
        <v>902</v>
      </c>
      <c r="B802" s="2" t="s">
        <v>684</v>
      </c>
      <c r="C802" s="2" t="s">
        <v>590</v>
      </c>
      <c r="D802" s="2" t="s">
        <v>587</v>
      </c>
      <c r="E802" s="2" t="s">
        <v>168</v>
      </c>
      <c r="F802" s="2" t="s">
        <v>152</v>
      </c>
      <c r="G802" s="2" t="s">
        <v>159</v>
      </c>
      <c r="H802" s="2" t="s">
        <v>152</v>
      </c>
      <c r="I802" s="2" t="s">
        <v>555</v>
      </c>
      <c r="J802" s="2" t="s">
        <v>152</v>
      </c>
      <c r="K802" s="2" t="s">
        <v>38</v>
      </c>
      <c r="L802" s="2" t="s">
        <v>127</v>
      </c>
      <c r="M802" s="2" t="s">
        <v>225</v>
      </c>
      <c r="N802" s="2" t="s">
        <v>555</v>
      </c>
      <c r="O802" s="2" t="s">
        <v>556</v>
      </c>
      <c r="P802" s="3">
        <v>16</v>
      </c>
      <c r="Q802" s="3">
        <v>16</v>
      </c>
      <c r="R802" s="4">
        <f t="shared" si="12"/>
        <v>32</v>
      </c>
      <c r="S802" s="2" t="s">
        <v>31</v>
      </c>
      <c r="T802" s="2"/>
    </row>
    <row r="803" spans="1:20" x14ac:dyDescent="0.3">
      <c r="A803" s="2" t="s">
        <v>902</v>
      </c>
      <c r="B803" s="2" t="s">
        <v>684</v>
      </c>
      <c r="C803" s="2" t="s">
        <v>590</v>
      </c>
      <c r="D803" s="2" t="s">
        <v>587</v>
      </c>
      <c r="E803" s="2" t="s">
        <v>168</v>
      </c>
      <c r="F803" s="2" t="s">
        <v>152</v>
      </c>
      <c r="G803" s="2" t="s">
        <v>159</v>
      </c>
      <c r="H803" s="2" t="s">
        <v>152</v>
      </c>
      <c r="I803" s="2" t="s">
        <v>219</v>
      </c>
      <c r="J803" s="2" t="s">
        <v>152</v>
      </c>
      <c r="K803" s="2" t="s">
        <v>38</v>
      </c>
      <c r="L803" s="2" t="s">
        <v>127</v>
      </c>
      <c r="M803" s="2" t="s">
        <v>188</v>
      </c>
      <c r="N803" s="2" t="s">
        <v>219</v>
      </c>
      <c r="O803" s="2" t="s">
        <v>544</v>
      </c>
      <c r="P803" s="3">
        <v>14</v>
      </c>
      <c r="Q803" s="3">
        <v>14</v>
      </c>
      <c r="R803" s="4">
        <f t="shared" si="12"/>
        <v>28</v>
      </c>
      <c r="S803" s="2" t="s">
        <v>31</v>
      </c>
      <c r="T803" s="2"/>
    </row>
    <row r="804" spans="1:20" x14ac:dyDescent="0.3">
      <c r="A804" s="2" t="s">
        <v>902</v>
      </c>
      <c r="B804" s="2" t="s">
        <v>684</v>
      </c>
      <c r="C804" s="2" t="s">
        <v>590</v>
      </c>
      <c r="D804" s="2" t="s">
        <v>587</v>
      </c>
      <c r="E804" s="2" t="s">
        <v>168</v>
      </c>
      <c r="F804" s="2" t="s">
        <v>152</v>
      </c>
      <c r="G804" s="2" t="s">
        <v>159</v>
      </c>
      <c r="H804" s="2" t="s">
        <v>152</v>
      </c>
      <c r="I804" s="2" t="s">
        <v>884</v>
      </c>
      <c r="J804" s="2" t="s">
        <v>152</v>
      </c>
      <c r="K804" s="2" t="s">
        <v>38</v>
      </c>
      <c r="L804" s="2" t="s">
        <v>127</v>
      </c>
      <c r="M804" s="2" t="s">
        <v>188</v>
      </c>
      <c r="N804" s="2" t="s">
        <v>884</v>
      </c>
      <c r="O804" s="2" t="s">
        <v>885</v>
      </c>
      <c r="P804" s="3">
        <v>18</v>
      </c>
      <c r="Q804" s="3">
        <v>18</v>
      </c>
      <c r="R804" s="4">
        <f t="shared" si="12"/>
        <v>36</v>
      </c>
      <c r="S804" s="2" t="s">
        <v>31</v>
      </c>
      <c r="T804" s="2"/>
    </row>
    <row r="805" spans="1:20" x14ac:dyDescent="0.3">
      <c r="A805" s="2" t="s">
        <v>902</v>
      </c>
      <c r="B805" s="2" t="s">
        <v>684</v>
      </c>
      <c r="C805" s="2" t="s">
        <v>590</v>
      </c>
      <c r="D805" s="2" t="s">
        <v>587</v>
      </c>
      <c r="E805" s="2" t="s">
        <v>168</v>
      </c>
      <c r="F805" s="2" t="s">
        <v>152</v>
      </c>
      <c r="G805" s="2" t="s">
        <v>159</v>
      </c>
      <c r="H805" s="2" t="s">
        <v>152</v>
      </c>
      <c r="I805" s="2" t="s">
        <v>886</v>
      </c>
      <c r="J805" s="2" t="s">
        <v>152</v>
      </c>
      <c r="K805" s="2" t="s">
        <v>38</v>
      </c>
      <c r="L805" s="2" t="s">
        <v>127</v>
      </c>
      <c r="M805" s="2" t="s">
        <v>225</v>
      </c>
      <c r="N805" s="2" t="s">
        <v>886</v>
      </c>
      <c r="O805" s="2" t="s">
        <v>887</v>
      </c>
      <c r="P805" s="3">
        <v>15</v>
      </c>
      <c r="Q805" s="3">
        <v>15</v>
      </c>
      <c r="R805" s="4">
        <f t="shared" si="12"/>
        <v>30</v>
      </c>
      <c r="S805" s="2" t="s">
        <v>31</v>
      </c>
      <c r="T805" s="2"/>
    </row>
    <row r="806" spans="1:20" x14ac:dyDescent="0.3">
      <c r="A806" s="2" t="s">
        <v>902</v>
      </c>
      <c r="B806" s="2" t="s">
        <v>684</v>
      </c>
      <c r="C806" s="2" t="s">
        <v>590</v>
      </c>
      <c r="D806" s="2" t="s">
        <v>587</v>
      </c>
      <c r="E806" s="2" t="s">
        <v>168</v>
      </c>
      <c r="F806" s="2" t="s">
        <v>152</v>
      </c>
      <c r="G806" s="2" t="s">
        <v>159</v>
      </c>
      <c r="H806" s="2" t="s">
        <v>152</v>
      </c>
      <c r="I806" s="2" t="s">
        <v>888</v>
      </c>
      <c r="J806" s="2" t="s">
        <v>152</v>
      </c>
      <c r="K806" s="2" t="s">
        <v>38</v>
      </c>
      <c r="L806" s="2" t="s">
        <v>127</v>
      </c>
      <c r="M806" s="2" t="s">
        <v>188</v>
      </c>
      <c r="N806" s="2" t="s">
        <v>888</v>
      </c>
      <c r="O806" s="2" t="s">
        <v>889</v>
      </c>
      <c r="P806" s="3">
        <v>14</v>
      </c>
      <c r="Q806" s="3">
        <v>14</v>
      </c>
      <c r="R806" s="4">
        <f t="shared" si="12"/>
        <v>28</v>
      </c>
      <c r="S806" s="2" t="s">
        <v>31</v>
      </c>
      <c r="T806" s="2"/>
    </row>
    <row r="807" spans="1:20" x14ac:dyDescent="0.3">
      <c r="A807" s="2" t="s">
        <v>902</v>
      </c>
      <c r="B807" s="2" t="s">
        <v>684</v>
      </c>
      <c r="C807" s="2" t="s">
        <v>590</v>
      </c>
      <c r="D807" s="2" t="s">
        <v>587</v>
      </c>
      <c r="E807" s="2" t="s">
        <v>168</v>
      </c>
      <c r="F807" s="2" t="s">
        <v>152</v>
      </c>
      <c r="G807" s="2" t="s">
        <v>159</v>
      </c>
      <c r="H807" s="2" t="s">
        <v>152</v>
      </c>
      <c r="I807" s="2" t="s">
        <v>172</v>
      </c>
      <c r="J807" s="2" t="s">
        <v>152</v>
      </c>
      <c r="K807" s="2" t="s">
        <v>38</v>
      </c>
      <c r="L807" s="2" t="s">
        <v>127</v>
      </c>
      <c r="M807" s="2" t="s">
        <v>188</v>
      </c>
      <c r="N807" s="2" t="s">
        <v>172</v>
      </c>
      <c r="O807" s="2" t="s">
        <v>545</v>
      </c>
      <c r="P807" s="3">
        <v>17</v>
      </c>
      <c r="Q807" s="3">
        <v>17</v>
      </c>
      <c r="R807" s="4">
        <f t="shared" si="12"/>
        <v>34</v>
      </c>
      <c r="S807" s="2" t="s">
        <v>31</v>
      </c>
      <c r="T807" s="2"/>
    </row>
    <row r="808" spans="1:20" x14ac:dyDescent="0.3">
      <c r="A808" s="2" t="s">
        <v>902</v>
      </c>
      <c r="B808" s="2" t="s">
        <v>684</v>
      </c>
      <c r="C808" s="2" t="s">
        <v>590</v>
      </c>
      <c r="D808" s="2" t="s">
        <v>587</v>
      </c>
      <c r="E808" s="2" t="s">
        <v>168</v>
      </c>
      <c r="F808" s="2" t="s">
        <v>152</v>
      </c>
      <c r="G808" s="2" t="s">
        <v>159</v>
      </c>
      <c r="H808" s="2" t="s">
        <v>152</v>
      </c>
      <c r="I808" s="2" t="s">
        <v>536</v>
      </c>
      <c r="J808" s="2" t="s">
        <v>152</v>
      </c>
      <c r="K808" s="2" t="s">
        <v>38</v>
      </c>
      <c r="L808" s="2" t="s">
        <v>127</v>
      </c>
      <c r="M808" s="2" t="s">
        <v>188</v>
      </c>
      <c r="N808" s="2" t="s">
        <v>536</v>
      </c>
      <c r="O808" s="2" t="s">
        <v>537</v>
      </c>
      <c r="P808" s="3">
        <v>14</v>
      </c>
      <c r="Q808" s="3">
        <v>14</v>
      </c>
      <c r="R808" s="4">
        <f t="shared" si="12"/>
        <v>28</v>
      </c>
      <c r="S808" s="2" t="s">
        <v>31</v>
      </c>
      <c r="T808" s="2"/>
    </row>
    <row r="809" spans="1:20" x14ac:dyDescent="0.3">
      <c r="A809" s="2" t="s">
        <v>902</v>
      </c>
      <c r="B809" s="2" t="s">
        <v>684</v>
      </c>
      <c r="C809" s="2" t="s">
        <v>590</v>
      </c>
      <c r="D809" s="2" t="s">
        <v>587</v>
      </c>
      <c r="E809" s="2" t="s">
        <v>168</v>
      </c>
      <c r="F809" s="2" t="s">
        <v>152</v>
      </c>
      <c r="G809" s="2" t="s">
        <v>159</v>
      </c>
      <c r="H809" s="2" t="s">
        <v>152</v>
      </c>
      <c r="I809" s="2" t="s">
        <v>563</v>
      </c>
      <c r="J809" s="2" t="s">
        <v>152</v>
      </c>
      <c r="K809" s="2" t="s">
        <v>38</v>
      </c>
      <c r="L809" s="2" t="s">
        <v>127</v>
      </c>
      <c r="M809" s="2" t="s">
        <v>188</v>
      </c>
      <c r="N809" s="2" t="s">
        <v>563</v>
      </c>
      <c r="O809" s="2" t="s">
        <v>564</v>
      </c>
      <c r="P809" s="3">
        <v>13</v>
      </c>
      <c r="Q809" s="3">
        <v>13</v>
      </c>
      <c r="R809" s="4">
        <f t="shared" si="12"/>
        <v>26</v>
      </c>
      <c r="S809" s="2" t="s">
        <v>31</v>
      </c>
      <c r="T809" s="2"/>
    </row>
    <row r="810" spans="1:20" x14ac:dyDescent="0.3">
      <c r="A810" s="2" t="s">
        <v>902</v>
      </c>
      <c r="B810" s="2" t="s">
        <v>684</v>
      </c>
      <c r="C810" s="2" t="s">
        <v>590</v>
      </c>
      <c r="D810" s="2" t="s">
        <v>587</v>
      </c>
      <c r="E810" s="2" t="s">
        <v>168</v>
      </c>
      <c r="F810" s="2" t="s">
        <v>152</v>
      </c>
      <c r="G810" s="2" t="s">
        <v>159</v>
      </c>
      <c r="H810" s="2" t="s">
        <v>152</v>
      </c>
      <c r="I810" s="2" t="s">
        <v>529</v>
      </c>
      <c r="J810" s="2" t="s">
        <v>152</v>
      </c>
      <c r="K810" s="2" t="s">
        <v>38</v>
      </c>
      <c r="L810" s="2" t="s">
        <v>127</v>
      </c>
      <c r="M810" s="2" t="s">
        <v>188</v>
      </c>
      <c r="N810" s="2" t="s">
        <v>529</v>
      </c>
      <c r="O810" s="2" t="s">
        <v>530</v>
      </c>
      <c r="P810" s="3">
        <v>14</v>
      </c>
      <c r="Q810" s="3">
        <v>14</v>
      </c>
      <c r="R810" s="4">
        <f t="shared" si="12"/>
        <v>28</v>
      </c>
      <c r="S810" s="2" t="s">
        <v>31</v>
      </c>
      <c r="T810" s="2"/>
    </row>
    <row r="811" spans="1:20" x14ac:dyDescent="0.3">
      <c r="A811" s="2" t="s">
        <v>902</v>
      </c>
      <c r="B811" s="2" t="s">
        <v>684</v>
      </c>
      <c r="C811" s="2" t="s">
        <v>590</v>
      </c>
      <c r="D811" s="2" t="s">
        <v>587</v>
      </c>
      <c r="E811" s="2" t="s">
        <v>168</v>
      </c>
      <c r="F811" s="2" t="s">
        <v>152</v>
      </c>
      <c r="G811" s="2" t="s">
        <v>159</v>
      </c>
      <c r="H811" s="2" t="s">
        <v>152</v>
      </c>
      <c r="I811" s="2" t="s">
        <v>519</v>
      </c>
      <c r="J811" s="2" t="s">
        <v>152</v>
      </c>
      <c r="K811" s="2" t="s">
        <v>38</v>
      </c>
      <c r="L811" s="2" t="s">
        <v>127</v>
      </c>
      <c r="M811" s="2" t="s">
        <v>188</v>
      </c>
      <c r="N811" s="2" t="s">
        <v>519</v>
      </c>
      <c r="O811" s="2" t="s">
        <v>520</v>
      </c>
      <c r="P811" s="3">
        <v>17</v>
      </c>
      <c r="Q811" s="3">
        <v>17</v>
      </c>
      <c r="R811" s="4">
        <f t="shared" si="12"/>
        <v>34</v>
      </c>
      <c r="S811" s="2" t="s">
        <v>31</v>
      </c>
      <c r="T811" s="2"/>
    </row>
    <row r="812" spans="1:20" x14ac:dyDescent="0.3">
      <c r="A812" s="2" t="s">
        <v>902</v>
      </c>
      <c r="B812" s="2" t="s">
        <v>684</v>
      </c>
      <c r="C812" s="2" t="s">
        <v>590</v>
      </c>
      <c r="D812" s="2" t="s">
        <v>587</v>
      </c>
      <c r="E812" s="2" t="s">
        <v>168</v>
      </c>
      <c r="F812" s="2" t="s">
        <v>152</v>
      </c>
      <c r="G812" s="2" t="s">
        <v>159</v>
      </c>
      <c r="H812" s="2" t="s">
        <v>152</v>
      </c>
      <c r="I812" s="2" t="s">
        <v>227</v>
      </c>
      <c r="J812" s="2" t="s">
        <v>152</v>
      </c>
      <c r="K812" s="2" t="s">
        <v>38</v>
      </c>
      <c r="L812" s="2" t="s">
        <v>127</v>
      </c>
      <c r="M812" s="2" t="s">
        <v>188</v>
      </c>
      <c r="N812" s="2" t="s">
        <v>227</v>
      </c>
      <c r="O812" s="2" t="s">
        <v>890</v>
      </c>
      <c r="P812" s="3">
        <v>13</v>
      </c>
      <c r="Q812" s="3">
        <v>13</v>
      </c>
      <c r="R812" s="4">
        <f t="shared" si="12"/>
        <v>26</v>
      </c>
      <c r="S812" s="2" t="s">
        <v>31</v>
      </c>
      <c r="T812" s="2"/>
    </row>
    <row r="813" spans="1:20" x14ac:dyDescent="0.3">
      <c r="A813" s="2" t="s">
        <v>902</v>
      </c>
      <c r="B813" s="2" t="s">
        <v>684</v>
      </c>
      <c r="C813" s="2" t="s">
        <v>590</v>
      </c>
      <c r="D813" s="2" t="s">
        <v>587</v>
      </c>
      <c r="E813" s="2" t="s">
        <v>168</v>
      </c>
      <c r="F813" s="2" t="s">
        <v>152</v>
      </c>
      <c r="G813" s="2" t="s">
        <v>159</v>
      </c>
      <c r="H813" s="2" t="s">
        <v>152</v>
      </c>
      <c r="I813" s="2" t="s">
        <v>200</v>
      </c>
      <c r="J813" s="2" t="s">
        <v>152</v>
      </c>
      <c r="K813" s="2" t="s">
        <v>38</v>
      </c>
      <c r="L813" s="2" t="s">
        <v>127</v>
      </c>
      <c r="M813" s="2" t="s">
        <v>188</v>
      </c>
      <c r="N813" s="2" t="s">
        <v>200</v>
      </c>
      <c r="O813" s="2" t="s">
        <v>531</v>
      </c>
      <c r="P813" s="3">
        <v>9</v>
      </c>
      <c r="Q813" s="3">
        <v>9</v>
      </c>
      <c r="R813" s="4">
        <f t="shared" si="12"/>
        <v>18</v>
      </c>
      <c r="S813" s="2" t="s">
        <v>31</v>
      </c>
      <c r="T813" s="2"/>
    </row>
    <row r="814" spans="1:20" x14ac:dyDescent="0.3">
      <c r="A814" s="2" t="s">
        <v>902</v>
      </c>
      <c r="B814" s="2" t="s">
        <v>684</v>
      </c>
      <c r="C814" s="2" t="s">
        <v>590</v>
      </c>
      <c r="D814" s="2" t="s">
        <v>587</v>
      </c>
      <c r="E814" s="2" t="s">
        <v>168</v>
      </c>
      <c r="F814" s="2" t="s">
        <v>152</v>
      </c>
      <c r="G814" s="2" t="s">
        <v>159</v>
      </c>
      <c r="H814" s="2" t="s">
        <v>152</v>
      </c>
      <c r="I814" s="2" t="s">
        <v>891</v>
      </c>
      <c r="J814" s="2" t="s">
        <v>152</v>
      </c>
      <c r="K814" s="2" t="s">
        <v>38</v>
      </c>
      <c r="L814" s="2" t="s">
        <v>127</v>
      </c>
      <c r="M814" s="2" t="s">
        <v>188</v>
      </c>
      <c r="N814" s="2" t="s">
        <v>891</v>
      </c>
      <c r="O814" s="2" t="s">
        <v>892</v>
      </c>
      <c r="P814" s="3">
        <v>11</v>
      </c>
      <c r="Q814" s="3">
        <v>11</v>
      </c>
      <c r="R814" s="4">
        <f t="shared" si="12"/>
        <v>22</v>
      </c>
      <c r="S814" s="2" t="s">
        <v>31</v>
      </c>
      <c r="T814" s="2"/>
    </row>
    <row r="815" spans="1:20" x14ac:dyDescent="0.3">
      <c r="A815" s="2" t="s">
        <v>902</v>
      </c>
      <c r="B815" s="2" t="s">
        <v>684</v>
      </c>
      <c r="C815" s="2" t="s">
        <v>590</v>
      </c>
      <c r="D815" s="2" t="s">
        <v>587</v>
      </c>
      <c r="E815" s="2" t="s">
        <v>168</v>
      </c>
      <c r="F815" s="2" t="s">
        <v>152</v>
      </c>
      <c r="G815" s="2" t="s">
        <v>159</v>
      </c>
      <c r="H815" s="2" t="s">
        <v>152</v>
      </c>
      <c r="I815" s="2" t="s">
        <v>567</v>
      </c>
      <c r="J815" s="2" t="s">
        <v>152</v>
      </c>
      <c r="K815" s="2" t="s">
        <v>38</v>
      </c>
      <c r="L815" s="2" t="s">
        <v>127</v>
      </c>
      <c r="M815" s="2" t="s">
        <v>188</v>
      </c>
      <c r="N815" s="2" t="s">
        <v>567</v>
      </c>
      <c r="O815" s="2" t="s">
        <v>568</v>
      </c>
      <c r="P815" s="3">
        <v>10</v>
      </c>
      <c r="Q815" s="3">
        <v>10</v>
      </c>
      <c r="R815" s="4">
        <f t="shared" si="12"/>
        <v>20</v>
      </c>
      <c r="S815" s="2" t="s">
        <v>31</v>
      </c>
      <c r="T815" s="2"/>
    </row>
    <row r="816" spans="1:20" x14ac:dyDescent="0.3">
      <c r="A816" s="2" t="s">
        <v>902</v>
      </c>
      <c r="B816" s="2" t="s">
        <v>684</v>
      </c>
      <c r="C816" s="2" t="s">
        <v>590</v>
      </c>
      <c r="D816" s="2" t="s">
        <v>587</v>
      </c>
      <c r="E816" s="2" t="s">
        <v>168</v>
      </c>
      <c r="F816" s="2" t="s">
        <v>152</v>
      </c>
      <c r="G816" s="2" t="s">
        <v>159</v>
      </c>
      <c r="H816" s="2" t="s">
        <v>152</v>
      </c>
      <c r="I816" s="2" t="s">
        <v>190</v>
      </c>
      <c r="J816" s="2" t="s">
        <v>152</v>
      </c>
      <c r="K816" s="2" t="s">
        <v>38</v>
      </c>
      <c r="L816" s="2" t="s">
        <v>127</v>
      </c>
      <c r="M816" s="2" t="s">
        <v>188</v>
      </c>
      <c r="N816" s="2" t="s">
        <v>190</v>
      </c>
      <c r="O816" s="2" t="s">
        <v>538</v>
      </c>
      <c r="P816" s="3">
        <v>11</v>
      </c>
      <c r="Q816" s="3">
        <v>11</v>
      </c>
      <c r="R816" s="4">
        <f t="shared" si="12"/>
        <v>22</v>
      </c>
      <c r="S816" s="2" t="s">
        <v>31</v>
      </c>
      <c r="T816" s="2"/>
    </row>
    <row r="817" spans="1:20" x14ac:dyDescent="0.3">
      <c r="A817" s="5" t="s">
        <v>902</v>
      </c>
      <c r="B817" s="5" t="s">
        <v>684</v>
      </c>
      <c r="C817" s="5" t="s">
        <v>590</v>
      </c>
      <c r="D817" s="5" t="s">
        <v>587</v>
      </c>
      <c r="E817" s="5" t="s">
        <v>168</v>
      </c>
      <c r="F817" s="5" t="s">
        <v>152</v>
      </c>
      <c r="G817" s="5" t="s">
        <v>159</v>
      </c>
      <c r="H817" s="5" t="s">
        <v>152</v>
      </c>
      <c r="I817" s="5" t="s">
        <v>893</v>
      </c>
      <c r="J817" s="5"/>
      <c r="K817" s="5"/>
      <c r="L817" s="5"/>
      <c r="M817" s="5"/>
      <c r="N817" s="5" t="s">
        <v>269</v>
      </c>
      <c r="O817" s="5"/>
      <c r="P817" s="6"/>
      <c r="Q817" s="6"/>
      <c r="R817" s="7" t="str">
        <f t="shared" si="12"/>
        <v/>
      </c>
      <c r="S817" s="5"/>
      <c r="T817" s="5" t="s">
        <v>270</v>
      </c>
    </row>
    <row r="818" spans="1:20" x14ac:dyDescent="0.3">
      <c r="A818" s="2" t="s">
        <v>902</v>
      </c>
      <c r="B818" s="2" t="s">
        <v>684</v>
      </c>
      <c r="C818" s="2" t="s">
        <v>590</v>
      </c>
      <c r="D818" s="2" t="s">
        <v>587</v>
      </c>
      <c r="E818" s="2" t="s">
        <v>168</v>
      </c>
      <c r="F818" s="2" t="s">
        <v>152</v>
      </c>
      <c r="G818" s="2" t="s">
        <v>159</v>
      </c>
      <c r="H818" s="2" t="s">
        <v>152</v>
      </c>
      <c r="I818" s="2" t="s">
        <v>894</v>
      </c>
      <c r="J818" s="2" t="s">
        <v>152</v>
      </c>
      <c r="K818" s="2" t="s">
        <v>38</v>
      </c>
      <c r="L818" s="2" t="s">
        <v>127</v>
      </c>
      <c r="M818" s="2" t="s">
        <v>188</v>
      </c>
      <c r="N818" s="2" t="s">
        <v>200</v>
      </c>
      <c r="O818" s="2" t="s">
        <v>531</v>
      </c>
      <c r="P818" s="3">
        <v>9</v>
      </c>
      <c r="Q818" s="3">
        <v>9</v>
      </c>
      <c r="R818" s="4">
        <f t="shared" si="12"/>
        <v>18</v>
      </c>
      <c r="S818" s="2" t="s">
        <v>31</v>
      </c>
      <c r="T818" s="2"/>
    </row>
    <row r="819" spans="1:20" x14ac:dyDescent="0.3">
      <c r="A819" s="2" t="s">
        <v>902</v>
      </c>
      <c r="B819" s="2" t="s">
        <v>684</v>
      </c>
      <c r="C819" s="2" t="s">
        <v>590</v>
      </c>
      <c r="D819" s="2" t="s">
        <v>587</v>
      </c>
      <c r="E819" s="2" t="s">
        <v>168</v>
      </c>
      <c r="F819" s="2" t="s">
        <v>152</v>
      </c>
      <c r="G819" s="2" t="s">
        <v>159</v>
      </c>
      <c r="H819" s="2" t="s">
        <v>152</v>
      </c>
      <c r="I819" s="2" t="s">
        <v>895</v>
      </c>
      <c r="J819" s="2" t="s">
        <v>152</v>
      </c>
      <c r="K819" s="2" t="s">
        <v>38</v>
      </c>
      <c r="L819" s="2" t="s">
        <v>127</v>
      </c>
      <c r="M819" s="2" t="s">
        <v>188</v>
      </c>
      <c r="N819" s="2" t="s">
        <v>895</v>
      </c>
      <c r="O819" s="2" t="s">
        <v>896</v>
      </c>
      <c r="P819" s="3">
        <v>5</v>
      </c>
      <c r="Q819" s="3">
        <v>5</v>
      </c>
      <c r="R819" s="4">
        <f t="shared" si="12"/>
        <v>10</v>
      </c>
      <c r="S819" s="2" t="s">
        <v>31</v>
      </c>
      <c r="T819" s="2"/>
    </row>
    <row r="820" spans="1:20" x14ac:dyDescent="0.3">
      <c r="A820" s="2" t="s">
        <v>902</v>
      </c>
      <c r="B820" s="2" t="s">
        <v>684</v>
      </c>
      <c r="C820" s="2" t="s">
        <v>590</v>
      </c>
      <c r="D820" s="2" t="s">
        <v>587</v>
      </c>
      <c r="E820" s="2" t="s">
        <v>168</v>
      </c>
      <c r="F820" s="2" t="s">
        <v>152</v>
      </c>
      <c r="G820" s="2" t="s">
        <v>159</v>
      </c>
      <c r="H820" s="2" t="s">
        <v>152</v>
      </c>
      <c r="I820" s="2" t="s">
        <v>897</v>
      </c>
      <c r="J820" s="2" t="s">
        <v>152</v>
      </c>
      <c r="K820" s="2" t="s">
        <v>38</v>
      </c>
      <c r="L820" s="2" t="s">
        <v>127</v>
      </c>
      <c r="M820" s="2" t="s">
        <v>188</v>
      </c>
      <c r="N820" s="2" t="s">
        <v>897</v>
      </c>
      <c r="O820" s="2" t="s">
        <v>898</v>
      </c>
      <c r="P820" s="3">
        <v>9</v>
      </c>
      <c r="Q820" s="3">
        <v>9</v>
      </c>
      <c r="R820" s="4">
        <f t="shared" si="12"/>
        <v>18</v>
      </c>
      <c r="S820" s="2" t="s">
        <v>31</v>
      </c>
      <c r="T820" s="2"/>
    </row>
    <row r="821" spans="1:20" x14ac:dyDescent="0.3">
      <c r="A821" s="2" t="s">
        <v>902</v>
      </c>
      <c r="B821" s="2" t="s">
        <v>684</v>
      </c>
      <c r="C821" s="2" t="s">
        <v>590</v>
      </c>
      <c r="D821" s="2" t="s">
        <v>587</v>
      </c>
      <c r="E821" s="2" t="s">
        <v>168</v>
      </c>
      <c r="F821" s="2" t="s">
        <v>152</v>
      </c>
      <c r="G821" s="2" t="s">
        <v>159</v>
      </c>
      <c r="H821" s="2" t="s">
        <v>152</v>
      </c>
      <c r="I821" s="2" t="s">
        <v>565</v>
      </c>
      <c r="J821" s="2" t="s">
        <v>152</v>
      </c>
      <c r="K821" s="2" t="s">
        <v>38</v>
      </c>
      <c r="L821" s="2" t="s">
        <v>127</v>
      </c>
      <c r="M821" s="2" t="s">
        <v>188</v>
      </c>
      <c r="N821" s="2" t="s">
        <v>565</v>
      </c>
      <c r="O821" s="2" t="s">
        <v>566</v>
      </c>
      <c r="P821" s="3">
        <v>7</v>
      </c>
      <c r="Q821" s="3">
        <v>7</v>
      </c>
      <c r="R821" s="4">
        <f t="shared" si="12"/>
        <v>14</v>
      </c>
      <c r="S821" s="2" t="s">
        <v>31</v>
      </c>
      <c r="T821" s="2"/>
    </row>
    <row r="822" spans="1:20" x14ac:dyDescent="0.3">
      <c r="A822" s="2" t="s">
        <v>902</v>
      </c>
      <c r="B822" s="2" t="s">
        <v>684</v>
      </c>
      <c r="C822" s="2" t="s">
        <v>590</v>
      </c>
      <c r="D822" s="2" t="s">
        <v>587</v>
      </c>
      <c r="E822" s="2" t="s">
        <v>168</v>
      </c>
      <c r="F822" s="2" t="s">
        <v>152</v>
      </c>
      <c r="G822" s="2" t="s">
        <v>159</v>
      </c>
      <c r="H822" s="2" t="s">
        <v>152</v>
      </c>
      <c r="I822" s="2" t="s">
        <v>221</v>
      </c>
      <c r="J822" s="2" t="s">
        <v>152</v>
      </c>
      <c r="K822" s="2" t="s">
        <v>38</v>
      </c>
      <c r="L822" s="2" t="s">
        <v>127</v>
      </c>
      <c r="M822" s="2" t="s">
        <v>188</v>
      </c>
      <c r="N822" s="2" t="s">
        <v>221</v>
      </c>
      <c r="O822" s="2" t="s">
        <v>539</v>
      </c>
      <c r="P822" s="3">
        <v>7</v>
      </c>
      <c r="Q822" s="3">
        <v>7</v>
      </c>
      <c r="R822" s="4">
        <f t="shared" si="12"/>
        <v>14</v>
      </c>
      <c r="S822" s="2" t="s">
        <v>31</v>
      </c>
      <c r="T822" s="2"/>
    </row>
    <row r="823" spans="1:20" x14ac:dyDescent="0.3">
      <c r="A823" s="2" t="s">
        <v>902</v>
      </c>
      <c r="B823" s="2" t="s">
        <v>684</v>
      </c>
      <c r="C823" s="2" t="s">
        <v>590</v>
      </c>
      <c r="D823" s="2" t="s">
        <v>587</v>
      </c>
      <c r="E823" s="2" t="s">
        <v>168</v>
      </c>
      <c r="F823" s="2" t="s">
        <v>152</v>
      </c>
      <c r="G823" s="2" t="s">
        <v>159</v>
      </c>
      <c r="H823" s="2" t="s">
        <v>152</v>
      </c>
      <c r="I823" s="2" t="s">
        <v>194</v>
      </c>
      <c r="J823" s="2" t="s">
        <v>152</v>
      </c>
      <c r="K823" s="2" t="s">
        <v>38</v>
      </c>
      <c r="L823" s="2" t="s">
        <v>127</v>
      </c>
      <c r="M823" s="2" t="s">
        <v>188</v>
      </c>
      <c r="N823" s="2" t="s">
        <v>194</v>
      </c>
      <c r="O823" s="2" t="s">
        <v>546</v>
      </c>
      <c r="P823" s="3">
        <v>9</v>
      </c>
      <c r="Q823" s="3">
        <v>9</v>
      </c>
      <c r="R823" s="4">
        <f t="shared" si="12"/>
        <v>18</v>
      </c>
      <c r="S823" s="2" t="s">
        <v>31</v>
      </c>
      <c r="T823" s="2"/>
    </row>
    <row r="824" spans="1:20" x14ac:dyDescent="0.3">
      <c r="A824" s="2" t="s">
        <v>902</v>
      </c>
      <c r="B824" s="2" t="s">
        <v>684</v>
      </c>
      <c r="C824" s="2" t="s">
        <v>590</v>
      </c>
      <c r="D824" s="2" t="s">
        <v>587</v>
      </c>
      <c r="E824" s="2" t="s">
        <v>168</v>
      </c>
      <c r="F824" s="2" t="s">
        <v>152</v>
      </c>
      <c r="G824" s="2" t="s">
        <v>159</v>
      </c>
      <c r="H824" s="2" t="s">
        <v>152</v>
      </c>
      <c r="I824" s="2" t="s">
        <v>899</v>
      </c>
      <c r="J824" s="2" t="s">
        <v>152</v>
      </c>
      <c r="K824" s="2" t="s">
        <v>38</v>
      </c>
      <c r="L824" s="2" t="s">
        <v>127</v>
      </c>
      <c r="M824" s="2" t="s">
        <v>188</v>
      </c>
      <c r="N824" s="2" t="s">
        <v>899</v>
      </c>
      <c r="O824" s="2" t="s">
        <v>900</v>
      </c>
      <c r="P824" s="3">
        <v>3</v>
      </c>
      <c r="Q824" s="3">
        <v>3</v>
      </c>
      <c r="R824" s="4">
        <f t="shared" si="12"/>
        <v>6</v>
      </c>
      <c r="S824" s="2" t="s">
        <v>31</v>
      </c>
      <c r="T824" s="2"/>
    </row>
  </sheetData>
  <autoFilter ref="A1:T824" xr:uid="{00000000-0009-0000-0000-000000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0B9BB-1067-4869-AE68-5B86954EA82E}">
  <dimension ref="A1:K68"/>
  <sheetViews>
    <sheetView workbookViewId="0">
      <selection activeCell="D11" sqref="D11"/>
    </sheetView>
  </sheetViews>
  <sheetFormatPr defaultRowHeight="14.4" x14ac:dyDescent="0.3"/>
  <cols>
    <col min="1" max="1" width="12.6640625" bestFit="1" customWidth="1"/>
    <col min="2" max="2" width="12.5546875" bestFit="1" customWidth="1"/>
    <col min="3" max="3" width="71.5546875" bestFit="1" customWidth="1"/>
    <col min="4" max="4" width="8.33203125" bestFit="1" customWidth="1"/>
    <col min="5" max="5" width="13.44140625" bestFit="1" customWidth="1"/>
    <col min="6" max="6" width="29.33203125" bestFit="1" customWidth="1"/>
    <col min="7" max="7" width="24.5546875" bestFit="1" customWidth="1"/>
    <col min="8" max="8" width="9.88671875" bestFit="1" customWidth="1"/>
    <col min="9" max="9" width="22.77734375" bestFit="1" customWidth="1"/>
    <col min="10" max="10" width="22.77734375" customWidth="1"/>
    <col min="11" max="11" width="8.5546875" bestFit="1" customWidth="1"/>
  </cols>
  <sheetData>
    <row r="1" spans="1:11" x14ac:dyDescent="0.3">
      <c r="A1" s="46" t="s">
        <v>1607</v>
      </c>
      <c r="B1" s="47" t="s">
        <v>1608</v>
      </c>
      <c r="C1" s="46" t="s">
        <v>1609</v>
      </c>
      <c r="D1" s="48" t="s">
        <v>1610</v>
      </c>
      <c r="E1" s="48" t="s">
        <v>1611</v>
      </c>
      <c r="F1" s="48" t="s">
        <v>1612</v>
      </c>
      <c r="G1" s="48" t="s">
        <v>1613</v>
      </c>
      <c r="H1" s="49" t="s">
        <v>1614</v>
      </c>
      <c r="I1" s="48" t="s">
        <v>1971</v>
      </c>
      <c r="J1" s="48" t="s">
        <v>1971</v>
      </c>
      <c r="K1" s="48" t="s">
        <v>1972</v>
      </c>
    </row>
    <row r="2" spans="1:11" x14ac:dyDescent="0.3">
      <c r="A2" s="50" t="s">
        <v>1615</v>
      </c>
      <c r="B2" s="51" t="s">
        <v>1616</v>
      </c>
      <c r="C2" s="50" t="s">
        <v>1617</v>
      </c>
      <c r="D2" t="s">
        <v>1618</v>
      </c>
      <c r="E2" t="s">
        <v>1619</v>
      </c>
      <c r="F2" t="s">
        <v>1620</v>
      </c>
      <c r="G2" t="s">
        <v>1621</v>
      </c>
      <c r="H2" s="52" t="s">
        <v>1622</v>
      </c>
      <c r="I2" s="53" t="s">
        <v>1623</v>
      </c>
      <c r="J2" s="53" t="s">
        <v>1970</v>
      </c>
      <c r="K2" t="s">
        <v>1973</v>
      </c>
    </row>
    <row r="3" spans="1:11" x14ac:dyDescent="0.3">
      <c r="A3" s="54" t="s">
        <v>1624</v>
      </c>
      <c r="B3" s="51" t="s">
        <v>1625</v>
      </c>
      <c r="C3" s="54" t="s">
        <v>1617</v>
      </c>
      <c r="D3" t="s">
        <v>1618</v>
      </c>
      <c r="E3" t="s">
        <v>1619</v>
      </c>
      <c r="F3" t="s">
        <v>1626</v>
      </c>
      <c r="G3" t="s">
        <v>1627</v>
      </c>
      <c r="H3" s="52" t="s">
        <v>1628</v>
      </c>
      <c r="I3" s="53" t="s">
        <v>1623</v>
      </c>
      <c r="J3" s="53" t="s">
        <v>1970</v>
      </c>
      <c r="K3" t="s">
        <v>1973</v>
      </c>
    </row>
    <row r="4" spans="1:11" x14ac:dyDescent="0.3">
      <c r="A4" s="54" t="s">
        <v>1629</v>
      </c>
      <c r="B4" s="51" t="s">
        <v>1630</v>
      </c>
      <c r="C4" s="54" t="s">
        <v>1631</v>
      </c>
      <c r="D4" t="s">
        <v>1618</v>
      </c>
      <c r="E4" t="s">
        <v>1619</v>
      </c>
      <c r="F4" t="s">
        <v>1632</v>
      </c>
      <c r="G4" t="s">
        <v>1633</v>
      </c>
      <c r="H4" s="52" t="s">
        <v>1634</v>
      </c>
      <c r="I4" s="53" t="s">
        <v>1623</v>
      </c>
      <c r="J4" s="53" t="s">
        <v>1970</v>
      </c>
      <c r="K4" t="s">
        <v>1973</v>
      </c>
    </row>
    <row r="5" spans="1:11" x14ac:dyDescent="0.3">
      <c r="A5" s="54" t="s">
        <v>1635</v>
      </c>
      <c r="B5" s="51" t="s">
        <v>1636</v>
      </c>
      <c r="C5" s="54" t="s">
        <v>1617</v>
      </c>
      <c r="D5" t="s">
        <v>1618</v>
      </c>
      <c r="E5" t="s">
        <v>1619</v>
      </c>
      <c r="F5" t="s">
        <v>1637</v>
      </c>
      <c r="G5" t="s">
        <v>1638</v>
      </c>
      <c r="H5" s="52" t="s">
        <v>1639</v>
      </c>
      <c r="I5" s="53" t="s">
        <v>1623</v>
      </c>
      <c r="J5" s="53" t="s">
        <v>1970</v>
      </c>
      <c r="K5" t="s">
        <v>1973</v>
      </c>
    </row>
    <row r="6" spans="1:11" x14ac:dyDescent="0.3">
      <c r="A6" s="54" t="s">
        <v>1640</v>
      </c>
      <c r="B6" s="51" t="s">
        <v>1641</v>
      </c>
      <c r="C6" s="54" t="s">
        <v>1617</v>
      </c>
      <c r="D6" t="s">
        <v>42</v>
      </c>
      <c r="E6" t="s">
        <v>1619</v>
      </c>
      <c r="F6" t="s">
        <v>1642</v>
      </c>
      <c r="G6" t="s">
        <v>1643</v>
      </c>
      <c r="H6" s="52" t="s">
        <v>1644</v>
      </c>
      <c r="I6" s="53" t="s">
        <v>1623</v>
      </c>
      <c r="J6" s="53" t="s">
        <v>1970</v>
      </c>
      <c r="K6" t="s">
        <v>1973</v>
      </c>
    </row>
    <row r="7" spans="1:11" x14ac:dyDescent="0.3">
      <c r="A7" s="54" t="s">
        <v>1645</v>
      </c>
      <c r="B7" s="51" t="s">
        <v>1646</v>
      </c>
      <c r="C7" s="54" t="s">
        <v>1617</v>
      </c>
      <c r="D7" t="s">
        <v>1618</v>
      </c>
      <c r="E7" t="s">
        <v>1619</v>
      </c>
      <c r="F7" t="s">
        <v>1647</v>
      </c>
      <c r="G7" t="s">
        <v>1647</v>
      </c>
      <c r="H7" s="52" t="s">
        <v>1648</v>
      </c>
      <c r="I7" s="53" t="s">
        <v>1623</v>
      </c>
      <c r="J7" s="53" t="s">
        <v>1970</v>
      </c>
      <c r="K7" t="s">
        <v>1973</v>
      </c>
    </row>
    <row r="8" spans="1:11" x14ac:dyDescent="0.3">
      <c r="A8" s="50" t="s">
        <v>1649</v>
      </c>
      <c r="B8" s="51" t="s">
        <v>1650</v>
      </c>
      <c r="C8" s="50" t="s">
        <v>1617</v>
      </c>
      <c r="D8" t="s">
        <v>1618</v>
      </c>
      <c r="E8" t="s">
        <v>1619</v>
      </c>
      <c r="F8" t="s">
        <v>1651</v>
      </c>
      <c r="G8" t="s">
        <v>1652</v>
      </c>
      <c r="H8" s="52"/>
      <c r="I8" s="53" t="s">
        <v>1623</v>
      </c>
      <c r="J8" s="53" t="s">
        <v>1970</v>
      </c>
      <c r="K8" t="s">
        <v>1973</v>
      </c>
    </row>
    <row r="9" spans="1:11" x14ac:dyDescent="0.3">
      <c r="A9" s="54" t="s">
        <v>1653</v>
      </c>
      <c r="B9" s="51" t="s">
        <v>1654</v>
      </c>
      <c r="C9" s="54" t="s">
        <v>1655</v>
      </c>
      <c r="D9" t="s">
        <v>1656</v>
      </c>
      <c r="E9" t="s">
        <v>1657</v>
      </c>
      <c r="H9" s="52"/>
      <c r="I9" s="53" t="s">
        <v>1623</v>
      </c>
      <c r="J9" s="53"/>
    </row>
    <row r="10" spans="1:11" x14ac:dyDescent="0.3">
      <c r="A10" s="50" t="s">
        <v>1658</v>
      </c>
      <c r="B10" s="51" t="s">
        <v>1659</v>
      </c>
      <c r="C10" s="50" t="s">
        <v>1617</v>
      </c>
      <c r="D10" t="s">
        <v>1618</v>
      </c>
      <c r="E10" t="s">
        <v>1619</v>
      </c>
      <c r="F10" t="s">
        <v>1660</v>
      </c>
      <c r="G10" t="s">
        <v>1661</v>
      </c>
      <c r="H10" s="52" t="s">
        <v>1662</v>
      </c>
      <c r="I10" s="53" t="s">
        <v>1623</v>
      </c>
      <c r="J10" s="53" t="s">
        <v>1970</v>
      </c>
      <c r="K10" t="s">
        <v>1973</v>
      </c>
    </row>
    <row r="11" spans="1:11" x14ac:dyDescent="0.3">
      <c r="A11" s="54" t="s">
        <v>1663</v>
      </c>
      <c r="B11" s="51" t="s">
        <v>1664</v>
      </c>
      <c r="C11" s="54" t="s">
        <v>1617</v>
      </c>
      <c r="D11" t="s">
        <v>1618</v>
      </c>
      <c r="E11" t="s">
        <v>1619</v>
      </c>
      <c r="F11" t="s">
        <v>1665</v>
      </c>
      <c r="G11" t="s">
        <v>1627</v>
      </c>
      <c r="H11" s="52" t="s">
        <v>1666</v>
      </c>
      <c r="I11" s="53" t="s">
        <v>1623</v>
      </c>
      <c r="J11" s="53" t="s">
        <v>1970</v>
      </c>
      <c r="K11" t="s">
        <v>1973</v>
      </c>
    </row>
    <row r="12" spans="1:11" x14ac:dyDescent="0.3">
      <c r="A12" s="50" t="s">
        <v>1667</v>
      </c>
      <c r="B12" s="51" t="s">
        <v>1668</v>
      </c>
      <c r="C12" s="50" t="s">
        <v>1617</v>
      </c>
      <c r="D12" t="s">
        <v>1618</v>
      </c>
      <c r="E12" t="s">
        <v>1619</v>
      </c>
      <c r="F12" t="s">
        <v>1669</v>
      </c>
      <c r="G12" t="s">
        <v>1670</v>
      </c>
      <c r="H12" s="52" t="s">
        <v>1671</v>
      </c>
      <c r="I12" s="53" t="s">
        <v>1623</v>
      </c>
      <c r="J12" s="53" t="s">
        <v>1970</v>
      </c>
      <c r="K12" t="s">
        <v>1973</v>
      </c>
    </row>
    <row r="13" spans="1:11" x14ac:dyDescent="0.3">
      <c r="A13" s="54" t="s">
        <v>1672</v>
      </c>
      <c r="B13" s="51" t="s">
        <v>1673</v>
      </c>
      <c r="C13" s="54" t="s">
        <v>1674</v>
      </c>
      <c r="D13" t="s">
        <v>1618</v>
      </c>
      <c r="E13" t="s">
        <v>1619</v>
      </c>
      <c r="F13" t="s">
        <v>1632</v>
      </c>
      <c r="G13" t="s">
        <v>1633</v>
      </c>
      <c r="H13" s="52" t="s">
        <v>1634</v>
      </c>
      <c r="I13" s="53" t="s">
        <v>1623</v>
      </c>
      <c r="J13" s="53" t="s">
        <v>1970</v>
      </c>
      <c r="K13" t="s">
        <v>1973</v>
      </c>
    </row>
    <row r="14" spans="1:11" x14ac:dyDescent="0.3">
      <c r="A14" s="50" t="s">
        <v>1675</v>
      </c>
      <c r="B14" s="51" t="s">
        <v>1676</v>
      </c>
      <c r="C14" s="50" t="s">
        <v>1677</v>
      </c>
      <c r="D14" t="s">
        <v>1618</v>
      </c>
      <c r="E14" t="s">
        <v>1619</v>
      </c>
      <c r="F14" t="s">
        <v>1678</v>
      </c>
      <c r="G14" t="s">
        <v>1679</v>
      </c>
      <c r="H14" s="52" t="s">
        <v>1680</v>
      </c>
      <c r="I14" s="53" t="s">
        <v>1623</v>
      </c>
      <c r="J14" s="53" t="s">
        <v>1970</v>
      </c>
      <c r="K14" t="s">
        <v>1973</v>
      </c>
    </row>
    <row r="15" spans="1:11" x14ac:dyDescent="0.3">
      <c r="A15" s="54" t="s">
        <v>1681</v>
      </c>
      <c r="B15" s="51" t="s">
        <v>1682</v>
      </c>
      <c r="C15" s="54" t="s">
        <v>1617</v>
      </c>
      <c r="D15" t="s">
        <v>1618</v>
      </c>
      <c r="E15" t="s">
        <v>1619</v>
      </c>
      <c r="F15" t="s">
        <v>1683</v>
      </c>
      <c r="G15" t="s">
        <v>1684</v>
      </c>
      <c r="H15" s="52" t="s">
        <v>1685</v>
      </c>
      <c r="I15" s="53" t="s">
        <v>1623</v>
      </c>
      <c r="J15" s="53" t="s">
        <v>1970</v>
      </c>
      <c r="K15" t="s">
        <v>1973</v>
      </c>
    </row>
    <row r="16" spans="1:11" x14ac:dyDescent="0.3">
      <c r="A16" s="54" t="s">
        <v>1686</v>
      </c>
      <c r="B16" s="51" t="s">
        <v>1687</v>
      </c>
      <c r="C16" s="54" t="s">
        <v>1688</v>
      </c>
      <c r="D16" t="s">
        <v>42</v>
      </c>
      <c r="E16" t="s">
        <v>1619</v>
      </c>
      <c r="F16" t="s">
        <v>1689</v>
      </c>
      <c r="G16" t="s">
        <v>1690</v>
      </c>
      <c r="H16" s="52" t="s">
        <v>1691</v>
      </c>
      <c r="I16" s="53" t="s">
        <v>1623</v>
      </c>
      <c r="J16" s="53" t="s">
        <v>1970</v>
      </c>
      <c r="K16" t="s">
        <v>1973</v>
      </c>
    </row>
    <row r="17" spans="1:11" x14ac:dyDescent="0.3">
      <c r="A17" s="54" t="s">
        <v>1692</v>
      </c>
      <c r="B17" s="51" t="s">
        <v>1693</v>
      </c>
      <c r="C17" s="54" t="s">
        <v>1694</v>
      </c>
      <c r="D17" t="s">
        <v>42</v>
      </c>
      <c r="E17" t="s">
        <v>1695</v>
      </c>
      <c r="F17" t="s">
        <v>1696</v>
      </c>
      <c r="G17" t="s">
        <v>1697</v>
      </c>
      <c r="H17" s="52" t="s">
        <v>1698</v>
      </c>
      <c r="I17" s="53" t="s">
        <v>1623</v>
      </c>
      <c r="J17" t="s">
        <v>1970</v>
      </c>
      <c r="K17" t="s">
        <v>1973</v>
      </c>
    </row>
    <row r="18" spans="1:11" x14ac:dyDescent="0.3">
      <c r="A18" s="50" t="s">
        <v>1699</v>
      </c>
      <c r="B18" s="51" t="s">
        <v>1700</v>
      </c>
      <c r="C18" s="50" t="s">
        <v>1701</v>
      </c>
      <c r="D18" t="s">
        <v>23</v>
      </c>
      <c r="E18" t="s">
        <v>1702</v>
      </c>
      <c r="F18" t="s">
        <v>1703</v>
      </c>
      <c r="G18" t="s">
        <v>1704</v>
      </c>
      <c r="H18" s="52" t="s">
        <v>1705</v>
      </c>
      <c r="I18" s="53" t="s">
        <v>1623</v>
      </c>
      <c r="J18" t="s">
        <v>1970</v>
      </c>
      <c r="K18" t="s">
        <v>1973</v>
      </c>
    </row>
    <row r="19" spans="1:11" x14ac:dyDescent="0.3">
      <c r="A19" s="50" t="s">
        <v>1706</v>
      </c>
      <c r="B19" s="51" t="s">
        <v>1707</v>
      </c>
      <c r="C19" s="50" t="s">
        <v>1701</v>
      </c>
      <c r="D19" t="s">
        <v>23</v>
      </c>
      <c r="E19" t="s">
        <v>1702</v>
      </c>
      <c r="F19" t="s">
        <v>1708</v>
      </c>
      <c r="G19" t="s">
        <v>1709</v>
      </c>
      <c r="H19" s="52" t="s">
        <v>1710</v>
      </c>
      <c r="I19" s="53" t="s">
        <v>1623</v>
      </c>
      <c r="J19" t="s">
        <v>1970</v>
      </c>
      <c r="K19" t="s">
        <v>1973</v>
      </c>
    </row>
    <row r="20" spans="1:11" x14ac:dyDescent="0.3">
      <c r="A20" s="50" t="s">
        <v>1711</v>
      </c>
      <c r="B20" s="51" t="s">
        <v>1712</v>
      </c>
      <c r="C20" s="50" t="s">
        <v>1701</v>
      </c>
      <c r="D20" t="s">
        <v>23</v>
      </c>
      <c r="E20" t="s">
        <v>1702</v>
      </c>
      <c r="F20" t="s">
        <v>1642</v>
      </c>
      <c r="G20" t="s">
        <v>1643</v>
      </c>
      <c r="H20" s="52" t="s">
        <v>1644</v>
      </c>
      <c r="I20" s="53" t="s">
        <v>1623</v>
      </c>
      <c r="J20" t="s">
        <v>1970</v>
      </c>
      <c r="K20" t="s">
        <v>1973</v>
      </c>
    </row>
    <row r="21" spans="1:11" x14ac:dyDescent="0.3">
      <c r="A21" s="50" t="s">
        <v>1713</v>
      </c>
      <c r="B21" s="51" t="s">
        <v>1714</v>
      </c>
      <c r="C21" s="50" t="s">
        <v>1715</v>
      </c>
      <c r="D21" t="s">
        <v>23</v>
      </c>
      <c r="E21" t="s">
        <v>1702</v>
      </c>
      <c r="F21" t="s">
        <v>1716</v>
      </c>
      <c r="G21" t="s">
        <v>1717</v>
      </c>
      <c r="H21" s="52" t="s">
        <v>1718</v>
      </c>
      <c r="I21" s="53" t="s">
        <v>1623</v>
      </c>
      <c r="J21" t="s">
        <v>1970</v>
      </c>
      <c r="K21" t="s">
        <v>1973</v>
      </c>
    </row>
    <row r="22" spans="1:11" x14ac:dyDescent="0.3">
      <c r="A22" s="54" t="s">
        <v>1719</v>
      </c>
      <c r="B22" s="51" t="s">
        <v>1720</v>
      </c>
      <c r="C22" s="54" t="s">
        <v>1701</v>
      </c>
      <c r="D22" t="s">
        <v>23</v>
      </c>
      <c r="E22" t="s">
        <v>1702</v>
      </c>
      <c r="F22" t="s">
        <v>1721</v>
      </c>
      <c r="G22" t="s">
        <v>1722</v>
      </c>
      <c r="H22" s="52" t="s">
        <v>1723</v>
      </c>
      <c r="I22" s="53" t="s">
        <v>1623</v>
      </c>
      <c r="J22" t="s">
        <v>1970</v>
      </c>
      <c r="K22" t="s">
        <v>1973</v>
      </c>
    </row>
    <row r="23" spans="1:11" x14ac:dyDescent="0.3">
      <c r="A23" s="54" t="s">
        <v>1724</v>
      </c>
      <c r="B23" s="51" t="s">
        <v>1725</v>
      </c>
      <c r="C23" s="54" t="s">
        <v>1715</v>
      </c>
      <c r="D23" t="s">
        <v>23</v>
      </c>
      <c r="E23" t="s">
        <v>1726</v>
      </c>
      <c r="F23" t="s">
        <v>1727</v>
      </c>
      <c r="G23" t="s">
        <v>1728</v>
      </c>
      <c r="H23" s="52" t="s">
        <v>1729</v>
      </c>
      <c r="I23" t="s">
        <v>1623</v>
      </c>
      <c r="J23" t="s">
        <v>1970</v>
      </c>
      <c r="K23" t="s">
        <v>1973</v>
      </c>
    </row>
    <row r="24" spans="1:11" x14ac:dyDescent="0.3">
      <c r="A24" s="54" t="s">
        <v>1730</v>
      </c>
      <c r="B24" s="51" t="s">
        <v>1731</v>
      </c>
      <c r="C24" s="54" t="s">
        <v>1715</v>
      </c>
      <c r="D24" t="s">
        <v>23</v>
      </c>
      <c r="E24" t="s">
        <v>1702</v>
      </c>
      <c r="F24" t="s">
        <v>1732</v>
      </c>
      <c r="G24" t="s">
        <v>1733</v>
      </c>
      <c r="H24" s="52" t="s">
        <v>1734</v>
      </c>
      <c r="I24" s="53" t="s">
        <v>1623</v>
      </c>
      <c r="J24" t="s">
        <v>1970</v>
      </c>
      <c r="K24" t="s">
        <v>1973</v>
      </c>
    </row>
    <row r="25" spans="1:11" x14ac:dyDescent="0.3">
      <c r="A25" s="54" t="s">
        <v>1735</v>
      </c>
      <c r="B25" s="51" t="s">
        <v>1736</v>
      </c>
      <c r="C25" s="54" t="s">
        <v>1715</v>
      </c>
      <c r="D25" t="s">
        <v>23</v>
      </c>
      <c r="E25" t="s">
        <v>1702</v>
      </c>
      <c r="F25" t="s">
        <v>1737</v>
      </c>
      <c r="G25" t="s">
        <v>1738</v>
      </c>
      <c r="H25" s="52" t="s">
        <v>1739</v>
      </c>
      <c r="I25" s="53" t="s">
        <v>1623</v>
      </c>
      <c r="J25" t="s">
        <v>1970</v>
      </c>
      <c r="K25" t="s">
        <v>1973</v>
      </c>
    </row>
    <row r="26" spans="1:11" x14ac:dyDescent="0.3">
      <c r="A26" s="54" t="s">
        <v>1740</v>
      </c>
      <c r="B26" s="51" t="s">
        <v>1741</v>
      </c>
      <c r="C26" s="54" t="s">
        <v>1715</v>
      </c>
      <c r="D26" t="s">
        <v>23</v>
      </c>
      <c r="E26" t="s">
        <v>1702</v>
      </c>
      <c r="F26" t="s">
        <v>1742</v>
      </c>
      <c r="G26" t="s">
        <v>1743</v>
      </c>
      <c r="H26" s="52" t="s">
        <v>1744</v>
      </c>
      <c r="I26" s="53" t="s">
        <v>1623</v>
      </c>
      <c r="J26" t="s">
        <v>1970</v>
      </c>
      <c r="K26" t="s">
        <v>1973</v>
      </c>
    </row>
    <row r="27" spans="1:11" x14ac:dyDescent="0.3">
      <c r="A27" s="50" t="s">
        <v>1745</v>
      </c>
      <c r="B27" s="51" t="s">
        <v>1746</v>
      </c>
      <c r="C27" s="50" t="s">
        <v>1715</v>
      </c>
      <c r="D27" t="s">
        <v>23</v>
      </c>
      <c r="E27" t="s">
        <v>1702</v>
      </c>
      <c r="F27" t="s">
        <v>1747</v>
      </c>
      <c r="G27" t="s">
        <v>1748</v>
      </c>
      <c r="H27" s="52" t="s">
        <v>1749</v>
      </c>
      <c r="I27" s="53" t="s">
        <v>1623</v>
      </c>
      <c r="J27" t="s">
        <v>1970</v>
      </c>
      <c r="K27" t="s">
        <v>1973</v>
      </c>
    </row>
    <row r="28" spans="1:11" x14ac:dyDescent="0.3">
      <c r="A28" s="54" t="s">
        <v>1750</v>
      </c>
      <c r="B28" s="51" t="s">
        <v>1751</v>
      </c>
      <c r="C28" s="54" t="s">
        <v>1617</v>
      </c>
      <c r="D28" t="s">
        <v>1618</v>
      </c>
      <c r="E28" t="s">
        <v>1619</v>
      </c>
      <c r="F28" t="s">
        <v>1752</v>
      </c>
      <c r="G28" t="s">
        <v>1753</v>
      </c>
      <c r="H28" s="52" t="s">
        <v>1754</v>
      </c>
      <c r="I28" s="53" t="s">
        <v>1623</v>
      </c>
      <c r="J28" s="53" t="s">
        <v>1970</v>
      </c>
      <c r="K28" t="s">
        <v>1973</v>
      </c>
    </row>
    <row r="29" spans="1:11" x14ac:dyDescent="0.3">
      <c r="A29" s="54" t="s">
        <v>1755</v>
      </c>
      <c r="B29" s="51" t="s">
        <v>1756</v>
      </c>
      <c r="C29" s="54" t="s">
        <v>1757</v>
      </c>
      <c r="D29" t="s">
        <v>23</v>
      </c>
      <c r="E29" t="s">
        <v>1695</v>
      </c>
      <c r="F29" t="s">
        <v>1758</v>
      </c>
      <c r="G29" t="s">
        <v>1759</v>
      </c>
      <c r="H29" s="52" t="s">
        <v>1760</v>
      </c>
      <c r="I29" s="53" t="s">
        <v>1623</v>
      </c>
      <c r="J29" t="s">
        <v>1970</v>
      </c>
      <c r="K29" t="s">
        <v>1973</v>
      </c>
    </row>
    <row r="30" spans="1:11" x14ac:dyDescent="0.3">
      <c r="A30" s="50" t="s">
        <v>1761</v>
      </c>
      <c r="B30" s="51" t="s">
        <v>1762</v>
      </c>
      <c r="C30" s="50" t="s">
        <v>1694</v>
      </c>
      <c r="D30" t="s">
        <v>42</v>
      </c>
      <c r="E30" t="s">
        <v>1695</v>
      </c>
      <c r="F30" t="s">
        <v>1763</v>
      </c>
      <c r="G30" t="s">
        <v>1764</v>
      </c>
      <c r="H30" s="52" t="s">
        <v>1765</v>
      </c>
      <c r="I30" s="53" t="s">
        <v>1623</v>
      </c>
      <c r="J30" t="s">
        <v>1970</v>
      </c>
      <c r="K30" t="s">
        <v>1973</v>
      </c>
    </row>
    <row r="31" spans="1:11" x14ac:dyDescent="0.3">
      <c r="A31" s="50" t="s">
        <v>1766</v>
      </c>
      <c r="B31" s="51" t="s">
        <v>1767</v>
      </c>
      <c r="C31" s="50" t="s">
        <v>1757</v>
      </c>
      <c r="D31" t="s">
        <v>23</v>
      </c>
      <c r="E31" t="s">
        <v>1695</v>
      </c>
      <c r="F31" t="s">
        <v>1768</v>
      </c>
      <c r="G31" t="s">
        <v>1769</v>
      </c>
      <c r="H31" s="52" t="s">
        <v>1770</v>
      </c>
      <c r="I31" s="53" t="s">
        <v>1623</v>
      </c>
      <c r="J31" t="s">
        <v>1970</v>
      </c>
      <c r="K31" t="s">
        <v>1973</v>
      </c>
    </row>
    <row r="32" spans="1:11" x14ac:dyDescent="0.3">
      <c r="A32" s="54" t="s">
        <v>1771</v>
      </c>
      <c r="B32" s="51" t="s">
        <v>1772</v>
      </c>
      <c r="C32" s="54" t="s">
        <v>1757</v>
      </c>
      <c r="D32" t="s">
        <v>23</v>
      </c>
      <c r="E32" t="s">
        <v>1619</v>
      </c>
      <c r="F32" t="s">
        <v>1773</v>
      </c>
      <c r="G32" t="s">
        <v>1774</v>
      </c>
      <c r="H32" s="52" t="s">
        <v>1775</v>
      </c>
      <c r="I32" s="53" t="s">
        <v>1623</v>
      </c>
      <c r="J32" s="53" t="s">
        <v>1970</v>
      </c>
      <c r="K32" t="s">
        <v>1973</v>
      </c>
    </row>
    <row r="33" spans="1:11" x14ac:dyDescent="0.3">
      <c r="A33" s="55" t="s">
        <v>1776</v>
      </c>
      <c r="B33" s="51" t="s">
        <v>1777</v>
      </c>
      <c r="C33" s="55" t="s">
        <v>1778</v>
      </c>
      <c r="D33" t="s">
        <v>23</v>
      </c>
      <c r="E33" t="s">
        <v>1702</v>
      </c>
      <c r="F33" t="s">
        <v>1779</v>
      </c>
      <c r="G33" t="s">
        <v>1780</v>
      </c>
      <c r="H33" s="52" t="s">
        <v>1781</v>
      </c>
      <c r="I33" s="53" t="s">
        <v>1623</v>
      </c>
      <c r="J33" t="s">
        <v>1970</v>
      </c>
      <c r="K33" t="s">
        <v>1973</v>
      </c>
    </row>
    <row r="34" spans="1:11" x14ac:dyDescent="0.3">
      <c r="A34" s="55" t="s">
        <v>1782</v>
      </c>
      <c r="B34" s="51" t="s">
        <v>1783</v>
      </c>
      <c r="C34" s="55" t="s">
        <v>1778</v>
      </c>
      <c r="D34" t="s">
        <v>23</v>
      </c>
      <c r="E34" t="s">
        <v>1702</v>
      </c>
      <c r="F34" t="s">
        <v>1784</v>
      </c>
      <c r="G34" t="s">
        <v>1785</v>
      </c>
      <c r="H34" s="52" t="s">
        <v>1786</v>
      </c>
      <c r="I34" s="53" t="s">
        <v>1623</v>
      </c>
      <c r="J34" t="s">
        <v>1970</v>
      </c>
      <c r="K34" t="s">
        <v>1973</v>
      </c>
    </row>
    <row r="35" spans="1:11" x14ac:dyDescent="0.3">
      <c r="A35" s="55" t="s">
        <v>1787</v>
      </c>
      <c r="B35" s="51" t="s">
        <v>1788</v>
      </c>
      <c r="C35" s="55" t="s">
        <v>1778</v>
      </c>
      <c r="D35" t="s">
        <v>23</v>
      </c>
      <c r="E35" t="s">
        <v>1702</v>
      </c>
      <c r="F35" t="s">
        <v>1789</v>
      </c>
      <c r="G35" t="s">
        <v>1790</v>
      </c>
      <c r="H35" s="52" t="s">
        <v>1791</v>
      </c>
      <c r="I35" s="53" t="s">
        <v>1623</v>
      </c>
      <c r="J35" t="s">
        <v>1970</v>
      </c>
      <c r="K35" t="s">
        <v>1973</v>
      </c>
    </row>
    <row r="36" spans="1:11" x14ac:dyDescent="0.3">
      <c r="A36" s="55" t="s">
        <v>1792</v>
      </c>
      <c r="B36" s="51" t="s">
        <v>1793</v>
      </c>
      <c r="C36" s="55" t="s">
        <v>1778</v>
      </c>
      <c r="D36" t="s">
        <v>23</v>
      </c>
      <c r="E36" t="s">
        <v>1702</v>
      </c>
      <c r="F36" t="s">
        <v>1794</v>
      </c>
      <c r="G36" t="s">
        <v>1795</v>
      </c>
      <c r="H36" s="52" t="s">
        <v>1796</v>
      </c>
      <c r="I36" s="53" t="s">
        <v>1623</v>
      </c>
      <c r="J36" t="s">
        <v>1970</v>
      </c>
      <c r="K36" t="s">
        <v>1973</v>
      </c>
    </row>
    <row r="37" spans="1:11" x14ac:dyDescent="0.3">
      <c r="A37" s="55" t="s">
        <v>1797</v>
      </c>
      <c r="B37" s="51" t="s">
        <v>1798</v>
      </c>
      <c r="C37" s="55" t="s">
        <v>1778</v>
      </c>
      <c r="D37" t="s">
        <v>23</v>
      </c>
      <c r="E37" t="s">
        <v>1702</v>
      </c>
      <c r="F37" t="s">
        <v>1799</v>
      </c>
      <c r="G37" t="s">
        <v>1800</v>
      </c>
      <c r="H37" s="52" t="s">
        <v>1801</v>
      </c>
      <c r="I37" s="53" t="s">
        <v>1623</v>
      </c>
      <c r="J37" t="s">
        <v>1970</v>
      </c>
      <c r="K37" t="s">
        <v>1973</v>
      </c>
    </row>
    <row r="38" spans="1:11" x14ac:dyDescent="0.3">
      <c r="A38" s="55" t="s">
        <v>1802</v>
      </c>
      <c r="B38" s="51" t="s">
        <v>1803</v>
      </c>
      <c r="C38" s="55" t="s">
        <v>1778</v>
      </c>
      <c r="D38" t="s">
        <v>23</v>
      </c>
      <c r="E38" t="s">
        <v>1702</v>
      </c>
      <c r="F38" t="s">
        <v>1804</v>
      </c>
      <c r="G38" t="s">
        <v>1805</v>
      </c>
      <c r="H38" s="52" t="s">
        <v>1806</v>
      </c>
      <c r="I38" s="53" t="s">
        <v>1623</v>
      </c>
      <c r="J38" t="s">
        <v>1970</v>
      </c>
      <c r="K38" t="s">
        <v>1973</v>
      </c>
    </row>
    <row r="39" spans="1:11" x14ac:dyDescent="0.3">
      <c r="A39" s="55" t="s">
        <v>1807</v>
      </c>
      <c r="B39" s="51" t="s">
        <v>1808</v>
      </c>
      <c r="C39" s="55" t="s">
        <v>1778</v>
      </c>
      <c r="D39" t="s">
        <v>23</v>
      </c>
      <c r="E39" t="s">
        <v>1702</v>
      </c>
      <c r="F39" t="s">
        <v>1809</v>
      </c>
      <c r="G39" t="s">
        <v>1810</v>
      </c>
      <c r="H39" s="52" t="s">
        <v>1811</v>
      </c>
      <c r="I39" s="53" t="s">
        <v>1623</v>
      </c>
      <c r="J39" t="s">
        <v>1970</v>
      </c>
      <c r="K39" t="s">
        <v>1973</v>
      </c>
    </row>
    <row r="40" spans="1:11" x14ac:dyDescent="0.3">
      <c r="A40" s="55" t="s">
        <v>1812</v>
      </c>
      <c r="B40" s="51" t="s">
        <v>1813</v>
      </c>
      <c r="C40" s="55" t="s">
        <v>1778</v>
      </c>
      <c r="D40" t="s">
        <v>23</v>
      </c>
      <c r="E40" t="s">
        <v>1702</v>
      </c>
      <c r="F40" t="s">
        <v>1814</v>
      </c>
      <c r="G40" t="s">
        <v>1815</v>
      </c>
      <c r="H40" s="52" t="s">
        <v>1816</v>
      </c>
      <c r="I40" s="53" t="s">
        <v>1623</v>
      </c>
      <c r="J40" t="s">
        <v>1970</v>
      </c>
      <c r="K40" t="s">
        <v>1973</v>
      </c>
    </row>
    <row r="41" spans="1:11" x14ac:dyDescent="0.3">
      <c r="A41" s="55" t="s">
        <v>1817</v>
      </c>
      <c r="B41" s="51" t="s">
        <v>1818</v>
      </c>
      <c r="C41" s="55" t="s">
        <v>1778</v>
      </c>
      <c r="D41" t="s">
        <v>23</v>
      </c>
      <c r="E41" t="s">
        <v>1702</v>
      </c>
      <c r="F41" t="s">
        <v>1768</v>
      </c>
      <c r="G41" t="s">
        <v>1819</v>
      </c>
      <c r="H41" s="52" t="s">
        <v>1770</v>
      </c>
      <c r="I41" s="53" t="s">
        <v>1623</v>
      </c>
      <c r="J41" t="s">
        <v>1970</v>
      </c>
      <c r="K41" t="s">
        <v>1973</v>
      </c>
    </row>
    <row r="42" spans="1:11" x14ac:dyDescent="0.3">
      <c r="A42" s="55" t="s">
        <v>1820</v>
      </c>
      <c r="B42" s="51" t="s">
        <v>1821</v>
      </c>
      <c r="C42" s="55" t="s">
        <v>1778</v>
      </c>
      <c r="D42" t="s">
        <v>23</v>
      </c>
      <c r="E42" t="s">
        <v>1702</v>
      </c>
      <c r="F42" t="s">
        <v>1822</v>
      </c>
      <c r="G42" t="s">
        <v>1823</v>
      </c>
      <c r="H42" s="52" t="s">
        <v>1824</v>
      </c>
      <c r="I42" s="53" t="s">
        <v>1623</v>
      </c>
      <c r="J42" t="s">
        <v>1970</v>
      </c>
      <c r="K42" t="s">
        <v>1973</v>
      </c>
    </row>
    <row r="43" spans="1:11" x14ac:dyDescent="0.3">
      <c r="A43" s="55" t="s">
        <v>1825</v>
      </c>
      <c r="B43" s="51" t="s">
        <v>1826</v>
      </c>
      <c r="C43" s="55" t="s">
        <v>1827</v>
      </c>
      <c r="D43" t="s">
        <v>23</v>
      </c>
      <c r="E43" t="s">
        <v>1702</v>
      </c>
      <c r="F43" t="s">
        <v>1829</v>
      </c>
      <c r="G43" t="s">
        <v>1830</v>
      </c>
      <c r="H43" s="52" t="s">
        <v>1831</v>
      </c>
      <c r="I43" s="53" t="s">
        <v>1623</v>
      </c>
      <c r="J43" t="s">
        <v>1970</v>
      </c>
      <c r="K43" t="s">
        <v>1973</v>
      </c>
    </row>
    <row r="44" spans="1:11" x14ac:dyDescent="0.3">
      <c r="A44" s="55" t="s">
        <v>1832</v>
      </c>
      <c r="B44" s="51" t="s">
        <v>1833</v>
      </c>
      <c r="C44" s="55" t="s">
        <v>1827</v>
      </c>
      <c r="D44" t="s">
        <v>23</v>
      </c>
      <c r="E44" t="s">
        <v>1702</v>
      </c>
      <c r="F44" t="s">
        <v>1834</v>
      </c>
      <c r="G44" t="s">
        <v>1835</v>
      </c>
      <c r="H44" s="52" t="s">
        <v>1836</v>
      </c>
      <c r="I44" s="53" t="s">
        <v>1623</v>
      </c>
      <c r="J44" t="s">
        <v>1970</v>
      </c>
      <c r="K44" t="s">
        <v>1973</v>
      </c>
    </row>
    <row r="45" spans="1:11" x14ac:dyDescent="0.3">
      <c r="A45" s="55" t="s">
        <v>1837</v>
      </c>
      <c r="B45" s="51" t="s">
        <v>1838</v>
      </c>
      <c r="C45" s="55" t="s">
        <v>1827</v>
      </c>
      <c r="D45" t="s">
        <v>23</v>
      </c>
      <c r="E45" t="s">
        <v>1702</v>
      </c>
      <c r="F45" t="s">
        <v>1839</v>
      </c>
      <c r="G45" t="s">
        <v>1840</v>
      </c>
      <c r="H45" s="52" t="s">
        <v>1841</v>
      </c>
      <c r="I45" s="53" t="s">
        <v>1623</v>
      </c>
      <c r="J45" t="s">
        <v>1970</v>
      </c>
      <c r="K45" t="s">
        <v>1973</v>
      </c>
    </row>
    <row r="46" spans="1:11" x14ac:dyDescent="0.3">
      <c r="A46" s="55" t="s">
        <v>1842</v>
      </c>
      <c r="B46" s="51" t="s">
        <v>1843</v>
      </c>
      <c r="C46" s="55" t="s">
        <v>1827</v>
      </c>
      <c r="D46" t="s">
        <v>23</v>
      </c>
      <c r="E46" t="s">
        <v>1702</v>
      </c>
      <c r="F46" t="s">
        <v>1844</v>
      </c>
      <c r="G46" t="s">
        <v>1845</v>
      </c>
      <c r="H46" s="52" t="s">
        <v>1846</v>
      </c>
      <c r="I46" s="53" t="s">
        <v>1623</v>
      </c>
      <c r="J46" t="s">
        <v>1970</v>
      </c>
      <c r="K46" t="s">
        <v>1973</v>
      </c>
    </row>
    <row r="47" spans="1:11" x14ac:dyDescent="0.3">
      <c r="A47" s="55" t="s">
        <v>1847</v>
      </c>
      <c r="B47" s="51" t="s">
        <v>1848</v>
      </c>
      <c r="C47" s="55" t="s">
        <v>1827</v>
      </c>
      <c r="D47" t="s">
        <v>23</v>
      </c>
      <c r="E47" t="s">
        <v>1702</v>
      </c>
      <c r="F47" t="s">
        <v>1849</v>
      </c>
      <c r="G47" t="s">
        <v>1850</v>
      </c>
      <c r="H47" s="52" t="s">
        <v>1851</v>
      </c>
      <c r="I47" s="53" t="s">
        <v>1623</v>
      </c>
      <c r="J47" t="s">
        <v>1970</v>
      </c>
      <c r="K47" t="s">
        <v>1973</v>
      </c>
    </row>
    <row r="48" spans="1:11" x14ac:dyDescent="0.3">
      <c r="A48" s="55" t="s">
        <v>1852</v>
      </c>
      <c r="B48" s="51" t="s">
        <v>1853</v>
      </c>
      <c r="C48" s="55" t="s">
        <v>1827</v>
      </c>
      <c r="D48" t="s">
        <v>23</v>
      </c>
      <c r="E48" t="s">
        <v>1702</v>
      </c>
      <c r="F48" t="s">
        <v>1854</v>
      </c>
      <c r="G48" t="s">
        <v>1855</v>
      </c>
      <c r="H48" s="52" t="s">
        <v>1856</v>
      </c>
      <c r="I48" s="53" t="s">
        <v>1623</v>
      </c>
      <c r="J48" t="s">
        <v>1970</v>
      </c>
      <c r="K48" t="s">
        <v>1973</v>
      </c>
    </row>
    <row r="49" spans="1:11" x14ac:dyDescent="0.3">
      <c r="A49" s="55" t="s">
        <v>1857</v>
      </c>
      <c r="B49" s="51" t="s">
        <v>1858</v>
      </c>
      <c r="C49" s="55" t="s">
        <v>1827</v>
      </c>
      <c r="D49" t="s">
        <v>23</v>
      </c>
      <c r="E49" t="s">
        <v>1702</v>
      </c>
      <c r="F49" t="s">
        <v>1859</v>
      </c>
      <c r="G49" t="s">
        <v>1860</v>
      </c>
      <c r="H49" s="52" t="s">
        <v>1861</v>
      </c>
      <c r="I49" s="53" t="s">
        <v>1623</v>
      </c>
      <c r="J49" t="s">
        <v>1970</v>
      </c>
      <c r="K49" t="s">
        <v>1973</v>
      </c>
    </row>
    <row r="50" spans="1:11" x14ac:dyDescent="0.3">
      <c r="A50" s="55" t="s">
        <v>1862</v>
      </c>
      <c r="B50" s="51" t="s">
        <v>1863</v>
      </c>
      <c r="C50" s="55" t="s">
        <v>1827</v>
      </c>
      <c r="D50" t="s">
        <v>23</v>
      </c>
      <c r="E50" t="s">
        <v>1702</v>
      </c>
      <c r="F50" t="s">
        <v>1864</v>
      </c>
      <c r="G50" t="s">
        <v>1865</v>
      </c>
      <c r="H50" s="52" t="s">
        <v>1866</v>
      </c>
      <c r="I50" s="53" t="s">
        <v>1623</v>
      </c>
      <c r="J50" t="s">
        <v>1970</v>
      </c>
      <c r="K50" t="s">
        <v>1973</v>
      </c>
    </row>
    <row r="51" spans="1:11" x14ac:dyDescent="0.3">
      <c r="A51" s="55" t="s">
        <v>1867</v>
      </c>
      <c r="B51" s="51" t="s">
        <v>1868</v>
      </c>
      <c r="C51" s="55" t="s">
        <v>1827</v>
      </c>
      <c r="D51" t="s">
        <v>23</v>
      </c>
      <c r="E51" t="s">
        <v>1702</v>
      </c>
      <c r="F51" t="s">
        <v>1869</v>
      </c>
      <c r="G51" t="s">
        <v>1870</v>
      </c>
      <c r="H51" s="52" t="s">
        <v>1871</v>
      </c>
      <c r="I51" s="53" t="s">
        <v>1623</v>
      </c>
      <c r="J51" t="s">
        <v>1970</v>
      </c>
      <c r="K51" t="s">
        <v>1973</v>
      </c>
    </row>
    <row r="52" spans="1:11" x14ac:dyDescent="0.3">
      <c r="A52" s="55" t="s">
        <v>1872</v>
      </c>
      <c r="B52" s="51" t="s">
        <v>1873</v>
      </c>
      <c r="C52" s="55" t="s">
        <v>1827</v>
      </c>
      <c r="D52" t="s">
        <v>23</v>
      </c>
      <c r="E52" t="s">
        <v>1702</v>
      </c>
      <c r="F52" t="s">
        <v>1874</v>
      </c>
      <c r="G52" t="s">
        <v>1875</v>
      </c>
      <c r="H52" s="52" t="s">
        <v>1876</v>
      </c>
      <c r="I52" s="53" t="s">
        <v>1623</v>
      </c>
      <c r="J52" t="s">
        <v>1970</v>
      </c>
      <c r="K52" t="s">
        <v>1973</v>
      </c>
    </row>
    <row r="53" spans="1:11" x14ac:dyDescent="0.3">
      <c r="A53" s="54" t="s">
        <v>1877</v>
      </c>
      <c r="B53" s="51" t="s">
        <v>1878</v>
      </c>
      <c r="C53" s="54" t="s">
        <v>1879</v>
      </c>
      <c r="D53" t="s">
        <v>591</v>
      </c>
      <c r="E53" t="s">
        <v>1880</v>
      </c>
      <c r="F53" t="s">
        <v>1881</v>
      </c>
      <c r="G53" t="s">
        <v>1882</v>
      </c>
      <c r="H53" s="52" t="s">
        <v>1883</v>
      </c>
      <c r="I53" t="s">
        <v>1623</v>
      </c>
      <c r="J53" t="s">
        <v>1970</v>
      </c>
      <c r="K53" t="s">
        <v>1974</v>
      </c>
    </row>
    <row r="54" spans="1:11" x14ac:dyDescent="0.3">
      <c r="A54" s="54" t="s">
        <v>1884</v>
      </c>
      <c r="B54" s="51" t="s">
        <v>1885</v>
      </c>
      <c r="C54" s="54" t="s">
        <v>1886</v>
      </c>
      <c r="D54" t="s">
        <v>1887</v>
      </c>
      <c r="E54" t="s">
        <v>1880</v>
      </c>
      <c r="F54" t="s">
        <v>1888</v>
      </c>
      <c r="G54" t="s">
        <v>1889</v>
      </c>
      <c r="H54" s="52" t="s">
        <v>1890</v>
      </c>
      <c r="I54" t="s">
        <v>1623</v>
      </c>
      <c r="J54" t="s">
        <v>1970</v>
      </c>
      <c r="K54" t="s">
        <v>1974</v>
      </c>
    </row>
    <row r="55" spans="1:11" x14ac:dyDescent="0.3">
      <c r="A55" s="50" t="s">
        <v>1891</v>
      </c>
      <c r="B55" s="51" t="s">
        <v>1892</v>
      </c>
      <c r="C55" s="50" t="s">
        <v>1879</v>
      </c>
      <c r="D55" t="s">
        <v>591</v>
      </c>
      <c r="E55" t="s">
        <v>1880</v>
      </c>
      <c r="F55" t="s">
        <v>1893</v>
      </c>
      <c r="G55" t="s">
        <v>1894</v>
      </c>
      <c r="H55" s="52" t="s">
        <v>1895</v>
      </c>
      <c r="I55" t="s">
        <v>1623</v>
      </c>
      <c r="J55" t="s">
        <v>1970</v>
      </c>
      <c r="K55" t="s">
        <v>1974</v>
      </c>
    </row>
    <row r="56" spans="1:11" x14ac:dyDescent="0.3">
      <c r="A56" s="54" t="s">
        <v>1896</v>
      </c>
      <c r="B56" s="51" t="s">
        <v>1897</v>
      </c>
      <c r="C56" s="54" t="s">
        <v>1879</v>
      </c>
      <c r="D56" t="s">
        <v>591</v>
      </c>
      <c r="E56" t="s">
        <v>1880</v>
      </c>
      <c r="F56" t="s">
        <v>1898</v>
      </c>
      <c r="G56" t="s">
        <v>1899</v>
      </c>
      <c r="H56" s="52" t="s">
        <v>1900</v>
      </c>
      <c r="I56" t="s">
        <v>1623</v>
      </c>
      <c r="J56" t="s">
        <v>1970</v>
      </c>
      <c r="K56" t="s">
        <v>1974</v>
      </c>
    </row>
    <row r="57" spans="1:11" x14ac:dyDescent="0.3">
      <c r="A57" s="50" t="s">
        <v>1901</v>
      </c>
      <c r="B57" s="51" t="s">
        <v>1902</v>
      </c>
      <c r="C57" s="50" t="s">
        <v>1879</v>
      </c>
      <c r="D57" t="s">
        <v>591</v>
      </c>
      <c r="E57" t="s">
        <v>1880</v>
      </c>
      <c r="F57" t="s">
        <v>1903</v>
      </c>
      <c r="G57" t="s">
        <v>1904</v>
      </c>
      <c r="H57" s="52" t="s">
        <v>1905</v>
      </c>
      <c r="I57" t="s">
        <v>1623</v>
      </c>
      <c r="J57" t="s">
        <v>1970</v>
      </c>
      <c r="K57" t="s">
        <v>1974</v>
      </c>
    </row>
    <row r="58" spans="1:11" x14ac:dyDescent="0.3">
      <c r="A58" s="50" t="s">
        <v>1906</v>
      </c>
      <c r="B58" s="51" t="s">
        <v>1907</v>
      </c>
      <c r="C58" s="50" t="s">
        <v>1908</v>
      </c>
      <c r="D58" t="s">
        <v>587</v>
      </c>
      <c r="E58" t="s">
        <v>1880</v>
      </c>
      <c r="F58" t="s">
        <v>1909</v>
      </c>
      <c r="G58" t="s">
        <v>1910</v>
      </c>
      <c r="H58" s="52" t="s">
        <v>1911</v>
      </c>
      <c r="I58" t="s">
        <v>1623</v>
      </c>
      <c r="J58" t="s">
        <v>1970</v>
      </c>
      <c r="K58" t="s">
        <v>1974</v>
      </c>
    </row>
    <row r="59" spans="1:11" x14ac:dyDescent="0.3">
      <c r="A59" s="54" t="s">
        <v>1912</v>
      </c>
      <c r="B59" s="51" t="s">
        <v>1913</v>
      </c>
      <c r="C59" s="54" t="s">
        <v>1908</v>
      </c>
      <c r="D59" t="s">
        <v>587</v>
      </c>
      <c r="E59" t="s">
        <v>1880</v>
      </c>
      <c r="F59" t="s">
        <v>1914</v>
      </c>
      <c r="G59" t="s">
        <v>1915</v>
      </c>
      <c r="H59" s="52" t="s">
        <v>1916</v>
      </c>
      <c r="I59" t="s">
        <v>1623</v>
      </c>
      <c r="J59" t="s">
        <v>1970</v>
      </c>
      <c r="K59" t="s">
        <v>1974</v>
      </c>
    </row>
    <row r="60" spans="1:11" x14ac:dyDescent="0.3">
      <c r="A60" s="50" t="s">
        <v>1917</v>
      </c>
      <c r="B60" s="51" t="s">
        <v>1918</v>
      </c>
      <c r="C60" s="50" t="s">
        <v>1919</v>
      </c>
      <c r="D60" t="s">
        <v>587</v>
      </c>
      <c r="E60" t="s">
        <v>1409</v>
      </c>
      <c r="F60" t="s">
        <v>1920</v>
      </c>
      <c r="G60" t="s">
        <v>1921</v>
      </c>
      <c r="H60" s="52" t="s">
        <v>1922</v>
      </c>
      <c r="I60" t="s">
        <v>1623</v>
      </c>
      <c r="J60" t="s">
        <v>1970</v>
      </c>
      <c r="K60" t="s">
        <v>1974</v>
      </c>
    </row>
    <row r="61" spans="1:11" x14ac:dyDescent="0.3">
      <c r="A61" s="50" t="s">
        <v>1923</v>
      </c>
      <c r="B61" s="51" t="s">
        <v>1924</v>
      </c>
      <c r="C61" s="50" t="s">
        <v>1925</v>
      </c>
      <c r="D61" t="s">
        <v>1926</v>
      </c>
      <c r="E61" t="s">
        <v>1927</v>
      </c>
      <c r="H61" s="52"/>
      <c r="I61" t="s">
        <v>1623</v>
      </c>
      <c r="J61" t="s">
        <v>1970</v>
      </c>
      <c r="K61" t="s">
        <v>1974</v>
      </c>
    </row>
    <row r="62" spans="1:11" x14ac:dyDescent="0.3">
      <c r="A62" s="54" t="s">
        <v>1928</v>
      </c>
      <c r="B62" s="51" t="s">
        <v>1929</v>
      </c>
      <c r="C62" s="54" t="s">
        <v>1930</v>
      </c>
      <c r="D62" t="s">
        <v>42</v>
      </c>
      <c r="E62" t="s">
        <v>1656</v>
      </c>
      <c r="F62" t="s">
        <v>1931</v>
      </c>
      <c r="G62" t="s">
        <v>1932</v>
      </c>
      <c r="H62" s="52" t="s">
        <v>1933</v>
      </c>
      <c r="I62" t="s">
        <v>1623</v>
      </c>
      <c r="J62" t="s">
        <v>1970</v>
      </c>
      <c r="K62" t="s">
        <v>1974</v>
      </c>
    </row>
    <row r="63" spans="1:11" x14ac:dyDescent="0.3">
      <c r="A63" s="54" t="s">
        <v>1934</v>
      </c>
      <c r="B63" s="51" t="s">
        <v>1935</v>
      </c>
      <c r="C63" s="54" t="s">
        <v>1936</v>
      </c>
      <c r="D63" t="s">
        <v>1937</v>
      </c>
      <c r="E63" t="s">
        <v>1938</v>
      </c>
      <c r="F63" t="s">
        <v>1939</v>
      </c>
      <c r="G63" t="s">
        <v>1940</v>
      </c>
      <c r="H63" s="52" t="s">
        <v>1941</v>
      </c>
      <c r="I63" t="s">
        <v>1623</v>
      </c>
      <c r="J63" t="s">
        <v>1970</v>
      </c>
      <c r="K63" t="s">
        <v>1974</v>
      </c>
    </row>
    <row r="64" spans="1:11" x14ac:dyDescent="0.3">
      <c r="A64" s="50" t="s">
        <v>1942</v>
      </c>
      <c r="B64" s="51" t="s">
        <v>1943</v>
      </c>
      <c r="C64" s="50" t="s">
        <v>1944</v>
      </c>
      <c r="D64" t="s">
        <v>512</v>
      </c>
      <c r="E64" t="s">
        <v>1656</v>
      </c>
      <c r="F64" t="s">
        <v>1945</v>
      </c>
      <c r="G64" t="s">
        <v>1946</v>
      </c>
      <c r="H64" s="52" t="s">
        <v>1947</v>
      </c>
      <c r="I64" t="s">
        <v>1623</v>
      </c>
      <c r="J64" t="s">
        <v>1970</v>
      </c>
      <c r="K64" t="s">
        <v>1974</v>
      </c>
    </row>
    <row r="65" spans="1:11" x14ac:dyDescent="0.3">
      <c r="A65" s="54" t="s">
        <v>1948</v>
      </c>
      <c r="B65" s="51" t="s">
        <v>1949</v>
      </c>
      <c r="C65" s="54" t="s">
        <v>1950</v>
      </c>
      <c r="D65" t="s">
        <v>512</v>
      </c>
      <c r="E65" t="s">
        <v>1656</v>
      </c>
      <c r="F65" t="s">
        <v>1951</v>
      </c>
      <c r="G65" t="s">
        <v>1952</v>
      </c>
      <c r="H65" s="52" t="s">
        <v>1953</v>
      </c>
      <c r="I65" t="s">
        <v>1623</v>
      </c>
      <c r="J65" t="s">
        <v>1970</v>
      </c>
      <c r="K65" t="s">
        <v>1974</v>
      </c>
    </row>
    <row r="66" spans="1:11" x14ac:dyDescent="0.3">
      <c r="A66" s="50" t="s">
        <v>1954</v>
      </c>
      <c r="B66" s="51" t="s">
        <v>1955</v>
      </c>
      <c r="C66" s="50" t="s">
        <v>1879</v>
      </c>
      <c r="D66" t="s">
        <v>591</v>
      </c>
      <c r="E66" t="s">
        <v>1880</v>
      </c>
      <c r="F66" t="s">
        <v>1956</v>
      </c>
      <c r="G66" t="s">
        <v>1957</v>
      </c>
      <c r="H66" s="52" t="s">
        <v>1958</v>
      </c>
      <c r="I66" t="s">
        <v>1623</v>
      </c>
      <c r="J66" t="s">
        <v>1970</v>
      </c>
      <c r="K66" t="s">
        <v>1974</v>
      </c>
    </row>
    <row r="67" spans="1:11" x14ac:dyDescent="0.3">
      <c r="A67" s="50" t="s">
        <v>1959</v>
      </c>
      <c r="B67" s="51" t="s">
        <v>1960</v>
      </c>
      <c r="C67" s="50" t="s">
        <v>1930</v>
      </c>
      <c r="D67" t="s">
        <v>512</v>
      </c>
      <c r="E67" t="s">
        <v>1656</v>
      </c>
      <c r="F67" t="s">
        <v>1961</v>
      </c>
      <c r="G67" t="s">
        <v>1962</v>
      </c>
      <c r="H67" s="52" t="s">
        <v>1963</v>
      </c>
      <c r="I67" t="s">
        <v>1623</v>
      </c>
      <c r="J67" t="s">
        <v>1970</v>
      </c>
      <c r="K67" t="s">
        <v>1974</v>
      </c>
    </row>
    <row r="68" spans="1:11" x14ac:dyDescent="0.3">
      <c r="A68" s="54" t="s">
        <v>1964</v>
      </c>
      <c r="B68" s="51" t="s">
        <v>1965</v>
      </c>
      <c r="C68" s="54" t="s">
        <v>1966</v>
      </c>
      <c r="D68" t="s">
        <v>587</v>
      </c>
      <c r="E68" t="s">
        <v>1409</v>
      </c>
      <c r="F68" t="s">
        <v>1967</v>
      </c>
      <c r="G68" t="s">
        <v>1968</v>
      </c>
      <c r="H68" s="52" t="s">
        <v>1969</v>
      </c>
      <c r="I68" t="s">
        <v>1623</v>
      </c>
      <c r="J68" t="s">
        <v>1970</v>
      </c>
      <c r="K68" t="s">
        <v>1974</v>
      </c>
    </row>
  </sheetData>
  <autoFilter ref="A1:K68" xr:uid="{C4C0B9BB-1067-4869-AE68-5B86954EA82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8"/>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16" customWidth="1"/>
    <col min="2" max="2" width="34" customWidth="1"/>
    <col min="3" max="3" width="14" customWidth="1"/>
    <col min="4" max="4" width="15" customWidth="1"/>
    <col min="5" max="5" width="17" customWidth="1"/>
    <col min="6" max="6" width="18" customWidth="1"/>
    <col min="7" max="7" width="40" customWidth="1"/>
    <col min="8" max="8" width="60" customWidth="1"/>
    <col min="9" max="10" width="11" customWidth="1"/>
    <col min="11" max="11" width="12" customWidth="1"/>
    <col min="12" max="12" width="20" customWidth="1"/>
    <col min="13" max="13" width="30" customWidth="1"/>
    <col min="14" max="14" width="55" customWidth="1"/>
  </cols>
  <sheetData>
    <row r="1" spans="1:14" ht="33.75" customHeight="1" x14ac:dyDescent="0.3">
      <c r="A1" s="1" t="s">
        <v>6</v>
      </c>
      <c r="B1" s="1" t="s">
        <v>903</v>
      </c>
      <c r="C1" s="1" t="s">
        <v>9</v>
      </c>
      <c r="D1" s="1" t="s">
        <v>904</v>
      </c>
      <c r="E1" s="1" t="s">
        <v>11</v>
      </c>
      <c r="F1" s="1" t="s">
        <v>12</v>
      </c>
      <c r="G1" s="1" t="s">
        <v>13</v>
      </c>
      <c r="H1" s="1" t="s">
        <v>14</v>
      </c>
      <c r="I1" s="1" t="s">
        <v>15</v>
      </c>
      <c r="J1" s="1" t="s">
        <v>16</v>
      </c>
      <c r="K1" s="1" t="s">
        <v>17</v>
      </c>
      <c r="L1" s="1" t="s">
        <v>18</v>
      </c>
      <c r="M1" s="1" t="s">
        <v>905</v>
      </c>
      <c r="N1" s="1" t="s">
        <v>19</v>
      </c>
    </row>
    <row r="2" spans="1:14" x14ac:dyDescent="0.3">
      <c r="A2" s="2" t="s">
        <v>153</v>
      </c>
      <c r="B2" s="2" t="s">
        <v>142</v>
      </c>
      <c r="C2" s="2" t="s">
        <v>143</v>
      </c>
      <c r="D2" s="2" t="s">
        <v>137</v>
      </c>
      <c r="E2" s="2" t="s">
        <v>29</v>
      </c>
      <c r="F2" s="2"/>
      <c r="G2" s="2" t="s">
        <v>142</v>
      </c>
      <c r="H2" s="2" t="s">
        <v>154</v>
      </c>
      <c r="I2" s="3">
        <v>483</v>
      </c>
      <c r="J2" s="3">
        <v>483</v>
      </c>
      <c r="K2" s="4">
        <f t="shared" ref="K2:K65" si="0">IF(I2="","",I2+J2)</f>
        <v>966</v>
      </c>
      <c r="L2" s="2" t="s">
        <v>31</v>
      </c>
      <c r="M2" s="2" t="s">
        <v>151</v>
      </c>
      <c r="N2" s="2"/>
    </row>
    <row r="3" spans="1:14" x14ac:dyDescent="0.3">
      <c r="A3" s="2" t="s">
        <v>153</v>
      </c>
      <c r="B3" s="2" t="s">
        <v>43</v>
      </c>
      <c r="C3" s="2" t="s">
        <v>44</v>
      </c>
      <c r="D3" s="2" t="s">
        <v>45</v>
      </c>
      <c r="E3" s="2" t="s">
        <v>29</v>
      </c>
      <c r="F3" s="2"/>
      <c r="G3" s="2" t="s">
        <v>43</v>
      </c>
      <c r="H3" s="2" t="s">
        <v>256</v>
      </c>
      <c r="I3" s="3">
        <v>763</v>
      </c>
      <c r="J3" s="3">
        <v>763</v>
      </c>
      <c r="K3" s="4">
        <f t="shared" si="0"/>
        <v>1526</v>
      </c>
      <c r="L3" s="2" t="s">
        <v>31</v>
      </c>
      <c r="M3" s="2" t="s">
        <v>255</v>
      </c>
      <c r="N3" s="2"/>
    </row>
    <row r="4" spans="1:14" x14ac:dyDescent="0.3">
      <c r="A4" s="2" t="s">
        <v>153</v>
      </c>
      <c r="B4" s="2" t="s">
        <v>113</v>
      </c>
      <c r="C4" s="2" t="s">
        <v>73</v>
      </c>
      <c r="D4" s="2" t="s">
        <v>54</v>
      </c>
      <c r="E4" s="2" t="s">
        <v>29</v>
      </c>
      <c r="F4" s="2"/>
      <c r="G4" s="2" t="s">
        <v>113</v>
      </c>
      <c r="H4" s="2" t="s">
        <v>262</v>
      </c>
      <c r="I4" s="3">
        <v>1527</v>
      </c>
      <c r="J4" s="3">
        <v>1527</v>
      </c>
      <c r="K4" s="4">
        <f t="shared" si="0"/>
        <v>3054</v>
      </c>
      <c r="L4" s="2" t="s">
        <v>31</v>
      </c>
      <c r="M4" s="2" t="s">
        <v>255</v>
      </c>
      <c r="N4" s="2"/>
    </row>
    <row r="5" spans="1:14" x14ac:dyDescent="0.3">
      <c r="A5" s="2" t="s">
        <v>153</v>
      </c>
      <c r="B5" s="2" t="s">
        <v>72</v>
      </c>
      <c r="C5" s="2" t="s">
        <v>73</v>
      </c>
      <c r="D5" s="2" t="s">
        <v>54</v>
      </c>
      <c r="E5" s="2" t="s">
        <v>29</v>
      </c>
      <c r="F5" s="2"/>
      <c r="G5" s="2" t="s">
        <v>72</v>
      </c>
      <c r="H5" s="2" t="s">
        <v>261</v>
      </c>
      <c r="I5" s="3">
        <v>1375</v>
      </c>
      <c r="J5" s="3">
        <v>1375</v>
      </c>
      <c r="K5" s="4">
        <f t="shared" si="0"/>
        <v>2750</v>
      </c>
      <c r="L5" s="2" t="s">
        <v>31</v>
      </c>
      <c r="M5" s="2" t="s">
        <v>255</v>
      </c>
      <c r="N5" s="2"/>
    </row>
    <row r="6" spans="1:14" x14ac:dyDescent="0.3">
      <c r="A6" s="2" t="s">
        <v>153</v>
      </c>
      <c r="B6" s="2" t="s">
        <v>60</v>
      </c>
      <c r="C6" s="2" t="s">
        <v>60</v>
      </c>
      <c r="D6" s="2" t="s">
        <v>54</v>
      </c>
      <c r="E6" s="2" t="s">
        <v>29</v>
      </c>
      <c r="F6" s="2"/>
      <c r="G6" s="2" t="s">
        <v>60</v>
      </c>
      <c r="H6" s="2" t="s">
        <v>260</v>
      </c>
      <c r="I6" s="3">
        <v>1253</v>
      </c>
      <c r="J6" s="3">
        <v>1253</v>
      </c>
      <c r="K6" s="4">
        <f t="shared" si="0"/>
        <v>2506</v>
      </c>
      <c r="L6" s="2" t="s">
        <v>31</v>
      </c>
      <c r="M6" s="2" t="s">
        <v>255</v>
      </c>
      <c r="N6" s="2"/>
    </row>
    <row r="7" spans="1:14" x14ac:dyDescent="0.3">
      <c r="A7" s="2" t="s">
        <v>153</v>
      </c>
      <c r="B7" s="2" t="s">
        <v>56</v>
      </c>
      <c r="C7" s="2" t="s">
        <v>53</v>
      </c>
      <c r="D7" s="2" t="s">
        <v>54</v>
      </c>
      <c r="E7" s="2" t="s">
        <v>29</v>
      </c>
      <c r="F7" s="2"/>
      <c r="G7" s="2" t="s">
        <v>56</v>
      </c>
      <c r="H7" s="2" t="s">
        <v>263</v>
      </c>
      <c r="I7" s="3">
        <v>1207</v>
      </c>
      <c r="J7" s="3">
        <v>1207</v>
      </c>
      <c r="K7" s="4">
        <f t="shared" si="0"/>
        <v>2414</v>
      </c>
      <c r="L7" s="2" t="s">
        <v>31</v>
      </c>
      <c r="M7" s="2" t="s">
        <v>255</v>
      </c>
      <c r="N7" s="2"/>
    </row>
    <row r="8" spans="1:14" x14ac:dyDescent="0.3">
      <c r="A8" s="2" t="s">
        <v>153</v>
      </c>
      <c r="B8" s="2" t="s">
        <v>68</v>
      </c>
      <c r="C8" s="2" t="s">
        <v>68</v>
      </c>
      <c r="D8" s="2" t="s">
        <v>28</v>
      </c>
      <c r="E8" s="2" t="s">
        <v>29</v>
      </c>
      <c r="F8" s="2"/>
      <c r="G8" s="2" t="s">
        <v>68</v>
      </c>
      <c r="H8" s="2" t="s">
        <v>265</v>
      </c>
      <c r="I8" s="3">
        <v>1051</v>
      </c>
      <c r="J8" s="3">
        <v>1051</v>
      </c>
      <c r="K8" s="4">
        <f t="shared" si="0"/>
        <v>2102</v>
      </c>
      <c r="L8" s="2" t="s">
        <v>31</v>
      </c>
      <c r="M8" s="2" t="s">
        <v>255</v>
      </c>
      <c r="N8" s="2"/>
    </row>
    <row r="9" spans="1:14" x14ac:dyDescent="0.3">
      <c r="A9" s="2" t="s">
        <v>153</v>
      </c>
      <c r="B9" s="2" t="s">
        <v>27</v>
      </c>
      <c r="C9" s="2" t="s">
        <v>27</v>
      </c>
      <c r="D9" s="2" t="s">
        <v>28</v>
      </c>
      <c r="E9" s="2" t="s">
        <v>29</v>
      </c>
      <c r="F9" s="2"/>
      <c r="G9" s="2" t="s">
        <v>27</v>
      </c>
      <c r="H9" s="2" t="s">
        <v>155</v>
      </c>
      <c r="I9" s="3">
        <v>1021</v>
      </c>
      <c r="J9" s="3">
        <v>1021</v>
      </c>
      <c r="K9" s="4">
        <f t="shared" si="0"/>
        <v>2042</v>
      </c>
      <c r="L9" s="2" t="s">
        <v>31</v>
      </c>
      <c r="M9" s="2" t="s">
        <v>906</v>
      </c>
      <c r="N9" s="2"/>
    </row>
    <row r="10" spans="1:14" x14ac:dyDescent="0.3">
      <c r="A10" s="2" t="s">
        <v>153</v>
      </c>
      <c r="B10" s="2" t="s">
        <v>50</v>
      </c>
      <c r="C10" s="2" t="s">
        <v>50</v>
      </c>
      <c r="D10" s="2" t="s">
        <v>28</v>
      </c>
      <c r="E10" s="2" t="s">
        <v>29</v>
      </c>
      <c r="F10" s="2"/>
      <c r="G10" s="2" t="s">
        <v>50</v>
      </c>
      <c r="H10" s="2" t="s">
        <v>156</v>
      </c>
      <c r="I10" s="3">
        <v>928</v>
      </c>
      <c r="J10" s="3">
        <v>928</v>
      </c>
      <c r="K10" s="4">
        <f t="shared" si="0"/>
        <v>1856</v>
      </c>
      <c r="L10" s="2" t="s">
        <v>31</v>
      </c>
      <c r="M10" s="2" t="s">
        <v>151</v>
      </c>
      <c r="N10" s="2"/>
    </row>
    <row r="11" spans="1:14" x14ac:dyDescent="0.3">
      <c r="A11" s="2" t="s">
        <v>153</v>
      </c>
      <c r="B11" s="2" t="s">
        <v>67</v>
      </c>
      <c r="C11" s="2" t="s">
        <v>68</v>
      </c>
      <c r="D11" s="2" t="s">
        <v>28</v>
      </c>
      <c r="E11" s="2" t="s">
        <v>29</v>
      </c>
      <c r="F11" s="2"/>
      <c r="G11" s="2" t="s">
        <v>67</v>
      </c>
      <c r="H11" s="2" t="s">
        <v>257</v>
      </c>
      <c r="I11" s="3">
        <v>868</v>
      </c>
      <c r="J11" s="3">
        <v>868</v>
      </c>
      <c r="K11" s="4">
        <f t="shared" si="0"/>
        <v>1736</v>
      </c>
      <c r="L11" s="2" t="s">
        <v>31</v>
      </c>
      <c r="M11" s="2" t="s">
        <v>255</v>
      </c>
      <c r="N11" s="2"/>
    </row>
    <row r="12" spans="1:14" x14ac:dyDescent="0.3">
      <c r="A12" s="2" t="s">
        <v>153</v>
      </c>
      <c r="B12" s="2" t="s">
        <v>64</v>
      </c>
      <c r="C12" s="2" t="s">
        <v>65</v>
      </c>
      <c r="D12" s="2" t="s">
        <v>28</v>
      </c>
      <c r="E12" s="2" t="s">
        <v>29</v>
      </c>
      <c r="F12" s="2"/>
      <c r="G12" s="2" t="s">
        <v>64</v>
      </c>
      <c r="H12" s="2" t="s">
        <v>259</v>
      </c>
      <c r="I12" s="3">
        <v>858</v>
      </c>
      <c r="J12" s="3">
        <v>858</v>
      </c>
      <c r="K12" s="4">
        <f t="shared" si="0"/>
        <v>1716</v>
      </c>
      <c r="L12" s="2" t="s">
        <v>31</v>
      </c>
      <c r="M12" s="2" t="s">
        <v>255</v>
      </c>
      <c r="N12" s="2"/>
    </row>
    <row r="13" spans="1:14" x14ac:dyDescent="0.3">
      <c r="A13" s="2" t="s">
        <v>153</v>
      </c>
      <c r="B13" s="2" t="s">
        <v>65</v>
      </c>
      <c r="C13" s="2" t="s">
        <v>65</v>
      </c>
      <c r="D13" s="2" t="s">
        <v>28</v>
      </c>
      <c r="E13" s="2" t="s">
        <v>29</v>
      </c>
      <c r="F13" s="2"/>
      <c r="G13" s="2" t="s">
        <v>65</v>
      </c>
      <c r="H13" s="2" t="s">
        <v>258</v>
      </c>
      <c r="I13" s="3">
        <v>779</v>
      </c>
      <c r="J13" s="3">
        <v>779</v>
      </c>
      <c r="K13" s="4">
        <f t="shared" si="0"/>
        <v>1558</v>
      </c>
      <c r="L13" s="2" t="s">
        <v>31</v>
      </c>
      <c r="M13" s="2" t="s">
        <v>255</v>
      </c>
      <c r="N13" s="2"/>
    </row>
    <row r="14" spans="1:14" x14ac:dyDescent="0.3">
      <c r="A14" s="2" t="s">
        <v>172</v>
      </c>
      <c r="B14" s="2" t="s">
        <v>25</v>
      </c>
      <c r="C14" s="2" t="s">
        <v>26</v>
      </c>
      <c r="D14" s="2" t="s">
        <v>38</v>
      </c>
      <c r="E14" s="2" t="s">
        <v>29</v>
      </c>
      <c r="F14" s="2"/>
      <c r="G14" s="2" t="s">
        <v>25</v>
      </c>
      <c r="H14" s="2" t="s">
        <v>181</v>
      </c>
      <c r="I14" s="3">
        <v>156</v>
      </c>
      <c r="J14" s="3">
        <v>156</v>
      </c>
      <c r="K14" s="4">
        <f t="shared" si="0"/>
        <v>312</v>
      </c>
      <c r="L14" s="2" t="s">
        <v>31</v>
      </c>
      <c r="M14" s="2" t="s">
        <v>907</v>
      </c>
      <c r="N14" s="2"/>
    </row>
    <row r="15" spans="1:14" x14ac:dyDescent="0.3">
      <c r="A15" s="2" t="s">
        <v>172</v>
      </c>
      <c r="B15" s="2" t="s">
        <v>212</v>
      </c>
      <c r="C15" s="2" t="s">
        <v>37</v>
      </c>
      <c r="D15" s="2" t="s">
        <v>38</v>
      </c>
      <c r="E15" s="2" t="s">
        <v>29</v>
      </c>
      <c r="F15" s="2"/>
      <c r="G15" s="2" t="s">
        <v>212</v>
      </c>
      <c r="H15" s="2" t="s">
        <v>213</v>
      </c>
      <c r="I15" s="3">
        <v>96</v>
      </c>
      <c r="J15" s="3">
        <v>96</v>
      </c>
      <c r="K15" s="4">
        <f t="shared" si="0"/>
        <v>192</v>
      </c>
      <c r="L15" s="2" t="s">
        <v>31</v>
      </c>
      <c r="M15" s="2" t="s">
        <v>184</v>
      </c>
      <c r="N15" s="2"/>
    </row>
    <row r="16" spans="1:14" x14ac:dyDescent="0.3">
      <c r="A16" s="2" t="s">
        <v>172</v>
      </c>
      <c r="B16" s="2" t="s">
        <v>36</v>
      </c>
      <c r="C16" s="2" t="s">
        <v>37</v>
      </c>
      <c r="D16" s="2" t="s">
        <v>38</v>
      </c>
      <c r="E16" s="2" t="s">
        <v>29</v>
      </c>
      <c r="F16" s="2"/>
      <c r="G16" s="2" t="s">
        <v>36</v>
      </c>
      <c r="H16" s="2" t="s">
        <v>223</v>
      </c>
      <c r="I16" s="3">
        <v>83</v>
      </c>
      <c r="J16" s="3">
        <v>83</v>
      </c>
      <c r="K16" s="4">
        <f t="shared" si="0"/>
        <v>166</v>
      </c>
      <c r="L16" s="2" t="s">
        <v>31</v>
      </c>
      <c r="M16" s="2" t="s">
        <v>184</v>
      </c>
      <c r="N16" s="2"/>
    </row>
    <row r="17" spans="1:14" x14ac:dyDescent="0.3">
      <c r="A17" s="2" t="s">
        <v>172</v>
      </c>
      <c r="B17" s="2" t="s">
        <v>208</v>
      </c>
      <c r="C17" s="2" t="s">
        <v>37</v>
      </c>
      <c r="D17" s="2" t="s">
        <v>38</v>
      </c>
      <c r="E17" s="2" t="s">
        <v>29</v>
      </c>
      <c r="F17" s="2"/>
      <c r="G17" s="2" t="s">
        <v>208</v>
      </c>
      <c r="H17" s="2" t="s">
        <v>209</v>
      </c>
      <c r="I17" s="3">
        <v>81</v>
      </c>
      <c r="J17" s="3">
        <v>81</v>
      </c>
      <c r="K17" s="4">
        <f t="shared" si="0"/>
        <v>162</v>
      </c>
      <c r="L17" s="2" t="s">
        <v>31</v>
      </c>
      <c r="M17" s="2" t="s">
        <v>184</v>
      </c>
      <c r="N17" s="2"/>
    </row>
    <row r="18" spans="1:14" x14ac:dyDescent="0.3">
      <c r="A18" s="2" t="s">
        <v>172</v>
      </c>
      <c r="B18" s="2" t="s">
        <v>204</v>
      </c>
      <c r="C18" s="2" t="s">
        <v>37</v>
      </c>
      <c r="D18" s="2" t="s">
        <v>38</v>
      </c>
      <c r="E18" s="2" t="s">
        <v>29</v>
      </c>
      <c r="F18" s="2"/>
      <c r="G18" s="2" t="s">
        <v>204</v>
      </c>
      <c r="H18" s="2" t="s">
        <v>205</v>
      </c>
      <c r="I18" s="3">
        <v>70</v>
      </c>
      <c r="J18" s="3">
        <v>70</v>
      </c>
      <c r="K18" s="4">
        <f t="shared" si="0"/>
        <v>140</v>
      </c>
      <c r="L18" s="2" t="s">
        <v>31</v>
      </c>
      <c r="M18" s="2" t="s">
        <v>184</v>
      </c>
      <c r="N18" s="2"/>
    </row>
    <row r="19" spans="1:14" x14ac:dyDescent="0.3">
      <c r="A19" s="2" t="s">
        <v>172</v>
      </c>
      <c r="B19" s="2" t="s">
        <v>206</v>
      </c>
      <c r="C19" s="2" t="s">
        <v>37</v>
      </c>
      <c r="D19" s="2" t="s">
        <v>38</v>
      </c>
      <c r="E19" s="2" t="s">
        <v>29</v>
      </c>
      <c r="F19" s="2"/>
      <c r="G19" s="2" t="s">
        <v>206</v>
      </c>
      <c r="H19" s="2" t="s">
        <v>207</v>
      </c>
      <c r="I19" s="3">
        <v>53</v>
      </c>
      <c r="J19" s="3">
        <v>53</v>
      </c>
      <c r="K19" s="4">
        <f t="shared" si="0"/>
        <v>106</v>
      </c>
      <c r="L19" s="2" t="s">
        <v>31</v>
      </c>
      <c r="M19" s="2" t="s">
        <v>184</v>
      </c>
      <c r="N19" s="2"/>
    </row>
    <row r="20" spans="1:14" x14ac:dyDescent="0.3">
      <c r="A20" s="2" t="s">
        <v>172</v>
      </c>
      <c r="B20" s="2" t="s">
        <v>185</v>
      </c>
      <c r="C20" s="2" t="s">
        <v>37</v>
      </c>
      <c r="D20" s="2" t="s">
        <v>38</v>
      </c>
      <c r="E20" s="2" t="s">
        <v>29</v>
      </c>
      <c r="F20" s="2" t="s">
        <v>186</v>
      </c>
      <c r="G20" s="2" t="s">
        <v>185</v>
      </c>
      <c r="H20" s="2" t="s">
        <v>187</v>
      </c>
      <c r="I20" s="3">
        <v>43</v>
      </c>
      <c r="J20" s="3">
        <v>43</v>
      </c>
      <c r="K20" s="4">
        <f t="shared" si="0"/>
        <v>86</v>
      </c>
      <c r="L20" s="2" t="s">
        <v>31</v>
      </c>
      <c r="M20" s="2" t="s">
        <v>184</v>
      </c>
      <c r="N20" s="2"/>
    </row>
    <row r="21" spans="1:14" x14ac:dyDescent="0.3">
      <c r="A21" s="2" t="s">
        <v>172</v>
      </c>
      <c r="B21" s="2" t="s">
        <v>192</v>
      </c>
      <c r="C21" s="2" t="s">
        <v>37</v>
      </c>
      <c r="D21" s="2" t="s">
        <v>38</v>
      </c>
      <c r="E21" s="2" t="s">
        <v>29</v>
      </c>
      <c r="F21" s="2"/>
      <c r="G21" s="2" t="s">
        <v>192</v>
      </c>
      <c r="H21" s="2" t="s">
        <v>193</v>
      </c>
      <c r="I21" s="3">
        <v>42</v>
      </c>
      <c r="J21" s="3">
        <v>42</v>
      </c>
      <c r="K21" s="4">
        <f t="shared" si="0"/>
        <v>84</v>
      </c>
      <c r="L21" s="2" t="s">
        <v>31</v>
      </c>
      <c r="M21" s="2" t="s">
        <v>184</v>
      </c>
      <c r="N21" s="2"/>
    </row>
    <row r="22" spans="1:14" x14ac:dyDescent="0.3">
      <c r="A22" s="2" t="s">
        <v>172</v>
      </c>
      <c r="B22" s="2" t="s">
        <v>198</v>
      </c>
      <c r="C22" s="2" t="s">
        <v>37</v>
      </c>
      <c r="D22" s="2" t="s">
        <v>38</v>
      </c>
      <c r="E22" s="2" t="s">
        <v>29</v>
      </c>
      <c r="F22" s="2"/>
      <c r="G22" s="2" t="s">
        <v>198</v>
      </c>
      <c r="H22" s="2" t="s">
        <v>199</v>
      </c>
      <c r="I22" s="3">
        <v>39</v>
      </c>
      <c r="J22" s="3">
        <v>39</v>
      </c>
      <c r="K22" s="4">
        <f t="shared" si="0"/>
        <v>78</v>
      </c>
      <c r="L22" s="2" t="s">
        <v>31</v>
      </c>
      <c r="M22" s="2" t="s">
        <v>184</v>
      </c>
      <c r="N22" s="2"/>
    </row>
    <row r="23" spans="1:14" x14ac:dyDescent="0.3">
      <c r="A23" s="2" t="s">
        <v>172</v>
      </c>
      <c r="B23" s="2" t="s">
        <v>227</v>
      </c>
      <c r="C23" s="2" t="s">
        <v>152</v>
      </c>
      <c r="D23" s="2" t="s">
        <v>38</v>
      </c>
      <c r="E23" s="2" t="s">
        <v>127</v>
      </c>
      <c r="F23" s="2" t="s">
        <v>188</v>
      </c>
      <c r="G23" s="2" t="s">
        <v>227</v>
      </c>
      <c r="H23" s="2" t="s">
        <v>228</v>
      </c>
      <c r="I23" s="3">
        <v>28</v>
      </c>
      <c r="J23" s="3">
        <v>28</v>
      </c>
      <c r="K23" s="4">
        <f t="shared" si="0"/>
        <v>56</v>
      </c>
      <c r="L23" s="2" t="s">
        <v>31</v>
      </c>
      <c r="M23" s="2" t="s">
        <v>184</v>
      </c>
      <c r="N23" s="2"/>
    </row>
    <row r="24" spans="1:14" x14ac:dyDescent="0.3">
      <c r="A24" s="2" t="s">
        <v>172</v>
      </c>
      <c r="B24" s="2" t="s">
        <v>202</v>
      </c>
      <c r="C24" s="2" t="s">
        <v>152</v>
      </c>
      <c r="D24" s="2" t="s">
        <v>38</v>
      </c>
      <c r="E24" s="2" t="s">
        <v>127</v>
      </c>
      <c r="F24" s="2" t="s">
        <v>188</v>
      </c>
      <c r="G24" s="2" t="s">
        <v>202</v>
      </c>
      <c r="H24" s="2" t="s">
        <v>203</v>
      </c>
      <c r="I24" s="3">
        <v>27</v>
      </c>
      <c r="J24" s="3">
        <v>27</v>
      </c>
      <c r="K24" s="4">
        <f t="shared" si="0"/>
        <v>54</v>
      </c>
      <c r="L24" s="2" t="s">
        <v>31</v>
      </c>
      <c r="M24" s="2" t="s">
        <v>184</v>
      </c>
      <c r="N24" s="2"/>
    </row>
    <row r="25" spans="1:14" x14ac:dyDescent="0.3">
      <c r="A25" s="2" t="s">
        <v>172</v>
      </c>
      <c r="B25" s="2" t="s">
        <v>200</v>
      </c>
      <c r="C25" s="2" t="s">
        <v>152</v>
      </c>
      <c r="D25" s="2" t="s">
        <v>38</v>
      </c>
      <c r="E25" s="2" t="s">
        <v>127</v>
      </c>
      <c r="F25" s="2" t="s">
        <v>188</v>
      </c>
      <c r="G25" s="2" t="s">
        <v>200</v>
      </c>
      <c r="H25" s="2" t="s">
        <v>201</v>
      </c>
      <c r="I25" s="3">
        <v>23</v>
      </c>
      <c r="J25" s="3">
        <v>23</v>
      </c>
      <c r="K25" s="4">
        <f t="shared" si="0"/>
        <v>46</v>
      </c>
      <c r="L25" s="2" t="s">
        <v>31</v>
      </c>
      <c r="M25" s="2" t="s">
        <v>184</v>
      </c>
      <c r="N25" s="2"/>
    </row>
    <row r="26" spans="1:14" x14ac:dyDescent="0.3">
      <c r="A26" s="2" t="s">
        <v>172</v>
      </c>
      <c r="B26" s="2" t="s">
        <v>210</v>
      </c>
      <c r="C26" s="2" t="s">
        <v>152</v>
      </c>
      <c r="D26" s="2" t="s">
        <v>38</v>
      </c>
      <c r="E26" s="2" t="s">
        <v>127</v>
      </c>
      <c r="F26" s="2" t="s">
        <v>188</v>
      </c>
      <c r="G26" s="2" t="s">
        <v>210</v>
      </c>
      <c r="H26" s="2" t="s">
        <v>211</v>
      </c>
      <c r="I26" s="3">
        <v>21</v>
      </c>
      <c r="J26" s="3">
        <v>21</v>
      </c>
      <c r="K26" s="4">
        <f t="shared" si="0"/>
        <v>42</v>
      </c>
      <c r="L26" s="2" t="s">
        <v>31</v>
      </c>
      <c r="M26" s="2" t="s">
        <v>184</v>
      </c>
      <c r="N26" s="2"/>
    </row>
    <row r="27" spans="1:14" x14ac:dyDescent="0.3">
      <c r="A27" s="2" t="s">
        <v>172</v>
      </c>
      <c r="B27" s="2" t="s">
        <v>221</v>
      </c>
      <c r="C27" s="2" t="s">
        <v>152</v>
      </c>
      <c r="D27" s="2" t="s">
        <v>38</v>
      </c>
      <c r="E27" s="2" t="s">
        <v>127</v>
      </c>
      <c r="F27" s="2" t="s">
        <v>188</v>
      </c>
      <c r="G27" s="2" t="s">
        <v>221</v>
      </c>
      <c r="H27" s="2" t="s">
        <v>222</v>
      </c>
      <c r="I27" s="3">
        <v>17</v>
      </c>
      <c r="J27" s="3">
        <v>17</v>
      </c>
      <c r="K27" s="4">
        <f t="shared" si="0"/>
        <v>34</v>
      </c>
      <c r="L27" s="2" t="s">
        <v>31</v>
      </c>
      <c r="M27" s="2" t="s">
        <v>184</v>
      </c>
      <c r="N27" s="2"/>
    </row>
    <row r="28" spans="1:14" x14ac:dyDescent="0.3">
      <c r="A28" s="2" t="s">
        <v>172</v>
      </c>
      <c r="B28" s="2" t="s">
        <v>224</v>
      </c>
      <c r="C28" s="2" t="s">
        <v>152</v>
      </c>
      <c r="D28" s="2" t="s">
        <v>38</v>
      </c>
      <c r="E28" s="2" t="s">
        <v>127</v>
      </c>
      <c r="F28" s="2" t="s">
        <v>225</v>
      </c>
      <c r="G28" s="2" t="s">
        <v>224</v>
      </c>
      <c r="H28" s="2" t="s">
        <v>226</v>
      </c>
      <c r="I28" s="3">
        <v>17</v>
      </c>
      <c r="J28" s="3">
        <v>17</v>
      </c>
      <c r="K28" s="4">
        <f t="shared" si="0"/>
        <v>34</v>
      </c>
      <c r="L28" s="2" t="s">
        <v>31</v>
      </c>
      <c r="M28" s="2" t="s">
        <v>184</v>
      </c>
      <c r="N28" s="2"/>
    </row>
    <row r="29" spans="1:14" x14ac:dyDescent="0.3">
      <c r="A29" s="2" t="s">
        <v>172</v>
      </c>
      <c r="B29" s="2" t="s">
        <v>215</v>
      </c>
      <c r="C29" s="2" t="s">
        <v>152</v>
      </c>
      <c r="D29" s="2" t="s">
        <v>38</v>
      </c>
      <c r="E29" s="2" t="s">
        <v>127</v>
      </c>
      <c r="F29" s="2" t="s">
        <v>188</v>
      </c>
      <c r="G29" s="2" t="s">
        <v>215</v>
      </c>
      <c r="H29" s="2" t="s">
        <v>216</v>
      </c>
      <c r="I29" s="3">
        <v>16</v>
      </c>
      <c r="J29" s="3">
        <v>16</v>
      </c>
      <c r="K29" s="4">
        <f t="shared" si="0"/>
        <v>32</v>
      </c>
      <c r="L29" s="2" t="s">
        <v>31</v>
      </c>
      <c r="M29" s="2" t="s">
        <v>184</v>
      </c>
      <c r="N29" s="2"/>
    </row>
    <row r="30" spans="1:14" x14ac:dyDescent="0.3">
      <c r="A30" s="2" t="s">
        <v>172</v>
      </c>
      <c r="B30" s="2" t="s">
        <v>217</v>
      </c>
      <c r="C30" s="2" t="s">
        <v>152</v>
      </c>
      <c r="D30" s="2" t="s">
        <v>38</v>
      </c>
      <c r="E30" s="2" t="s">
        <v>127</v>
      </c>
      <c r="F30" s="2" t="s">
        <v>188</v>
      </c>
      <c r="G30" s="2" t="s">
        <v>217</v>
      </c>
      <c r="H30" s="2" t="s">
        <v>218</v>
      </c>
      <c r="I30" s="3">
        <v>16</v>
      </c>
      <c r="J30" s="3">
        <v>16</v>
      </c>
      <c r="K30" s="4">
        <f t="shared" si="0"/>
        <v>32</v>
      </c>
      <c r="L30" s="2" t="s">
        <v>31</v>
      </c>
      <c r="M30" s="2" t="s">
        <v>184</v>
      </c>
      <c r="N30" s="2"/>
    </row>
    <row r="31" spans="1:14" x14ac:dyDescent="0.3">
      <c r="A31" s="2" t="s">
        <v>172</v>
      </c>
      <c r="B31" s="2" t="s">
        <v>190</v>
      </c>
      <c r="C31" s="2" t="s">
        <v>152</v>
      </c>
      <c r="D31" s="2" t="s">
        <v>38</v>
      </c>
      <c r="E31" s="2" t="s">
        <v>127</v>
      </c>
      <c r="F31" s="2" t="s">
        <v>188</v>
      </c>
      <c r="G31" s="2" t="s">
        <v>190</v>
      </c>
      <c r="H31" s="2" t="s">
        <v>191</v>
      </c>
      <c r="I31" s="3">
        <v>15</v>
      </c>
      <c r="J31" s="3">
        <v>15</v>
      </c>
      <c r="K31" s="4">
        <f t="shared" si="0"/>
        <v>30</v>
      </c>
      <c r="L31" s="2" t="s">
        <v>31</v>
      </c>
      <c r="M31" s="2" t="s">
        <v>184</v>
      </c>
      <c r="N31" s="2"/>
    </row>
    <row r="32" spans="1:14" x14ac:dyDescent="0.3">
      <c r="A32" s="2" t="s">
        <v>172</v>
      </c>
      <c r="B32" s="2" t="s">
        <v>194</v>
      </c>
      <c r="C32" s="2" t="s">
        <v>152</v>
      </c>
      <c r="D32" s="2" t="s">
        <v>38</v>
      </c>
      <c r="E32" s="2" t="s">
        <v>127</v>
      </c>
      <c r="F32" s="2" t="s">
        <v>188</v>
      </c>
      <c r="G32" s="2" t="s">
        <v>194</v>
      </c>
      <c r="H32" s="2" t="s">
        <v>195</v>
      </c>
      <c r="I32" s="3">
        <v>15</v>
      </c>
      <c r="J32" s="3">
        <v>15</v>
      </c>
      <c r="K32" s="4">
        <f t="shared" si="0"/>
        <v>30</v>
      </c>
      <c r="L32" s="2" t="s">
        <v>31</v>
      </c>
      <c r="M32" s="2" t="s">
        <v>184</v>
      </c>
      <c r="N32" s="2"/>
    </row>
    <row r="33" spans="1:14" x14ac:dyDescent="0.3">
      <c r="A33" s="2" t="s">
        <v>172</v>
      </c>
      <c r="B33" s="2" t="s">
        <v>196</v>
      </c>
      <c r="C33" s="2" t="s">
        <v>152</v>
      </c>
      <c r="D33" s="2" t="s">
        <v>38</v>
      </c>
      <c r="E33" s="2" t="s">
        <v>127</v>
      </c>
      <c r="F33" s="2" t="s">
        <v>188</v>
      </c>
      <c r="G33" s="2" t="s">
        <v>196</v>
      </c>
      <c r="H33" s="2" t="s">
        <v>197</v>
      </c>
      <c r="I33" s="3">
        <v>12</v>
      </c>
      <c r="J33" s="3">
        <v>12</v>
      </c>
      <c r="K33" s="4">
        <f t="shared" si="0"/>
        <v>24</v>
      </c>
      <c r="L33" s="2" t="s">
        <v>31</v>
      </c>
      <c r="M33" s="2" t="s">
        <v>184</v>
      </c>
      <c r="N33" s="2"/>
    </row>
    <row r="34" spans="1:14" x14ac:dyDescent="0.3">
      <c r="A34" s="2" t="s">
        <v>172</v>
      </c>
      <c r="B34" s="2" t="s">
        <v>219</v>
      </c>
      <c r="C34" s="2" t="s">
        <v>152</v>
      </c>
      <c r="D34" s="2" t="s">
        <v>38</v>
      </c>
      <c r="E34" s="2" t="s">
        <v>127</v>
      </c>
      <c r="F34" s="2" t="s">
        <v>188</v>
      </c>
      <c r="G34" s="2" t="s">
        <v>219</v>
      </c>
      <c r="H34" s="2" t="s">
        <v>220</v>
      </c>
      <c r="I34" s="3">
        <v>12</v>
      </c>
      <c r="J34" s="3">
        <v>12</v>
      </c>
      <c r="K34" s="4">
        <f t="shared" si="0"/>
        <v>24</v>
      </c>
      <c r="L34" s="2" t="s">
        <v>31</v>
      </c>
      <c r="M34" s="2" t="s">
        <v>184</v>
      </c>
      <c r="N34" s="2"/>
    </row>
    <row r="35" spans="1:14" x14ac:dyDescent="0.3">
      <c r="A35" s="2" t="s">
        <v>172</v>
      </c>
      <c r="B35" s="2" t="s">
        <v>153</v>
      </c>
      <c r="C35" s="2" t="s">
        <v>152</v>
      </c>
      <c r="D35" s="2" t="s">
        <v>38</v>
      </c>
      <c r="E35" s="2" t="s">
        <v>127</v>
      </c>
      <c r="F35" s="2" t="s">
        <v>188</v>
      </c>
      <c r="G35" s="2" t="s">
        <v>153</v>
      </c>
      <c r="H35" s="2" t="s">
        <v>189</v>
      </c>
      <c r="I35" s="3">
        <v>10</v>
      </c>
      <c r="J35" s="3">
        <v>10</v>
      </c>
      <c r="K35" s="4">
        <f t="shared" si="0"/>
        <v>20</v>
      </c>
      <c r="L35" s="2" t="s">
        <v>31</v>
      </c>
      <c r="M35" s="2" t="s">
        <v>184</v>
      </c>
      <c r="N35" s="2"/>
    </row>
    <row r="36" spans="1:14" x14ac:dyDescent="0.3">
      <c r="A36" s="2" t="s">
        <v>172</v>
      </c>
      <c r="B36" s="2" t="s">
        <v>172</v>
      </c>
      <c r="C36" s="2" t="s">
        <v>152</v>
      </c>
      <c r="D36" s="2" t="s">
        <v>38</v>
      </c>
      <c r="E36" s="2" t="s">
        <v>127</v>
      </c>
      <c r="F36" s="2" t="s">
        <v>188</v>
      </c>
      <c r="G36" s="2" t="s">
        <v>172</v>
      </c>
      <c r="H36" s="2" t="s">
        <v>214</v>
      </c>
      <c r="I36" s="3">
        <v>10</v>
      </c>
      <c r="J36" s="3">
        <v>10</v>
      </c>
      <c r="K36" s="4">
        <f t="shared" si="0"/>
        <v>20</v>
      </c>
      <c r="L36" s="2" t="s">
        <v>31</v>
      </c>
      <c r="M36" s="2" t="s">
        <v>184</v>
      </c>
      <c r="N36" s="2" t="s">
        <v>130</v>
      </c>
    </row>
    <row r="37" spans="1:14" x14ac:dyDescent="0.3">
      <c r="A37" s="2" t="s">
        <v>172</v>
      </c>
      <c r="B37" s="2" t="s">
        <v>235</v>
      </c>
      <c r="C37" s="2" t="s">
        <v>236</v>
      </c>
      <c r="D37" s="2" t="s">
        <v>133</v>
      </c>
      <c r="E37" s="2" t="s">
        <v>29</v>
      </c>
      <c r="F37" s="2"/>
      <c r="G37" s="2" t="s">
        <v>235</v>
      </c>
      <c r="H37" s="2" t="s">
        <v>237</v>
      </c>
      <c r="I37" s="3">
        <v>742</v>
      </c>
      <c r="J37" s="3">
        <v>742</v>
      </c>
      <c r="K37" s="4">
        <f t="shared" si="0"/>
        <v>1484</v>
      </c>
      <c r="L37" s="2" t="s">
        <v>31</v>
      </c>
      <c r="M37" s="2" t="s">
        <v>234</v>
      </c>
      <c r="N37" s="2"/>
    </row>
    <row r="38" spans="1:14" x14ac:dyDescent="0.3">
      <c r="A38" s="2" t="s">
        <v>172</v>
      </c>
      <c r="B38" s="2" t="s">
        <v>365</v>
      </c>
      <c r="C38" s="2" t="s">
        <v>348</v>
      </c>
      <c r="D38" s="2" t="s">
        <v>133</v>
      </c>
      <c r="E38" s="2" t="s">
        <v>29</v>
      </c>
      <c r="F38" s="2"/>
      <c r="G38" s="2" t="s">
        <v>365</v>
      </c>
      <c r="H38" s="2" t="s">
        <v>461</v>
      </c>
      <c r="I38" s="3">
        <v>683</v>
      </c>
      <c r="J38" s="3">
        <v>683</v>
      </c>
      <c r="K38" s="4">
        <f t="shared" si="0"/>
        <v>1366</v>
      </c>
      <c r="L38" s="2" t="s">
        <v>31</v>
      </c>
      <c r="M38" s="2" t="s">
        <v>451</v>
      </c>
      <c r="N38" s="2"/>
    </row>
    <row r="39" spans="1:14" x14ac:dyDescent="0.3">
      <c r="A39" s="2" t="s">
        <v>172</v>
      </c>
      <c r="B39" s="2" t="s">
        <v>347</v>
      </c>
      <c r="C39" s="2" t="s">
        <v>348</v>
      </c>
      <c r="D39" s="2" t="s">
        <v>133</v>
      </c>
      <c r="E39" s="2" t="s">
        <v>29</v>
      </c>
      <c r="F39" s="2"/>
      <c r="G39" s="2" t="s">
        <v>347</v>
      </c>
      <c r="H39" s="2" t="s">
        <v>454</v>
      </c>
      <c r="I39" s="3">
        <v>649</v>
      </c>
      <c r="J39" s="3">
        <v>649</v>
      </c>
      <c r="K39" s="4">
        <f t="shared" si="0"/>
        <v>1298</v>
      </c>
      <c r="L39" s="2" t="s">
        <v>31</v>
      </c>
      <c r="M39" s="2" t="s">
        <v>451</v>
      </c>
      <c r="N39" s="2"/>
    </row>
    <row r="40" spans="1:14" x14ac:dyDescent="0.3">
      <c r="A40" s="2" t="s">
        <v>172</v>
      </c>
      <c r="B40" s="2" t="s">
        <v>160</v>
      </c>
      <c r="C40" s="2" t="s">
        <v>161</v>
      </c>
      <c r="D40" s="2" t="s">
        <v>133</v>
      </c>
      <c r="E40" s="2" t="s">
        <v>29</v>
      </c>
      <c r="F40" s="2"/>
      <c r="G40" s="2" t="s">
        <v>160</v>
      </c>
      <c r="H40" s="2" t="s">
        <v>452</v>
      </c>
      <c r="I40" s="3">
        <v>606</v>
      </c>
      <c r="J40" s="3">
        <v>606</v>
      </c>
      <c r="K40" s="4">
        <f t="shared" si="0"/>
        <v>1212</v>
      </c>
      <c r="L40" s="2" t="s">
        <v>31</v>
      </c>
      <c r="M40" s="2" t="s">
        <v>451</v>
      </c>
      <c r="N40" s="2"/>
    </row>
    <row r="41" spans="1:14" x14ac:dyDescent="0.3">
      <c r="A41" s="2" t="s">
        <v>172</v>
      </c>
      <c r="B41" s="2" t="s">
        <v>352</v>
      </c>
      <c r="C41" s="2" t="s">
        <v>353</v>
      </c>
      <c r="D41" s="2" t="s">
        <v>133</v>
      </c>
      <c r="E41" s="2" t="s">
        <v>29</v>
      </c>
      <c r="F41" s="2"/>
      <c r="G41" s="2" t="s">
        <v>352</v>
      </c>
      <c r="H41" s="2" t="s">
        <v>463</v>
      </c>
      <c r="I41" s="3">
        <v>529</v>
      </c>
      <c r="J41" s="3">
        <v>529</v>
      </c>
      <c r="K41" s="4">
        <f t="shared" si="0"/>
        <v>1058</v>
      </c>
      <c r="L41" s="2" t="s">
        <v>31</v>
      </c>
      <c r="M41" s="2" t="s">
        <v>451</v>
      </c>
      <c r="N41" s="2"/>
    </row>
    <row r="42" spans="1:14" x14ac:dyDescent="0.3">
      <c r="A42" s="2" t="s">
        <v>172</v>
      </c>
      <c r="B42" s="2" t="s">
        <v>458</v>
      </c>
      <c r="C42" s="2" t="s">
        <v>140</v>
      </c>
      <c r="D42" s="2" t="s">
        <v>133</v>
      </c>
      <c r="E42" s="2" t="s">
        <v>29</v>
      </c>
      <c r="F42" s="2"/>
      <c r="G42" s="2" t="s">
        <v>458</v>
      </c>
      <c r="H42" s="2" t="s">
        <v>459</v>
      </c>
      <c r="I42" s="3">
        <v>453</v>
      </c>
      <c r="J42" s="3">
        <v>453</v>
      </c>
      <c r="K42" s="4">
        <f t="shared" si="0"/>
        <v>906</v>
      </c>
      <c r="L42" s="2" t="s">
        <v>31</v>
      </c>
      <c r="M42" s="2" t="s">
        <v>451</v>
      </c>
      <c r="N42" s="2"/>
    </row>
    <row r="43" spans="1:14" x14ac:dyDescent="0.3">
      <c r="A43" s="2" t="s">
        <v>172</v>
      </c>
      <c r="B43" s="2" t="s">
        <v>174</v>
      </c>
      <c r="C43" s="2" t="s">
        <v>140</v>
      </c>
      <c r="D43" s="2" t="s">
        <v>133</v>
      </c>
      <c r="E43" s="2" t="s">
        <v>29</v>
      </c>
      <c r="F43" s="2"/>
      <c r="G43" s="2" t="s">
        <v>174</v>
      </c>
      <c r="H43" s="2" t="s">
        <v>175</v>
      </c>
      <c r="I43" s="3">
        <v>425</v>
      </c>
      <c r="J43" s="3">
        <v>425</v>
      </c>
      <c r="K43" s="4">
        <f t="shared" si="0"/>
        <v>850</v>
      </c>
      <c r="L43" s="2" t="s">
        <v>31</v>
      </c>
      <c r="M43" s="2" t="s">
        <v>908</v>
      </c>
      <c r="N43" s="2"/>
    </row>
    <row r="44" spans="1:14" x14ac:dyDescent="0.3">
      <c r="A44" s="2" t="s">
        <v>172</v>
      </c>
      <c r="B44" s="2" t="s">
        <v>145</v>
      </c>
      <c r="C44" s="2" t="s">
        <v>146</v>
      </c>
      <c r="D44" s="2" t="s">
        <v>137</v>
      </c>
      <c r="E44" s="2" t="s">
        <v>29</v>
      </c>
      <c r="F44" s="2"/>
      <c r="G44" s="2" t="s">
        <v>145</v>
      </c>
      <c r="H44" s="2" t="s">
        <v>460</v>
      </c>
      <c r="I44" s="3">
        <v>663</v>
      </c>
      <c r="J44" s="3">
        <v>663</v>
      </c>
      <c r="K44" s="4">
        <f t="shared" si="0"/>
        <v>1326</v>
      </c>
      <c r="L44" s="2" t="s">
        <v>31</v>
      </c>
      <c r="M44" s="2" t="s">
        <v>451</v>
      </c>
      <c r="N44" s="2"/>
    </row>
    <row r="45" spans="1:14" x14ac:dyDescent="0.3">
      <c r="A45" s="2" t="s">
        <v>172</v>
      </c>
      <c r="B45" s="2" t="s">
        <v>135</v>
      </c>
      <c r="C45" s="2" t="s">
        <v>136</v>
      </c>
      <c r="D45" s="2" t="s">
        <v>137</v>
      </c>
      <c r="E45" s="2" t="s">
        <v>29</v>
      </c>
      <c r="F45" s="2"/>
      <c r="G45" s="2" t="s">
        <v>135</v>
      </c>
      <c r="H45" s="2" t="s">
        <v>179</v>
      </c>
      <c r="I45" s="3">
        <v>612</v>
      </c>
      <c r="J45" s="3">
        <v>612</v>
      </c>
      <c r="K45" s="4">
        <f t="shared" si="0"/>
        <v>1224</v>
      </c>
      <c r="L45" s="2" t="s">
        <v>31</v>
      </c>
      <c r="M45" s="2" t="s">
        <v>909</v>
      </c>
      <c r="N45" s="2"/>
    </row>
    <row r="46" spans="1:14" x14ac:dyDescent="0.3">
      <c r="A46" s="2" t="s">
        <v>172</v>
      </c>
      <c r="B46" s="2" t="s">
        <v>358</v>
      </c>
      <c r="C46" s="2" t="s">
        <v>358</v>
      </c>
      <c r="D46" s="2" t="s">
        <v>137</v>
      </c>
      <c r="E46" s="2" t="s">
        <v>29</v>
      </c>
      <c r="F46" s="2"/>
      <c r="G46" s="2" t="s">
        <v>358</v>
      </c>
      <c r="H46" s="2" t="s">
        <v>456</v>
      </c>
      <c r="I46" s="3">
        <v>577</v>
      </c>
      <c r="J46" s="3">
        <v>577</v>
      </c>
      <c r="K46" s="4">
        <f t="shared" si="0"/>
        <v>1154</v>
      </c>
      <c r="L46" s="2" t="s">
        <v>31</v>
      </c>
      <c r="M46" s="2" t="s">
        <v>451</v>
      </c>
      <c r="N46" s="2"/>
    </row>
    <row r="47" spans="1:14" x14ac:dyDescent="0.3">
      <c r="A47" s="2" t="s">
        <v>172</v>
      </c>
      <c r="B47" s="2" t="s">
        <v>362</v>
      </c>
      <c r="C47" s="2" t="s">
        <v>363</v>
      </c>
      <c r="D47" s="2" t="s">
        <v>137</v>
      </c>
      <c r="E47" s="2" t="s">
        <v>29</v>
      </c>
      <c r="F47" s="2"/>
      <c r="G47" s="2" t="s">
        <v>362</v>
      </c>
      <c r="H47" s="2" t="s">
        <v>457</v>
      </c>
      <c r="I47" s="3">
        <v>542</v>
      </c>
      <c r="J47" s="3">
        <v>542</v>
      </c>
      <c r="K47" s="4">
        <f t="shared" si="0"/>
        <v>1084</v>
      </c>
      <c r="L47" s="2" t="s">
        <v>31</v>
      </c>
      <c r="M47" s="2" t="s">
        <v>451</v>
      </c>
      <c r="N47" s="2"/>
    </row>
    <row r="48" spans="1:14" x14ac:dyDescent="0.3">
      <c r="A48" s="2" t="s">
        <v>172</v>
      </c>
      <c r="B48" s="2" t="s">
        <v>142</v>
      </c>
      <c r="C48" s="2" t="s">
        <v>143</v>
      </c>
      <c r="D48" s="2" t="s">
        <v>137</v>
      </c>
      <c r="E48" s="2" t="s">
        <v>29</v>
      </c>
      <c r="F48" s="2"/>
      <c r="G48" s="2" t="s">
        <v>142</v>
      </c>
      <c r="H48" s="2" t="s">
        <v>178</v>
      </c>
      <c r="I48" s="3">
        <v>475</v>
      </c>
      <c r="J48" s="3">
        <v>475</v>
      </c>
      <c r="K48" s="4">
        <f t="shared" si="0"/>
        <v>950</v>
      </c>
      <c r="L48" s="2" t="s">
        <v>31</v>
      </c>
      <c r="M48" s="2" t="s">
        <v>910</v>
      </c>
      <c r="N48" s="2"/>
    </row>
    <row r="49" spans="1:14" x14ac:dyDescent="0.3">
      <c r="A49" s="2" t="s">
        <v>172</v>
      </c>
      <c r="B49" s="2" t="s">
        <v>84</v>
      </c>
      <c r="C49" s="2" t="s">
        <v>35</v>
      </c>
      <c r="D49" s="2" t="s">
        <v>45</v>
      </c>
      <c r="E49" s="2" t="s">
        <v>29</v>
      </c>
      <c r="F49" s="2"/>
      <c r="G49" s="2" t="s">
        <v>84</v>
      </c>
      <c r="H49" s="2" t="s">
        <v>455</v>
      </c>
      <c r="I49" s="3">
        <v>857</v>
      </c>
      <c r="J49" s="3">
        <v>857</v>
      </c>
      <c r="K49" s="4">
        <f t="shared" si="0"/>
        <v>1714</v>
      </c>
      <c r="L49" s="2" t="s">
        <v>31</v>
      </c>
      <c r="M49" s="2" t="s">
        <v>451</v>
      </c>
      <c r="N49" s="2"/>
    </row>
    <row r="50" spans="1:14" x14ac:dyDescent="0.3">
      <c r="A50" s="2" t="s">
        <v>172</v>
      </c>
      <c r="B50" s="2" t="s">
        <v>43</v>
      </c>
      <c r="C50" s="2" t="s">
        <v>44</v>
      </c>
      <c r="D50" s="2" t="s">
        <v>45</v>
      </c>
      <c r="E50" s="2" t="s">
        <v>29</v>
      </c>
      <c r="F50" s="2"/>
      <c r="G50" s="2" t="s">
        <v>43</v>
      </c>
      <c r="H50" s="2" t="s">
        <v>173</v>
      </c>
      <c r="I50" s="3">
        <v>756</v>
      </c>
      <c r="J50" s="3">
        <v>756</v>
      </c>
      <c r="K50" s="4">
        <f t="shared" si="0"/>
        <v>1512</v>
      </c>
      <c r="L50" s="2" t="s">
        <v>31</v>
      </c>
      <c r="M50" s="2" t="s">
        <v>911</v>
      </c>
      <c r="N50" s="2"/>
    </row>
    <row r="51" spans="1:14" x14ac:dyDescent="0.3">
      <c r="A51" s="2" t="s">
        <v>172</v>
      </c>
      <c r="B51" s="2" t="s">
        <v>99</v>
      </c>
      <c r="C51" s="2" t="s">
        <v>90</v>
      </c>
      <c r="D51" s="2" t="s">
        <v>45</v>
      </c>
      <c r="E51" s="2" t="s">
        <v>29</v>
      </c>
      <c r="F51" s="2"/>
      <c r="G51" s="2" t="s">
        <v>99</v>
      </c>
      <c r="H51" s="2" t="s">
        <v>453</v>
      </c>
      <c r="I51" s="3">
        <v>563</v>
      </c>
      <c r="J51" s="3">
        <v>563</v>
      </c>
      <c r="K51" s="4">
        <f t="shared" si="0"/>
        <v>1126</v>
      </c>
      <c r="L51" s="2" t="s">
        <v>31</v>
      </c>
      <c r="M51" s="2" t="s">
        <v>451</v>
      </c>
      <c r="N51" s="2"/>
    </row>
    <row r="52" spans="1:14" x14ac:dyDescent="0.3">
      <c r="A52" s="2" t="s">
        <v>172</v>
      </c>
      <c r="B52" s="2" t="s">
        <v>229</v>
      </c>
      <c r="C52" s="2" t="s">
        <v>230</v>
      </c>
      <c r="D52" s="2" t="s">
        <v>45</v>
      </c>
      <c r="E52" s="2" t="s">
        <v>29</v>
      </c>
      <c r="F52" s="2"/>
      <c r="G52" s="2" t="s">
        <v>229</v>
      </c>
      <c r="H52" s="2" t="s">
        <v>231</v>
      </c>
      <c r="I52" s="3">
        <v>367</v>
      </c>
      <c r="J52" s="3">
        <v>367</v>
      </c>
      <c r="K52" s="4">
        <f t="shared" si="0"/>
        <v>734</v>
      </c>
      <c r="L52" s="2" t="s">
        <v>31</v>
      </c>
      <c r="M52" s="2" t="s">
        <v>184</v>
      </c>
      <c r="N52" s="2"/>
    </row>
    <row r="53" spans="1:14" x14ac:dyDescent="0.3">
      <c r="A53" s="2" t="s">
        <v>172</v>
      </c>
      <c r="B53" s="2" t="s">
        <v>119</v>
      </c>
      <c r="C53" s="2" t="s">
        <v>120</v>
      </c>
      <c r="D53" s="2" t="s">
        <v>54</v>
      </c>
      <c r="E53" s="2" t="s">
        <v>29</v>
      </c>
      <c r="F53" s="2"/>
      <c r="G53" s="2" t="s">
        <v>119</v>
      </c>
      <c r="H53" s="2" t="s">
        <v>462</v>
      </c>
      <c r="I53" s="3">
        <v>1600</v>
      </c>
      <c r="J53" s="3">
        <v>1600</v>
      </c>
      <c r="K53" s="4">
        <f t="shared" si="0"/>
        <v>3200</v>
      </c>
      <c r="L53" s="2" t="s">
        <v>31</v>
      </c>
      <c r="M53" s="2" t="s">
        <v>451</v>
      </c>
      <c r="N53" s="2"/>
    </row>
    <row r="54" spans="1:14" x14ac:dyDescent="0.3">
      <c r="A54" s="2" t="s">
        <v>172</v>
      </c>
      <c r="B54" s="2" t="s">
        <v>27</v>
      </c>
      <c r="C54" s="2" t="s">
        <v>27</v>
      </c>
      <c r="D54" s="2" t="s">
        <v>28</v>
      </c>
      <c r="E54" s="2" t="s">
        <v>29</v>
      </c>
      <c r="F54" s="2"/>
      <c r="G54" s="2" t="s">
        <v>27</v>
      </c>
      <c r="H54" s="2" t="s">
        <v>180</v>
      </c>
      <c r="I54" s="3">
        <v>1017</v>
      </c>
      <c r="J54" s="3">
        <v>1017</v>
      </c>
      <c r="K54" s="4">
        <f t="shared" si="0"/>
        <v>2034</v>
      </c>
      <c r="L54" s="2" t="s">
        <v>31</v>
      </c>
      <c r="M54" s="2" t="s">
        <v>912</v>
      </c>
      <c r="N54" s="2"/>
    </row>
    <row r="55" spans="1:14" x14ac:dyDescent="0.3">
      <c r="A55" s="2" t="s">
        <v>172</v>
      </c>
      <c r="B55" s="2" t="s">
        <v>65</v>
      </c>
      <c r="C55" s="2" t="s">
        <v>65</v>
      </c>
      <c r="D55" s="2" t="s">
        <v>28</v>
      </c>
      <c r="E55" s="2" t="s">
        <v>29</v>
      </c>
      <c r="F55" s="2"/>
      <c r="G55" s="2" t="s">
        <v>65</v>
      </c>
      <c r="H55" s="2" t="s">
        <v>182</v>
      </c>
      <c r="I55" s="3">
        <v>774</v>
      </c>
      <c r="J55" s="3">
        <v>774</v>
      </c>
      <c r="K55" s="4">
        <f t="shared" si="0"/>
        <v>1548</v>
      </c>
      <c r="L55" s="2" t="s">
        <v>31</v>
      </c>
      <c r="M55" s="2" t="s">
        <v>177</v>
      </c>
      <c r="N55" s="2"/>
    </row>
    <row r="56" spans="1:14" x14ac:dyDescent="0.3">
      <c r="A56" s="2" t="s">
        <v>190</v>
      </c>
      <c r="B56" s="2" t="s">
        <v>119</v>
      </c>
      <c r="C56" s="2" t="s">
        <v>120</v>
      </c>
      <c r="D56" s="2" t="s">
        <v>54</v>
      </c>
      <c r="E56" s="2" t="s">
        <v>29</v>
      </c>
      <c r="F56" s="2"/>
      <c r="G56" s="2" t="s">
        <v>119</v>
      </c>
      <c r="H56" s="2" t="s">
        <v>252</v>
      </c>
      <c r="I56" s="3">
        <v>1557</v>
      </c>
      <c r="J56" s="3">
        <v>1557</v>
      </c>
      <c r="K56" s="4">
        <f t="shared" si="0"/>
        <v>3114</v>
      </c>
      <c r="L56" s="2" t="s">
        <v>40</v>
      </c>
      <c r="M56" s="2" t="s">
        <v>250</v>
      </c>
      <c r="N56" s="2"/>
    </row>
    <row r="57" spans="1:14" x14ac:dyDescent="0.3">
      <c r="A57" s="2" t="s">
        <v>190</v>
      </c>
      <c r="B57" s="2" t="s">
        <v>27</v>
      </c>
      <c r="C57" s="2" t="s">
        <v>27</v>
      </c>
      <c r="D57" s="2" t="s">
        <v>28</v>
      </c>
      <c r="E57" s="2" t="s">
        <v>29</v>
      </c>
      <c r="F57" s="2"/>
      <c r="G57" s="2" t="s">
        <v>27</v>
      </c>
      <c r="H57" s="2" t="s">
        <v>251</v>
      </c>
      <c r="I57" s="3">
        <v>990</v>
      </c>
      <c r="J57" s="3">
        <v>990</v>
      </c>
      <c r="K57" s="4">
        <f t="shared" si="0"/>
        <v>1980</v>
      </c>
      <c r="L57" s="2" t="s">
        <v>40</v>
      </c>
      <c r="M57" s="2" t="s">
        <v>250</v>
      </c>
      <c r="N57" s="2"/>
    </row>
    <row r="58" spans="1:14" x14ac:dyDescent="0.3">
      <c r="A58" s="2" t="s">
        <v>159</v>
      </c>
      <c r="B58" s="2" t="s">
        <v>276</v>
      </c>
      <c r="C58" s="2" t="s">
        <v>277</v>
      </c>
      <c r="D58" s="2" t="s">
        <v>38</v>
      </c>
      <c r="E58" s="2" t="s">
        <v>29</v>
      </c>
      <c r="F58" s="2"/>
      <c r="G58" s="2" t="s">
        <v>278</v>
      </c>
      <c r="H58" s="2" t="s">
        <v>279</v>
      </c>
      <c r="I58" s="3">
        <v>305</v>
      </c>
      <c r="J58" s="3">
        <v>305</v>
      </c>
      <c r="K58" s="4">
        <f t="shared" si="0"/>
        <v>610</v>
      </c>
      <c r="L58" s="2" t="s">
        <v>31</v>
      </c>
      <c r="M58" s="2" t="s">
        <v>913</v>
      </c>
      <c r="N58" s="2"/>
    </row>
    <row r="59" spans="1:14" x14ac:dyDescent="0.3">
      <c r="A59" s="2" t="s">
        <v>159</v>
      </c>
      <c r="B59" s="2" t="s">
        <v>280</v>
      </c>
      <c r="C59" s="2" t="s">
        <v>281</v>
      </c>
      <c r="D59" s="2" t="s">
        <v>38</v>
      </c>
      <c r="E59" s="2" t="s">
        <v>29</v>
      </c>
      <c r="F59" s="2"/>
      <c r="G59" s="2" t="s">
        <v>282</v>
      </c>
      <c r="H59" s="2" t="s">
        <v>283</v>
      </c>
      <c r="I59" s="3">
        <v>278</v>
      </c>
      <c r="J59" s="3">
        <v>278</v>
      </c>
      <c r="K59" s="4">
        <f t="shared" si="0"/>
        <v>556</v>
      </c>
      <c r="L59" s="2" t="s">
        <v>31</v>
      </c>
      <c r="M59" s="2" t="s">
        <v>913</v>
      </c>
      <c r="N59" s="2"/>
    </row>
    <row r="60" spans="1:14" x14ac:dyDescent="0.3">
      <c r="A60" s="2" t="s">
        <v>159</v>
      </c>
      <c r="B60" s="2" t="s">
        <v>284</v>
      </c>
      <c r="C60" s="2" t="s">
        <v>285</v>
      </c>
      <c r="D60" s="2" t="s">
        <v>38</v>
      </c>
      <c r="E60" s="2" t="s">
        <v>29</v>
      </c>
      <c r="F60" s="2"/>
      <c r="G60" s="2" t="s">
        <v>286</v>
      </c>
      <c r="H60" s="2" t="s">
        <v>287</v>
      </c>
      <c r="I60" s="3">
        <v>243</v>
      </c>
      <c r="J60" s="3">
        <v>243</v>
      </c>
      <c r="K60" s="4">
        <f t="shared" si="0"/>
        <v>486</v>
      </c>
      <c r="L60" s="2" t="s">
        <v>31</v>
      </c>
      <c r="M60" s="2" t="s">
        <v>914</v>
      </c>
      <c r="N60" s="2"/>
    </row>
    <row r="61" spans="1:14" x14ac:dyDescent="0.3">
      <c r="A61" s="2" t="s">
        <v>159</v>
      </c>
      <c r="B61" s="2" t="s">
        <v>870</v>
      </c>
      <c r="C61" s="2" t="s">
        <v>285</v>
      </c>
      <c r="D61" s="2" t="s">
        <v>38</v>
      </c>
      <c r="E61" s="2" t="s">
        <v>29</v>
      </c>
      <c r="F61" s="2"/>
      <c r="G61" s="2" t="s">
        <v>871</v>
      </c>
      <c r="H61" s="2" t="s">
        <v>872</v>
      </c>
      <c r="I61" s="3">
        <v>215</v>
      </c>
      <c r="J61" s="3">
        <v>215</v>
      </c>
      <c r="K61" s="4">
        <f t="shared" si="0"/>
        <v>430</v>
      </c>
      <c r="L61" s="2" t="s">
        <v>31</v>
      </c>
      <c r="M61" s="2" t="s">
        <v>168</v>
      </c>
      <c r="N61" s="2"/>
    </row>
    <row r="62" spans="1:14" x14ac:dyDescent="0.3">
      <c r="A62" s="2" t="s">
        <v>159</v>
      </c>
      <c r="B62" s="2" t="s">
        <v>420</v>
      </c>
      <c r="C62" s="2" t="s">
        <v>26</v>
      </c>
      <c r="D62" s="2" t="s">
        <v>38</v>
      </c>
      <c r="E62" s="2" t="s">
        <v>29</v>
      </c>
      <c r="F62" s="2"/>
      <c r="G62" s="2" t="s">
        <v>420</v>
      </c>
      <c r="H62" s="2" t="s">
        <v>869</v>
      </c>
      <c r="I62" s="3">
        <v>206</v>
      </c>
      <c r="J62" s="3">
        <v>206</v>
      </c>
      <c r="K62" s="4">
        <f t="shared" si="0"/>
        <v>412</v>
      </c>
      <c r="L62" s="2" t="s">
        <v>31</v>
      </c>
      <c r="M62" s="2" t="s">
        <v>168</v>
      </c>
      <c r="N62" s="2"/>
    </row>
    <row r="63" spans="1:14" x14ac:dyDescent="0.3">
      <c r="A63" s="2" t="s">
        <v>159</v>
      </c>
      <c r="B63" s="2" t="s">
        <v>25</v>
      </c>
      <c r="C63" s="2" t="s">
        <v>26</v>
      </c>
      <c r="D63" s="2" t="s">
        <v>38</v>
      </c>
      <c r="E63" s="2" t="s">
        <v>29</v>
      </c>
      <c r="F63" s="2"/>
      <c r="G63" s="2" t="s">
        <v>25</v>
      </c>
      <c r="H63" s="2" t="s">
        <v>165</v>
      </c>
      <c r="I63" s="3">
        <v>124</v>
      </c>
      <c r="J63" s="3">
        <v>124</v>
      </c>
      <c r="K63" s="4">
        <f t="shared" si="0"/>
        <v>248</v>
      </c>
      <c r="L63" s="2" t="s">
        <v>40</v>
      </c>
      <c r="M63" s="2" t="s">
        <v>915</v>
      </c>
      <c r="N63" s="2"/>
    </row>
    <row r="64" spans="1:14" x14ac:dyDescent="0.3">
      <c r="A64" s="2" t="s">
        <v>159</v>
      </c>
      <c r="B64" s="2" t="s">
        <v>271</v>
      </c>
      <c r="C64" s="2" t="s">
        <v>152</v>
      </c>
      <c r="D64" s="2" t="s">
        <v>38</v>
      </c>
      <c r="E64" s="2" t="s">
        <v>127</v>
      </c>
      <c r="F64" s="2" t="s">
        <v>272</v>
      </c>
      <c r="G64" s="2" t="s">
        <v>271</v>
      </c>
      <c r="H64" s="2" t="s">
        <v>273</v>
      </c>
      <c r="I64" s="3">
        <v>85</v>
      </c>
      <c r="J64" s="3">
        <v>85</v>
      </c>
      <c r="K64" s="4">
        <f t="shared" si="0"/>
        <v>170</v>
      </c>
      <c r="L64" s="2" t="s">
        <v>31</v>
      </c>
      <c r="M64" s="2" t="s">
        <v>916</v>
      </c>
      <c r="N64" s="2"/>
    </row>
    <row r="65" spans="1:14" x14ac:dyDescent="0.3">
      <c r="A65" s="2" t="s">
        <v>159</v>
      </c>
      <c r="B65" s="2" t="s">
        <v>292</v>
      </c>
      <c r="C65" s="2" t="s">
        <v>37</v>
      </c>
      <c r="D65" s="2" t="s">
        <v>38</v>
      </c>
      <c r="E65" s="2" t="s">
        <v>29</v>
      </c>
      <c r="F65" s="2"/>
      <c r="G65" s="2" t="s">
        <v>292</v>
      </c>
      <c r="H65" s="2" t="s">
        <v>293</v>
      </c>
      <c r="I65" s="3">
        <v>85</v>
      </c>
      <c r="J65" s="3">
        <v>85</v>
      </c>
      <c r="K65" s="4">
        <f t="shared" si="0"/>
        <v>170</v>
      </c>
      <c r="L65" s="2" t="s">
        <v>31</v>
      </c>
      <c r="M65" s="2" t="s">
        <v>913</v>
      </c>
      <c r="N65" s="2"/>
    </row>
    <row r="66" spans="1:14" x14ac:dyDescent="0.3">
      <c r="A66" s="2" t="s">
        <v>159</v>
      </c>
      <c r="B66" s="2" t="s">
        <v>212</v>
      </c>
      <c r="C66" s="2" t="s">
        <v>37</v>
      </c>
      <c r="D66" s="2" t="s">
        <v>38</v>
      </c>
      <c r="E66" s="2" t="s">
        <v>29</v>
      </c>
      <c r="F66" s="2"/>
      <c r="G66" s="2" t="s">
        <v>212</v>
      </c>
      <c r="H66" s="2" t="s">
        <v>557</v>
      </c>
      <c r="I66" s="3">
        <v>85</v>
      </c>
      <c r="J66" s="3">
        <v>85</v>
      </c>
      <c r="K66" s="4">
        <f t="shared" ref="K66:K129" si="1">IF(I66="","",I66+J66)</f>
        <v>170</v>
      </c>
      <c r="L66" s="2" t="s">
        <v>31</v>
      </c>
      <c r="M66" s="2" t="s">
        <v>917</v>
      </c>
      <c r="N66" s="2"/>
    </row>
    <row r="67" spans="1:14" x14ac:dyDescent="0.3">
      <c r="A67" s="2" t="s">
        <v>159</v>
      </c>
      <c r="B67" s="2" t="s">
        <v>299</v>
      </c>
      <c r="C67" s="2" t="s">
        <v>152</v>
      </c>
      <c r="D67" s="2" t="s">
        <v>38</v>
      </c>
      <c r="E67" s="2" t="s">
        <v>127</v>
      </c>
      <c r="F67" s="2" t="s">
        <v>186</v>
      </c>
      <c r="G67" s="2" t="s">
        <v>300</v>
      </c>
      <c r="H67" s="2" t="s">
        <v>301</v>
      </c>
      <c r="I67" s="3">
        <v>81</v>
      </c>
      <c r="J67" s="3">
        <v>75</v>
      </c>
      <c r="K67" s="4">
        <f t="shared" si="1"/>
        <v>156</v>
      </c>
      <c r="L67" s="2" t="s">
        <v>31</v>
      </c>
      <c r="M67" s="2" t="s">
        <v>158</v>
      </c>
      <c r="N67" s="2" t="s">
        <v>302</v>
      </c>
    </row>
    <row r="68" spans="1:14" x14ac:dyDescent="0.3">
      <c r="A68" s="2" t="s">
        <v>159</v>
      </c>
      <c r="B68" s="2" t="s">
        <v>571</v>
      </c>
      <c r="C68" s="2" t="s">
        <v>152</v>
      </c>
      <c r="D68" s="2" t="s">
        <v>38</v>
      </c>
      <c r="E68" s="2" t="s">
        <v>127</v>
      </c>
      <c r="F68" s="2" t="s">
        <v>272</v>
      </c>
      <c r="G68" s="2" t="s">
        <v>571</v>
      </c>
      <c r="H68" s="2" t="s">
        <v>572</v>
      </c>
      <c r="I68" s="3">
        <v>72</v>
      </c>
      <c r="J68" s="3">
        <v>72</v>
      </c>
      <c r="K68" s="4">
        <f t="shared" si="1"/>
        <v>144</v>
      </c>
      <c r="L68" s="2" t="s">
        <v>31</v>
      </c>
      <c r="M68" s="2" t="s">
        <v>513</v>
      </c>
      <c r="N68" s="2"/>
    </row>
    <row r="69" spans="1:14" x14ac:dyDescent="0.3">
      <c r="A69" s="2" t="s">
        <v>159</v>
      </c>
      <c r="B69" s="2" t="s">
        <v>312</v>
      </c>
      <c r="C69" s="2" t="s">
        <v>152</v>
      </c>
      <c r="D69" s="2" t="s">
        <v>38</v>
      </c>
      <c r="E69" s="2" t="s">
        <v>127</v>
      </c>
      <c r="F69" s="2" t="s">
        <v>313</v>
      </c>
      <c r="G69" s="2" t="s">
        <v>314</v>
      </c>
      <c r="H69" s="2" t="s">
        <v>315</v>
      </c>
      <c r="I69" s="3">
        <v>71</v>
      </c>
      <c r="J69" s="3">
        <v>11</v>
      </c>
      <c r="K69" s="4">
        <f t="shared" si="1"/>
        <v>82</v>
      </c>
      <c r="L69" s="2" t="s">
        <v>31</v>
      </c>
      <c r="M69" s="2" t="s">
        <v>158</v>
      </c>
      <c r="N69" s="2" t="s">
        <v>316</v>
      </c>
    </row>
    <row r="70" spans="1:14" x14ac:dyDescent="0.3">
      <c r="A70" s="2" t="s">
        <v>159</v>
      </c>
      <c r="B70" s="2" t="s">
        <v>204</v>
      </c>
      <c r="C70" s="2" t="s">
        <v>37</v>
      </c>
      <c r="D70" s="2" t="s">
        <v>38</v>
      </c>
      <c r="E70" s="2" t="s">
        <v>29</v>
      </c>
      <c r="F70" s="2"/>
      <c r="G70" s="2" t="s">
        <v>204</v>
      </c>
      <c r="H70" s="2" t="s">
        <v>558</v>
      </c>
      <c r="I70" s="3">
        <v>55</v>
      </c>
      <c r="J70" s="3">
        <v>55</v>
      </c>
      <c r="K70" s="4">
        <f t="shared" si="1"/>
        <v>110</v>
      </c>
      <c r="L70" s="2" t="s">
        <v>31</v>
      </c>
      <c r="M70" s="2" t="s">
        <v>917</v>
      </c>
      <c r="N70" s="2"/>
    </row>
    <row r="71" spans="1:14" x14ac:dyDescent="0.3">
      <c r="A71" s="2" t="s">
        <v>159</v>
      </c>
      <c r="B71" s="2" t="s">
        <v>295</v>
      </c>
      <c r="C71" s="2" t="s">
        <v>37</v>
      </c>
      <c r="D71" s="2" t="s">
        <v>38</v>
      </c>
      <c r="E71" s="2" t="s">
        <v>29</v>
      </c>
      <c r="F71" s="2"/>
      <c r="G71" s="2" t="s">
        <v>296</v>
      </c>
      <c r="H71" s="2" t="s">
        <v>297</v>
      </c>
      <c r="I71" s="3">
        <v>46</v>
      </c>
      <c r="J71" s="3">
        <v>17</v>
      </c>
      <c r="K71" s="4">
        <f t="shared" si="1"/>
        <v>63</v>
      </c>
      <c r="L71" s="2" t="s">
        <v>31</v>
      </c>
      <c r="M71" s="2" t="s">
        <v>158</v>
      </c>
      <c r="N71" s="2" t="s">
        <v>298</v>
      </c>
    </row>
    <row r="72" spans="1:14" x14ac:dyDescent="0.3">
      <c r="A72" s="2" t="s">
        <v>159</v>
      </c>
      <c r="B72" s="2" t="s">
        <v>185</v>
      </c>
      <c r="C72" s="2" t="s">
        <v>37</v>
      </c>
      <c r="D72" s="2" t="s">
        <v>38</v>
      </c>
      <c r="E72" s="2" t="s">
        <v>29</v>
      </c>
      <c r="F72" s="2" t="s">
        <v>186</v>
      </c>
      <c r="G72" s="2" t="s">
        <v>185</v>
      </c>
      <c r="H72" s="2" t="s">
        <v>521</v>
      </c>
      <c r="I72" s="3">
        <v>46</v>
      </c>
      <c r="J72" s="3">
        <v>46</v>
      </c>
      <c r="K72" s="4">
        <f t="shared" si="1"/>
        <v>92</v>
      </c>
      <c r="L72" s="2" t="s">
        <v>31</v>
      </c>
      <c r="M72" s="2" t="s">
        <v>513</v>
      </c>
      <c r="N72" s="2"/>
    </row>
    <row r="73" spans="1:14" x14ac:dyDescent="0.3">
      <c r="A73" s="2" t="s">
        <v>159</v>
      </c>
      <c r="B73" s="2" t="s">
        <v>317</v>
      </c>
      <c r="C73" s="2" t="s">
        <v>152</v>
      </c>
      <c r="D73" s="2" t="s">
        <v>38</v>
      </c>
      <c r="E73" s="2" t="s">
        <v>127</v>
      </c>
      <c r="F73" s="2" t="s">
        <v>188</v>
      </c>
      <c r="G73" s="2" t="s">
        <v>318</v>
      </c>
      <c r="H73" s="2" t="s">
        <v>319</v>
      </c>
      <c r="I73" s="3">
        <v>44</v>
      </c>
      <c r="J73" s="3">
        <v>3</v>
      </c>
      <c r="K73" s="4">
        <f t="shared" si="1"/>
        <v>47</v>
      </c>
      <c r="L73" s="2" t="s">
        <v>31</v>
      </c>
      <c r="M73" s="2" t="s">
        <v>158</v>
      </c>
      <c r="N73" s="2" t="s">
        <v>320</v>
      </c>
    </row>
    <row r="74" spans="1:14" x14ac:dyDescent="0.3">
      <c r="A74" s="2" t="s">
        <v>159</v>
      </c>
      <c r="B74" s="2" t="s">
        <v>334</v>
      </c>
      <c r="C74" s="2" t="s">
        <v>152</v>
      </c>
      <c r="D74" s="2" t="s">
        <v>38</v>
      </c>
      <c r="E74" s="2" t="s">
        <v>127</v>
      </c>
      <c r="F74" s="2" t="s">
        <v>313</v>
      </c>
      <c r="G74" s="2" t="s">
        <v>335</v>
      </c>
      <c r="H74" s="2" t="s">
        <v>336</v>
      </c>
      <c r="I74" s="3">
        <v>43</v>
      </c>
      <c r="J74" s="3">
        <v>30</v>
      </c>
      <c r="K74" s="4">
        <f t="shared" si="1"/>
        <v>73</v>
      </c>
      <c r="L74" s="2" t="s">
        <v>31</v>
      </c>
      <c r="M74" s="2" t="s">
        <v>158</v>
      </c>
      <c r="N74" s="2" t="s">
        <v>302</v>
      </c>
    </row>
    <row r="75" spans="1:14" x14ac:dyDescent="0.3">
      <c r="A75" s="2" t="s">
        <v>159</v>
      </c>
      <c r="B75" s="2" t="s">
        <v>327</v>
      </c>
      <c r="C75" s="2" t="s">
        <v>37</v>
      </c>
      <c r="D75" s="2" t="s">
        <v>38</v>
      </c>
      <c r="E75" s="2" t="s">
        <v>29</v>
      </c>
      <c r="F75" s="2"/>
      <c r="G75" s="2" t="s">
        <v>328</v>
      </c>
      <c r="H75" s="2" t="s">
        <v>329</v>
      </c>
      <c r="I75" s="3">
        <v>41</v>
      </c>
      <c r="J75" s="3">
        <v>39</v>
      </c>
      <c r="K75" s="4">
        <f t="shared" si="1"/>
        <v>80</v>
      </c>
      <c r="L75" s="2" t="s">
        <v>31</v>
      </c>
      <c r="M75" s="2" t="s">
        <v>158</v>
      </c>
      <c r="N75" s="2" t="s">
        <v>302</v>
      </c>
    </row>
    <row r="76" spans="1:14" x14ac:dyDescent="0.3">
      <c r="A76" s="2" t="s">
        <v>159</v>
      </c>
      <c r="B76" s="2" t="s">
        <v>206</v>
      </c>
      <c r="C76" s="2" t="s">
        <v>37</v>
      </c>
      <c r="D76" s="2" t="s">
        <v>38</v>
      </c>
      <c r="E76" s="2" t="s">
        <v>29</v>
      </c>
      <c r="F76" s="2"/>
      <c r="G76" s="2" t="s">
        <v>206</v>
      </c>
      <c r="H76" s="2" t="s">
        <v>876</v>
      </c>
      <c r="I76" s="3">
        <v>39</v>
      </c>
      <c r="J76" s="3">
        <v>39</v>
      </c>
      <c r="K76" s="4">
        <f t="shared" si="1"/>
        <v>78</v>
      </c>
      <c r="L76" s="2" t="s">
        <v>31</v>
      </c>
      <c r="M76" s="2" t="s">
        <v>168</v>
      </c>
      <c r="N76" s="2"/>
    </row>
    <row r="77" spans="1:14" x14ac:dyDescent="0.3">
      <c r="A77" s="2" t="s">
        <v>159</v>
      </c>
      <c r="B77" s="2" t="s">
        <v>525</v>
      </c>
      <c r="C77" s="2" t="s">
        <v>152</v>
      </c>
      <c r="D77" s="2" t="s">
        <v>38</v>
      </c>
      <c r="E77" s="2" t="s">
        <v>127</v>
      </c>
      <c r="F77" s="2" t="s">
        <v>186</v>
      </c>
      <c r="G77" s="2" t="s">
        <v>525</v>
      </c>
      <c r="H77" s="2" t="s">
        <v>526</v>
      </c>
      <c r="I77" s="3">
        <v>35</v>
      </c>
      <c r="J77" s="3">
        <v>35</v>
      </c>
      <c r="K77" s="4">
        <f t="shared" si="1"/>
        <v>70</v>
      </c>
      <c r="L77" s="2" t="s">
        <v>31</v>
      </c>
      <c r="M77" s="2" t="s">
        <v>513</v>
      </c>
      <c r="N77" s="2"/>
    </row>
    <row r="78" spans="1:14" x14ac:dyDescent="0.3">
      <c r="A78" s="2" t="s">
        <v>159</v>
      </c>
      <c r="B78" s="2" t="s">
        <v>307</v>
      </c>
      <c r="C78" s="2" t="s">
        <v>152</v>
      </c>
      <c r="D78" s="2" t="s">
        <v>38</v>
      </c>
      <c r="E78" s="2" t="s">
        <v>127</v>
      </c>
      <c r="F78" s="2" t="s">
        <v>186</v>
      </c>
      <c r="G78" s="2" t="s">
        <v>307</v>
      </c>
      <c r="H78" s="2" t="s">
        <v>308</v>
      </c>
      <c r="I78" s="3">
        <v>34</v>
      </c>
      <c r="J78" s="3">
        <v>34</v>
      </c>
      <c r="K78" s="4">
        <f t="shared" si="1"/>
        <v>68</v>
      </c>
      <c r="L78" s="2" t="s">
        <v>31</v>
      </c>
      <c r="M78" s="2" t="s">
        <v>914</v>
      </c>
      <c r="N78" s="2"/>
    </row>
    <row r="79" spans="1:14" x14ac:dyDescent="0.3">
      <c r="A79" s="2" t="s">
        <v>159</v>
      </c>
      <c r="B79" s="2" t="s">
        <v>303</v>
      </c>
      <c r="C79" s="2" t="s">
        <v>152</v>
      </c>
      <c r="D79" s="2" t="s">
        <v>38</v>
      </c>
      <c r="E79" s="2" t="s">
        <v>127</v>
      </c>
      <c r="F79" s="2" t="s">
        <v>188</v>
      </c>
      <c r="G79" s="2" t="s">
        <v>304</v>
      </c>
      <c r="H79" s="2" t="s">
        <v>305</v>
      </c>
      <c r="I79" s="3">
        <v>32</v>
      </c>
      <c r="J79" s="3">
        <v>14</v>
      </c>
      <c r="K79" s="4">
        <f t="shared" si="1"/>
        <v>46</v>
      </c>
      <c r="L79" s="2" t="s">
        <v>31</v>
      </c>
      <c r="M79" s="2" t="s">
        <v>158</v>
      </c>
      <c r="N79" s="2" t="s">
        <v>306</v>
      </c>
    </row>
    <row r="80" spans="1:14" x14ac:dyDescent="0.3">
      <c r="A80" s="2" t="s">
        <v>159</v>
      </c>
      <c r="B80" s="2" t="s">
        <v>874</v>
      </c>
      <c r="C80" s="2" t="s">
        <v>152</v>
      </c>
      <c r="D80" s="2" t="s">
        <v>38</v>
      </c>
      <c r="E80" s="2" t="s">
        <v>127</v>
      </c>
      <c r="F80" s="2" t="s">
        <v>186</v>
      </c>
      <c r="G80" s="2" t="s">
        <v>874</v>
      </c>
      <c r="H80" s="2" t="s">
        <v>875</v>
      </c>
      <c r="I80" s="3">
        <v>32</v>
      </c>
      <c r="J80" s="3">
        <v>32</v>
      </c>
      <c r="K80" s="4">
        <f t="shared" si="1"/>
        <v>64</v>
      </c>
      <c r="L80" s="2" t="s">
        <v>31</v>
      </c>
      <c r="M80" s="2" t="s">
        <v>168</v>
      </c>
      <c r="N80" s="2"/>
    </row>
    <row r="81" spans="1:14" x14ac:dyDescent="0.3">
      <c r="A81" s="2" t="s">
        <v>159</v>
      </c>
      <c r="B81" s="2" t="s">
        <v>192</v>
      </c>
      <c r="C81" s="2" t="s">
        <v>37</v>
      </c>
      <c r="D81" s="2" t="s">
        <v>38</v>
      </c>
      <c r="E81" s="2" t="s">
        <v>29</v>
      </c>
      <c r="F81" s="2"/>
      <c r="G81" s="2" t="s">
        <v>192</v>
      </c>
      <c r="H81" s="2" t="s">
        <v>514</v>
      </c>
      <c r="I81" s="3">
        <v>31</v>
      </c>
      <c r="J81" s="3">
        <v>31</v>
      </c>
      <c r="K81" s="4">
        <f t="shared" si="1"/>
        <v>62</v>
      </c>
      <c r="L81" s="2" t="s">
        <v>31</v>
      </c>
      <c r="M81" s="2" t="s">
        <v>917</v>
      </c>
      <c r="N81" s="2"/>
    </row>
    <row r="82" spans="1:14" x14ac:dyDescent="0.3">
      <c r="A82" s="2" t="s">
        <v>159</v>
      </c>
      <c r="B82" s="2" t="s">
        <v>573</v>
      </c>
      <c r="C82" s="2" t="s">
        <v>152</v>
      </c>
      <c r="D82" s="2" t="s">
        <v>38</v>
      </c>
      <c r="E82" s="2" t="s">
        <v>127</v>
      </c>
      <c r="F82" s="2" t="s">
        <v>574</v>
      </c>
      <c r="G82" s="2" t="s">
        <v>573</v>
      </c>
      <c r="H82" s="2" t="s">
        <v>575</v>
      </c>
      <c r="I82" s="3">
        <v>30</v>
      </c>
      <c r="J82" s="3">
        <v>30</v>
      </c>
      <c r="K82" s="4">
        <f t="shared" si="1"/>
        <v>60</v>
      </c>
      <c r="L82" s="2" t="s">
        <v>31</v>
      </c>
      <c r="M82" s="2" t="s">
        <v>917</v>
      </c>
      <c r="N82" s="2"/>
    </row>
    <row r="83" spans="1:14" x14ac:dyDescent="0.3">
      <c r="A83" s="2" t="s">
        <v>159</v>
      </c>
      <c r="B83" s="2" t="s">
        <v>309</v>
      </c>
      <c r="C83" s="2" t="s">
        <v>152</v>
      </c>
      <c r="D83" s="2" t="s">
        <v>38</v>
      </c>
      <c r="E83" s="2" t="s">
        <v>127</v>
      </c>
      <c r="F83" s="2" t="s">
        <v>188</v>
      </c>
      <c r="G83" s="2" t="s">
        <v>310</v>
      </c>
      <c r="H83" s="2" t="s">
        <v>311</v>
      </c>
      <c r="I83" s="3">
        <v>27</v>
      </c>
      <c r="J83" s="3">
        <v>10</v>
      </c>
      <c r="K83" s="4">
        <f t="shared" si="1"/>
        <v>37</v>
      </c>
      <c r="L83" s="2" t="s">
        <v>31</v>
      </c>
      <c r="M83" s="2" t="s">
        <v>158</v>
      </c>
      <c r="N83" s="2" t="s">
        <v>302</v>
      </c>
    </row>
    <row r="84" spans="1:14" x14ac:dyDescent="0.3">
      <c r="A84" s="2" t="s">
        <v>159</v>
      </c>
      <c r="B84" s="2" t="s">
        <v>877</v>
      </c>
      <c r="C84" s="2" t="s">
        <v>152</v>
      </c>
      <c r="D84" s="2" t="s">
        <v>38</v>
      </c>
      <c r="E84" s="2" t="s">
        <v>127</v>
      </c>
      <c r="F84" s="2" t="s">
        <v>186</v>
      </c>
      <c r="G84" s="2" t="s">
        <v>877</v>
      </c>
      <c r="H84" s="2" t="s">
        <v>878</v>
      </c>
      <c r="I84" s="3">
        <v>25</v>
      </c>
      <c r="J84" s="3">
        <v>25</v>
      </c>
      <c r="K84" s="4">
        <f t="shared" si="1"/>
        <v>50</v>
      </c>
      <c r="L84" s="2" t="s">
        <v>31</v>
      </c>
      <c r="M84" s="2" t="s">
        <v>168</v>
      </c>
      <c r="N84" s="2"/>
    </row>
    <row r="85" spans="1:14" x14ac:dyDescent="0.3">
      <c r="A85" s="2" t="s">
        <v>159</v>
      </c>
      <c r="B85" s="2" t="s">
        <v>321</v>
      </c>
      <c r="C85" s="2" t="s">
        <v>152</v>
      </c>
      <c r="D85" s="2" t="s">
        <v>38</v>
      </c>
      <c r="E85" s="2" t="s">
        <v>127</v>
      </c>
      <c r="F85" s="2" t="s">
        <v>313</v>
      </c>
      <c r="G85" s="2" t="s">
        <v>322</v>
      </c>
      <c r="H85" s="2" t="s">
        <v>323</v>
      </c>
      <c r="I85" s="3">
        <v>24</v>
      </c>
      <c r="J85" s="3">
        <v>20</v>
      </c>
      <c r="K85" s="4">
        <f t="shared" si="1"/>
        <v>44</v>
      </c>
      <c r="L85" s="2" t="s">
        <v>31</v>
      </c>
      <c r="M85" s="2" t="s">
        <v>158</v>
      </c>
      <c r="N85" s="2" t="s">
        <v>302</v>
      </c>
    </row>
    <row r="86" spans="1:14" x14ac:dyDescent="0.3">
      <c r="A86" s="2" t="s">
        <v>159</v>
      </c>
      <c r="B86" s="2" t="s">
        <v>517</v>
      </c>
      <c r="C86" s="2" t="s">
        <v>37</v>
      </c>
      <c r="D86" s="2" t="s">
        <v>38</v>
      </c>
      <c r="E86" s="2" t="s">
        <v>29</v>
      </c>
      <c r="F86" s="2" t="s">
        <v>188</v>
      </c>
      <c r="G86" s="2" t="s">
        <v>517</v>
      </c>
      <c r="H86" s="2" t="s">
        <v>518</v>
      </c>
      <c r="I86" s="3">
        <v>24</v>
      </c>
      <c r="J86" s="3">
        <v>24</v>
      </c>
      <c r="K86" s="4">
        <f t="shared" si="1"/>
        <v>48</v>
      </c>
      <c r="L86" s="2" t="s">
        <v>31</v>
      </c>
      <c r="M86" s="2" t="s">
        <v>917</v>
      </c>
      <c r="N86" s="2"/>
    </row>
    <row r="87" spans="1:14" x14ac:dyDescent="0.3">
      <c r="A87" s="2" t="s">
        <v>159</v>
      </c>
      <c r="B87" s="2" t="s">
        <v>559</v>
      </c>
      <c r="C87" s="2" t="s">
        <v>37</v>
      </c>
      <c r="D87" s="2" t="s">
        <v>38</v>
      </c>
      <c r="E87" s="2" t="s">
        <v>29</v>
      </c>
      <c r="F87" s="2"/>
      <c r="G87" s="2" t="s">
        <v>559</v>
      </c>
      <c r="H87" s="2" t="s">
        <v>560</v>
      </c>
      <c r="I87" s="3">
        <v>24</v>
      </c>
      <c r="J87" s="3">
        <v>24</v>
      </c>
      <c r="K87" s="4">
        <f t="shared" si="1"/>
        <v>48</v>
      </c>
      <c r="L87" s="2" t="s">
        <v>31</v>
      </c>
      <c r="M87" s="2" t="s">
        <v>917</v>
      </c>
      <c r="N87" s="2"/>
    </row>
    <row r="88" spans="1:14" x14ac:dyDescent="0.3">
      <c r="A88" s="2" t="s">
        <v>159</v>
      </c>
      <c r="B88" s="2" t="s">
        <v>330</v>
      </c>
      <c r="C88" s="2" t="s">
        <v>152</v>
      </c>
      <c r="D88" s="2" t="s">
        <v>38</v>
      </c>
      <c r="E88" s="2" t="s">
        <v>127</v>
      </c>
      <c r="F88" s="2" t="s">
        <v>188</v>
      </c>
      <c r="G88" s="2" t="s">
        <v>331</v>
      </c>
      <c r="H88" s="2" t="s">
        <v>332</v>
      </c>
      <c r="I88" s="3">
        <v>22</v>
      </c>
      <c r="J88" s="3">
        <v>7</v>
      </c>
      <c r="K88" s="4">
        <f t="shared" si="1"/>
        <v>29</v>
      </c>
      <c r="L88" s="2" t="s">
        <v>31</v>
      </c>
      <c r="M88" s="2" t="s">
        <v>158</v>
      </c>
      <c r="N88" s="2" t="s">
        <v>333</v>
      </c>
    </row>
    <row r="89" spans="1:14" x14ac:dyDescent="0.3">
      <c r="A89" s="2" t="s">
        <v>159</v>
      </c>
      <c r="B89" s="2" t="s">
        <v>879</v>
      </c>
      <c r="C89" s="2" t="s">
        <v>152</v>
      </c>
      <c r="D89" s="2" t="s">
        <v>38</v>
      </c>
      <c r="E89" s="2" t="s">
        <v>127</v>
      </c>
      <c r="F89" s="2" t="s">
        <v>225</v>
      </c>
      <c r="G89" s="2" t="s">
        <v>879</v>
      </c>
      <c r="H89" s="2" t="s">
        <v>880</v>
      </c>
      <c r="I89" s="3">
        <v>22</v>
      </c>
      <c r="J89" s="3">
        <v>22</v>
      </c>
      <c r="K89" s="4">
        <f t="shared" si="1"/>
        <v>44</v>
      </c>
      <c r="L89" s="2" t="s">
        <v>31</v>
      </c>
      <c r="M89" s="2" t="s">
        <v>168</v>
      </c>
      <c r="N89" s="2"/>
    </row>
    <row r="90" spans="1:14" x14ac:dyDescent="0.3">
      <c r="A90" s="2" t="s">
        <v>159</v>
      </c>
      <c r="B90" s="2" t="s">
        <v>522</v>
      </c>
      <c r="C90" s="2" t="s">
        <v>152</v>
      </c>
      <c r="D90" s="2" t="s">
        <v>38</v>
      </c>
      <c r="E90" s="2" t="s">
        <v>127</v>
      </c>
      <c r="F90" s="2" t="s">
        <v>188</v>
      </c>
      <c r="G90" s="2" t="s">
        <v>522</v>
      </c>
      <c r="H90" s="2" t="s">
        <v>523</v>
      </c>
      <c r="I90" s="3">
        <v>21</v>
      </c>
      <c r="J90" s="3">
        <v>21</v>
      </c>
      <c r="K90" s="4">
        <f t="shared" si="1"/>
        <v>42</v>
      </c>
      <c r="L90" s="2" t="s">
        <v>31</v>
      </c>
      <c r="M90" s="2" t="s">
        <v>917</v>
      </c>
      <c r="N90" s="2"/>
    </row>
    <row r="91" spans="1:14" x14ac:dyDescent="0.3">
      <c r="A91" s="2" t="s">
        <v>159</v>
      </c>
      <c r="B91" s="2" t="s">
        <v>534</v>
      </c>
      <c r="C91" s="2" t="s">
        <v>152</v>
      </c>
      <c r="D91" s="2" t="s">
        <v>38</v>
      </c>
      <c r="E91" s="2" t="s">
        <v>127</v>
      </c>
      <c r="F91" s="2" t="s">
        <v>188</v>
      </c>
      <c r="G91" s="2" t="s">
        <v>534</v>
      </c>
      <c r="H91" s="2" t="s">
        <v>535</v>
      </c>
      <c r="I91" s="3">
        <v>21</v>
      </c>
      <c r="J91" s="3">
        <v>21</v>
      </c>
      <c r="K91" s="4">
        <f t="shared" si="1"/>
        <v>42</v>
      </c>
      <c r="L91" s="2" t="s">
        <v>31</v>
      </c>
      <c r="M91" s="2" t="s">
        <v>513</v>
      </c>
      <c r="N91" s="2"/>
    </row>
    <row r="92" spans="1:14" x14ac:dyDescent="0.3">
      <c r="A92" s="2" t="s">
        <v>159</v>
      </c>
      <c r="B92" s="2" t="s">
        <v>224</v>
      </c>
      <c r="C92" s="2" t="s">
        <v>152</v>
      </c>
      <c r="D92" s="2" t="s">
        <v>38</v>
      </c>
      <c r="E92" s="2" t="s">
        <v>127</v>
      </c>
      <c r="F92" s="2" t="s">
        <v>225</v>
      </c>
      <c r="G92" s="2" t="s">
        <v>224</v>
      </c>
      <c r="H92" s="2" t="s">
        <v>576</v>
      </c>
      <c r="I92" s="3">
        <v>21</v>
      </c>
      <c r="J92" s="3">
        <v>21</v>
      </c>
      <c r="K92" s="4">
        <f t="shared" si="1"/>
        <v>42</v>
      </c>
      <c r="L92" s="2" t="s">
        <v>31</v>
      </c>
      <c r="M92" s="2" t="s">
        <v>917</v>
      </c>
      <c r="N92" s="2"/>
    </row>
    <row r="93" spans="1:14" x14ac:dyDescent="0.3">
      <c r="A93" s="2" t="s">
        <v>159</v>
      </c>
      <c r="B93" s="2" t="s">
        <v>579</v>
      </c>
      <c r="C93" s="2" t="s">
        <v>152</v>
      </c>
      <c r="D93" s="2" t="s">
        <v>38</v>
      </c>
      <c r="E93" s="2" t="s">
        <v>127</v>
      </c>
      <c r="F93" s="2" t="s">
        <v>225</v>
      </c>
      <c r="G93" s="2" t="s">
        <v>579</v>
      </c>
      <c r="H93" s="2" t="s">
        <v>580</v>
      </c>
      <c r="I93" s="3">
        <v>21</v>
      </c>
      <c r="J93" s="3">
        <v>21</v>
      </c>
      <c r="K93" s="4">
        <f t="shared" si="1"/>
        <v>42</v>
      </c>
      <c r="L93" s="2" t="s">
        <v>31</v>
      </c>
      <c r="M93" s="2" t="s">
        <v>917</v>
      </c>
      <c r="N93" s="2"/>
    </row>
    <row r="94" spans="1:14" x14ac:dyDescent="0.3">
      <c r="A94" s="2" t="s">
        <v>159</v>
      </c>
      <c r="B94" s="2" t="s">
        <v>550</v>
      </c>
      <c r="C94" s="2" t="s">
        <v>152</v>
      </c>
      <c r="D94" s="2" t="s">
        <v>38</v>
      </c>
      <c r="E94" s="2" t="s">
        <v>127</v>
      </c>
      <c r="F94" s="2" t="s">
        <v>550</v>
      </c>
      <c r="G94" s="2" t="s">
        <v>550</v>
      </c>
      <c r="H94" s="2" t="s">
        <v>551</v>
      </c>
      <c r="I94" s="3">
        <v>20</v>
      </c>
      <c r="J94" s="3">
        <v>20</v>
      </c>
      <c r="K94" s="4">
        <f t="shared" si="1"/>
        <v>40</v>
      </c>
      <c r="L94" s="2" t="s">
        <v>31</v>
      </c>
      <c r="M94" s="2" t="s">
        <v>917</v>
      </c>
      <c r="N94" s="2"/>
    </row>
    <row r="95" spans="1:14" x14ac:dyDescent="0.3">
      <c r="A95" s="2" t="s">
        <v>159</v>
      </c>
      <c r="B95" s="2" t="s">
        <v>577</v>
      </c>
      <c r="C95" s="2" t="s">
        <v>152</v>
      </c>
      <c r="D95" s="2" t="s">
        <v>38</v>
      </c>
      <c r="E95" s="2" t="s">
        <v>127</v>
      </c>
      <c r="F95" s="2" t="s">
        <v>225</v>
      </c>
      <c r="G95" s="2" t="s">
        <v>577</v>
      </c>
      <c r="H95" s="2" t="s">
        <v>578</v>
      </c>
      <c r="I95" s="3">
        <v>20</v>
      </c>
      <c r="J95" s="3">
        <v>20</v>
      </c>
      <c r="K95" s="4">
        <f t="shared" si="1"/>
        <v>40</v>
      </c>
      <c r="L95" s="2" t="s">
        <v>31</v>
      </c>
      <c r="M95" s="2" t="s">
        <v>917</v>
      </c>
      <c r="N95" s="2"/>
    </row>
    <row r="96" spans="1:14" x14ac:dyDescent="0.3">
      <c r="A96" s="2" t="s">
        <v>159</v>
      </c>
      <c r="B96" s="2" t="s">
        <v>881</v>
      </c>
      <c r="C96" s="2" t="s">
        <v>152</v>
      </c>
      <c r="D96" s="2" t="s">
        <v>38</v>
      </c>
      <c r="E96" s="2" t="s">
        <v>127</v>
      </c>
      <c r="F96" s="2" t="s">
        <v>225</v>
      </c>
      <c r="G96" s="2" t="s">
        <v>881</v>
      </c>
      <c r="H96" s="2" t="s">
        <v>882</v>
      </c>
      <c r="I96" s="3">
        <v>20</v>
      </c>
      <c r="J96" s="3">
        <v>20</v>
      </c>
      <c r="K96" s="4">
        <f t="shared" si="1"/>
        <v>40</v>
      </c>
      <c r="L96" s="2" t="s">
        <v>31</v>
      </c>
      <c r="M96" s="2" t="s">
        <v>168</v>
      </c>
      <c r="N96" s="2"/>
    </row>
    <row r="97" spans="1:14" x14ac:dyDescent="0.3">
      <c r="A97" s="2" t="s">
        <v>159</v>
      </c>
      <c r="B97" s="2" t="s">
        <v>324</v>
      </c>
      <c r="C97" s="2" t="s">
        <v>152</v>
      </c>
      <c r="D97" s="2" t="s">
        <v>38</v>
      </c>
      <c r="E97" s="2" t="s">
        <v>127</v>
      </c>
      <c r="F97" s="2" t="s">
        <v>225</v>
      </c>
      <c r="G97" s="2" t="s">
        <v>325</v>
      </c>
      <c r="H97" s="2" t="s">
        <v>326</v>
      </c>
      <c r="I97" s="3">
        <v>19</v>
      </c>
      <c r="J97" s="3">
        <v>16</v>
      </c>
      <c r="K97" s="4">
        <f t="shared" si="1"/>
        <v>35</v>
      </c>
      <c r="L97" s="2" t="s">
        <v>31</v>
      </c>
      <c r="M97" s="2" t="s">
        <v>158</v>
      </c>
      <c r="N97" s="2" t="s">
        <v>302</v>
      </c>
    </row>
    <row r="98" spans="1:14" x14ac:dyDescent="0.3">
      <c r="A98" s="2" t="s">
        <v>159</v>
      </c>
      <c r="B98" s="2" t="s">
        <v>515</v>
      </c>
      <c r="C98" s="2" t="s">
        <v>152</v>
      </c>
      <c r="D98" s="2" t="s">
        <v>38</v>
      </c>
      <c r="E98" s="2" t="s">
        <v>127</v>
      </c>
      <c r="F98" s="2" t="s">
        <v>188</v>
      </c>
      <c r="G98" s="2" t="s">
        <v>515</v>
      </c>
      <c r="H98" s="2" t="s">
        <v>516</v>
      </c>
      <c r="I98" s="3">
        <v>19</v>
      </c>
      <c r="J98" s="3">
        <v>19</v>
      </c>
      <c r="K98" s="4">
        <f t="shared" si="1"/>
        <v>38</v>
      </c>
      <c r="L98" s="2" t="s">
        <v>31</v>
      </c>
      <c r="M98" s="2" t="s">
        <v>917</v>
      </c>
      <c r="N98" s="2"/>
    </row>
    <row r="99" spans="1:14" x14ac:dyDescent="0.3">
      <c r="A99" s="2" t="s">
        <v>159</v>
      </c>
      <c r="B99" s="2" t="s">
        <v>532</v>
      </c>
      <c r="C99" s="2" t="s">
        <v>152</v>
      </c>
      <c r="D99" s="2" t="s">
        <v>38</v>
      </c>
      <c r="E99" s="2" t="s">
        <v>127</v>
      </c>
      <c r="F99" s="2" t="s">
        <v>188</v>
      </c>
      <c r="G99" s="2" t="s">
        <v>532</v>
      </c>
      <c r="H99" s="2" t="s">
        <v>533</v>
      </c>
      <c r="I99" s="3">
        <v>19</v>
      </c>
      <c r="J99" s="3">
        <v>19</v>
      </c>
      <c r="K99" s="4">
        <f t="shared" si="1"/>
        <v>38</v>
      </c>
      <c r="L99" s="2" t="s">
        <v>31</v>
      </c>
      <c r="M99" s="2" t="s">
        <v>513</v>
      </c>
      <c r="N99" s="2"/>
    </row>
    <row r="100" spans="1:14" x14ac:dyDescent="0.3">
      <c r="A100" s="2" t="s">
        <v>159</v>
      </c>
      <c r="B100" s="2" t="s">
        <v>561</v>
      </c>
      <c r="C100" s="2" t="s">
        <v>37</v>
      </c>
      <c r="D100" s="2" t="s">
        <v>38</v>
      </c>
      <c r="E100" s="2" t="s">
        <v>29</v>
      </c>
      <c r="F100" s="2"/>
      <c r="G100" s="2" t="s">
        <v>561</v>
      </c>
      <c r="H100" s="2" t="s">
        <v>562</v>
      </c>
      <c r="I100" s="3">
        <v>19</v>
      </c>
      <c r="J100" s="3">
        <v>19</v>
      </c>
      <c r="K100" s="4">
        <f t="shared" si="1"/>
        <v>38</v>
      </c>
      <c r="L100" s="2" t="s">
        <v>31</v>
      </c>
      <c r="M100" s="2" t="s">
        <v>917</v>
      </c>
      <c r="N100" s="2"/>
    </row>
    <row r="101" spans="1:14" x14ac:dyDescent="0.3">
      <c r="A101" s="2" t="s">
        <v>159</v>
      </c>
      <c r="B101" s="2" t="s">
        <v>240</v>
      </c>
      <c r="C101" s="2" t="s">
        <v>152</v>
      </c>
      <c r="D101" s="2" t="s">
        <v>38</v>
      </c>
      <c r="E101" s="2" t="s">
        <v>127</v>
      </c>
      <c r="F101" s="2" t="s">
        <v>188</v>
      </c>
      <c r="G101" s="2" t="s">
        <v>240</v>
      </c>
      <c r="H101" s="2" t="s">
        <v>524</v>
      </c>
      <c r="I101" s="3">
        <v>18</v>
      </c>
      <c r="J101" s="3">
        <v>18</v>
      </c>
      <c r="K101" s="4">
        <f t="shared" si="1"/>
        <v>36</v>
      </c>
      <c r="L101" s="2" t="s">
        <v>31</v>
      </c>
      <c r="M101" s="2" t="s">
        <v>917</v>
      </c>
      <c r="N101" s="2"/>
    </row>
    <row r="102" spans="1:14" x14ac:dyDescent="0.3">
      <c r="A102" s="2" t="s">
        <v>159</v>
      </c>
      <c r="B102" s="2" t="s">
        <v>884</v>
      </c>
      <c r="C102" s="2" t="s">
        <v>152</v>
      </c>
      <c r="D102" s="2" t="s">
        <v>38</v>
      </c>
      <c r="E102" s="2" t="s">
        <v>127</v>
      </c>
      <c r="F102" s="2" t="s">
        <v>188</v>
      </c>
      <c r="G102" s="2" t="s">
        <v>884</v>
      </c>
      <c r="H102" s="2" t="s">
        <v>885</v>
      </c>
      <c r="I102" s="3">
        <v>18</v>
      </c>
      <c r="J102" s="3">
        <v>18</v>
      </c>
      <c r="K102" s="4">
        <f t="shared" si="1"/>
        <v>36</v>
      </c>
      <c r="L102" s="2" t="s">
        <v>31</v>
      </c>
      <c r="M102" s="2" t="s">
        <v>168</v>
      </c>
      <c r="N102" s="2"/>
    </row>
    <row r="103" spans="1:14" x14ac:dyDescent="0.3">
      <c r="A103" s="2" t="s">
        <v>159</v>
      </c>
      <c r="B103" s="2" t="s">
        <v>519</v>
      </c>
      <c r="C103" s="2" t="s">
        <v>152</v>
      </c>
      <c r="D103" s="2" t="s">
        <v>38</v>
      </c>
      <c r="E103" s="2" t="s">
        <v>127</v>
      </c>
      <c r="F103" s="2" t="s">
        <v>188</v>
      </c>
      <c r="G103" s="2" t="s">
        <v>519</v>
      </c>
      <c r="H103" s="2" t="s">
        <v>520</v>
      </c>
      <c r="I103" s="3">
        <v>17</v>
      </c>
      <c r="J103" s="3">
        <v>17</v>
      </c>
      <c r="K103" s="4">
        <f t="shared" si="1"/>
        <v>34</v>
      </c>
      <c r="L103" s="2" t="s">
        <v>31</v>
      </c>
      <c r="M103" s="2" t="s">
        <v>917</v>
      </c>
      <c r="N103" s="2"/>
    </row>
    <row r="104" spans="1:14" x14ac:dyDescent="0.3">
      <c r="A104" s="2" t="s">
        <v>159</v>
      </c>
      <c r="B104" s="2" t="s">
        <v>172</v>
      </c>
      <c r="C104" s="2" t="s">
        <v>152</v>
      </c>
      <c r="D104" s="2" t="s">
        <v>38</v>
      </c>
      <c r="E104" s="2" t="s">
        <v>127</v>
      </c>
      <c r="F104" s="2" t="s">
        <v>188</v>
      </c>
      <c r="G104" s="2" t="s">
        <v>172</v>
      </c>
      <c r="H104" s="2" t="s">
        <v>545</v>
      </c>
      <c r="I104" s="3">
        <v>17</v>
      </c>
      <c r="J104" s="3">
        <v>17</v>
      </c>
      <c r="K104" s="4">
        <f t="shared" si="1"/>
        <v>34</v>
      </c>
      <c r="L104" s="2" t="s">
        <v>31</v>
      </c>
      <c r="M104" s="2" t="s">
        <v>917</v>
      </c>
      <c r="N104" s="2"/>
    </row>
    <row r="105" spans="1:14" x14ac:dyDescent="0.3">
      <c r="A105" s="2" t="s">
        <v>159</v>
      </c>
      <c r="B105" s="2" t="s">
        <v>497</v>
      </c>
      <c r="C105" s="2" t="s">
        <v>152</v>
      </c>
      <c r="D105" s="2" t="s">
        <v>38</v>
      </c>
      <c r="E105" s="2" t="s">
        <v>127</v>
      </c>
      <c r="F105" s="2" t="s">
        <v>225</v>
      </c>
      <c r="G105" s="2" t="s">
        <v>497</v>
      </c>
      <c r="H105" s="2" t="s">
        <v>554</v>
      </c>
      <c r="I105" s="3">
        <v>16</v>
      </c>
      <c r="J105" s="3">
        <v>16</v>
      </c>
      <c r="K105" s="4">
        <f t="shared" si="1"/>
        <v>32</v>
      </c>
      <c r="L105" s="2" t="s">
        <v>31</v>
      </c>
      <c r="M105" s="2" t="s">
        <v>917</v>
      </c>
      <c r="N105" s="2"/>
    </row>
    <row r="106" spans="1:14" x14ac:dyDescent="0.3">
      <c r="A106" s="2" t="s">
        <v>159</v>
      </c>
      <c r="B106" s="2" t="s">
        <v>555</v>
      </c>
      <c r="C106" s="2" t="s">
        <v>152</v>
      </c>
      <c r="D106" s="2" t="s">
        <v>38</v>
      </c>
      <c r="E106" s="2" t="s">
        <v>127</v>
      </c>
      <c r="F106" s="2" t="s">
        <v>225</v>
      </c>
      <c r="G106" s="2" t="s">
        <v>555</v>
      </c>
      <c r="H106" s="2" t="s">
        <v>556</v>
      </c>
      <c r="I106" s="3">
        <v>16</v>
      </c>
      <c r="J106" s="3">
        <v>16</v>
      </c>
      <c r="K106" s="4">
        <f t="shared" si="1"/>
        <v>32</v>
      </c>
      <c r="L106" s="2" t="s">
        <v>31</v>
      </c>
      <c r="M106" s="2" t="s">
        <v>917</v>
      </c>
      <c r="N106" s="2"/>
    </row>
    <row r="107" spans="1:14" x14ac:dyDescent="0.3">
      <c r="A107" s="2" t="s">
        <v>159</v>
      </c>
      <c r="B107" s="2" t="s">
        <v>886</v>
      </c>
      <c r="C107" s="2" t="s">
        <v>152</v>
      </c>
      <c r="D107" s="2" t="s">
        <v>38</v>
      </c>
      <c r="E107" s="2" t="s">
        <v>127</v>
      </c>
      <c r="F107" s="2" t="s">
        <v>225</v>
      </c>
      <c r="G107" s="2" t="s">
        <v>886</v>
      </c>
      <c r="H107" s="2" t="s">
        <v>887</v>
      </c>
      <c r="I107" s="3">
        <v>15</v>
      </c>
      <c r="J107" s="3">
        <v>15</v>
      </c>
      <c r="K107" s="4">
        <f t="shared" si="1"/>
        <v>30</v>
      </c>
      <c r="L107" s="2" t="s">
        <v>31</v>
      </c>
      <c r="M107" s="2" t="s">
        <v>168</v>
      </c>
      <c r="N107" s="2"/>
    </row>
    <row r="108" spans="1:14" x14ac:dyDescent="0.3">
      <c r="A108" s="2" t="s">
        <v>159</v>
      </c>
      <c r="B108" s="2" t="s">
        <v>529</v>
      </c>
      <c r="C108" s="2" t="s">
        <v>152</v>
      </c>
      <c r="D108" s="2" t="s">
        <v>38</v>
      </c>
      <c r="E108" s="2" t="s">
        <v>127</v>
      </c>
      <c r="F108" s="2" t="s">
        <v>188</v>
      </c>
      <c r="G108" s="2" t="s">
        <v>529</v>
      </c>
      <c r="H108" s="2" t="s">
        <v>530</v>
      </c>
      <c r="I108" s="3">
        <v>14</v>
      </c>
      <c r="J108" s="3">
        <v>14</v>
      </c>
      <c r="K108" s="4">
        <f t="shared" si="1"/>
        <v>28</v>
      </c>
      <c r="L108" s="2" t="s">
        <v>31</v>
      </c>
      <c r="M108" s="2" t="s">
        <v>917</v>
      </c>
      <c r="N108" s="2"/>
    </row>
    <row r="109" spans="1:14" x14ac:dyDescent="0.3">
      <c r="A109" s="2" t="s">
        <v>159</v>
      </c>
      <c r="B109" s="2" t="s">
        <v>536</v>
      </c>
      <c r="C109" s="2" t="s">
        <v>152</v>
      </c>
      <c r="D109" s="2" t="s">
        <v>38</v>
      </c>
      <c r="E109" s="2" t="s">
        <v>127</v>
      </c>
      <c r="F109" s="2" t="s">
        <v>188</v>
      </c>
      <c r="G109" s="2" t="s">
        <v>536</v>
      </c>
      <c r="H109" s="2" t="s">
        <v>537</v>
      </c>
      <c r="I109" s="3">
        <v>14</v>
      </c>
      <c r="J109" s="3">
        <v>14</v>
      </c>
      <c r="K109" s="4">
        <f t="shared" si="1"/>
        <v>28</v>
      </c>
      <c r="L109" s="2" t="s">
        <v>31</v>
      </c>
      <c r="M109" s="2" t="s">
        <v>917</v>
      </c>
      <c r="N109" s="2"/>
    </row>
    <row r="110" spans="1:14" x14ac:dyDescent="0.3">
      <c r="A110" s="2" t="s">
        <v>159</v>
      </c>
      <c r="B110" s="2" t="s">
        <v>219</v>
      </c>
      <c r="C110" s="2" t="s">
        <v>152</v>
      </c>
      <c r="D110" s="2" t="s">
        <v>38</v>
      </c>
      <c r="E110" s="2" t="s">
        <v>127</v>
      </c>
      <c r="F110" s="2" t="s">
        <v>188</v>
      </c>
      <c r="G110" s="2" t="s">
        <v>219</v>
      </c>
      <c r="H110" s="2" t="s">
        <v>544</v>
      </c>
      <c r="I110" s="3">
        <v>14</v>
      </c>
      <c r="J110" s="3">
        <v>14</v>
      </c>
      <c r="K110" s="4">
        <f t="shared" si="1"/>
        <v>28</v>
      </c>
      <c r="L110" s="2" t="s">
        <v>31</v>
      </c>
      <c r="M110" s="2" t="s">
        <v>917</v>
      </c>
      <c r="N110" s="2"/>
    </row>
    <row r="111" spans="1:14" x14ac:dyDescent="0.3">
      <c r="A111" s="2" t="s">
        <v>159</v>
      </c>
      <c r="B111" s="2" t="s">
        <v>888</v>
      </c>
      <c r="C111" s="2" t="s">
        <v>152</v>
      </c>
      <c r="D111" s="2" t="s">
        <v>38</v>
      </c>
      <c r="E111" s="2" t="s">
        <v>127</v>
      </c>
      <c r="F111" s="2" t="s">
        <v>188</v>
      </c>
      <c r="G111" s="2" t="s">
        <v>888</v>
      </c>
      <c r="H111" s="2" t="s">
        <v>889</v>
      </c>
      <c r="I111" s="3">
        <v>14</v>
      </c>
      <c r="J111" s="3">
        <v>14</v>
      </c>
      <c r="K111" s="4">
        <f t="shared" si="1"/>
        <v>28</v>
      </c>
      <c r="L111" s="2" t="s">
        <v>31</v>
      </c>
      <c r="M111" s="2" t="s">
        <v>168</v>
      </c>
      <c r="N111" s="2"/>
    </row>
    <row r="112" spans="1:14" x14ac:dyDescent="0.3">
      <c r="A112" s="2" t="s">
        <v>159</v>
      </c>
      <c r="B112" s="2" t="s">
        <v>563</v>
      </c>
      <c r="C112" s="2" t="s">
        <v>152</v>
      </c>
      <c r="D112" s="2" t="s">
        <v>38</v>
      </c>
      <c r="E112" s="2" t="s">
        <v>127</v>
      </c>
      <c r="F112" s="2" t="s">
        <v>188</v>
      </c>
      <c r="G112" s="2" t="s">
        <v>563</v>
      </c>
      <c r="H112" s="2" t="s">
        <v>564</v>
      </c>
      <c r="I112" s="3">
        <v>13</v>
      </c>
      <c r="J112" s="3">
        <v>13</v>
      </c>
      <c r="K112" s="4">
        <f t="shared" si="1"/>
        <v>26</v>
      </c>
      <c r="L112" s="2" t="s">
        <v>31</v>
      </c>
      <c r="M112" s="2" t="s">
        <v>917</v>
      </c>
      <c r="N112" s="2"/>
    </row>
    <row r="113" spans="1:14" x14ac:dyDescent="0.3">
      <c r="A113" s="2" t="s">
        <v>159</v>
      </c>
      <c r="B113" s="2" t="s">
        <v>227</v>
      </c>
      <c r="C113" s="2" t="s">
        <v>152</v>
      </c>
      <c r="D113" s="2" t="s">
        <v>38</v>
      </c>
      <c r="E113" s="2" t="s">
        <v>127</v>
      </c>
      <c r="F113" s="2" t="s">
        <v>188</v>
      </c>
      <c r="G113" s="2" t="s">
        <v>227</v>
      </c>
      <c r="H113" s="2" t="s">
        <v>890</v>
      </c>
      <c r="I113" s="3">
        <v>13</v>
      </c>
      <c r="J113" s="3">
        <v>13</v>
      </c>
      <c r="K113" s="4">
        <f t="shared" si="1"/>
        <v>26</v>
      </c>
      <c r="L113" s="2" t="s">
        <v>31</v>
      </c>
      <c r="M113" s="2" t="s">
        <v>168</v>
      </c>
      <c r="N113" s="2"/>
    </row>
    <row r="114" spans="1:14" x14ac:dyDescent="0.3">
      <c r="A114" s="2" t="s">
        <v>159</v>
      </c>
      <c r="B114" s="2" t="s">
        <v>190</v>
      </c>
      <c r="C114" s="2" t="s">
        <v>152</v>
      </c>
      <c r="D114" s="2" t="s">
        <v>38</v>
      </c>
      <c r="E114" s="2" t="s">
        <v>127</v>
      </c>
      <c r="F114" s="2" t="s">
        <v>188</v>
      </c>
      <c r="G114" s="2" t="s">
        <v>190</v>
      </c>
      <c r="H114" s="2" t="s">
        <v>538</v>
      </c>
      <c r="I114" s="3">
        <v>11</v>
      </c>
      <c r="J114" s="3">
        <v>11</v>
      </c>
      <c r="K114" s="4">
        <f t="shared" si="1"/>
        <v>22</v>
      </c>
      <c r="L114" s="2" t="s">
        <v>31</v>
      </c>
      <c r="M114" s="2" t="s">
        <v>917</v>
      </c>
      <c r="N114" s="2"/>
    </row>
    <row r="115" spans="1:14" x14ac:dyDescent="0.3">
      <c r="A115" s="2" t="s">
        <v>159</v>
      </c>
      <c r="B115" s="2" t="s">
        <v>891</v>
      </c>
      <c r="C115" s="2" t="s">
        <v>152</v>
      </c>
      <c r="D115" s="2" t="s">
        <v>38</v>
      </c>
      <c r="E115" s="2" t="s">
        <v>127</v>
      </c>
      <c r="F115" s="2" t="s">
        <v>188</v>
      </c>
      <c r="G115" s="2" t="s">
        <v>891</v>
      </c>
      <c r="H115" s="2" t="s">
        <v>892</v>
      </c>
      <c r="I115" s="3">
        <v>11</v>
      </c>
      <c r="J115" s="3">
        <v>11</v>
      </c>
      <c r="K115" s="4">
        <f t="shared" si="1"/>
        <v>22</v>
      </c>
      <c r="L115" s="2" t="s">
        <v>31</v>
      </c>
      <c r="M115" s="2" t="s">
        <v>168</v>
      </c>
      <c r="N115" s="2"/>
    </row>
    <row r="116" spans="1:14" x14ac:dyDescent="0.3">
      <c r="A116" s="2" t="s">
        <v>159</v>
      </c>
      <c r="B116" s="2" t="s">
        <v>527</v>
      </c>
      <c r="C116" s="2" t="s">
        <v>152</v>
      </c>
      <c r="D116" s="2" t="s">
        <v>38</v>
      </c>
      <c r="E116" s="2" t="s">
        <v>127</v>
      </c>
      <c r="F116" s="2" t="s">
        <v>188</v>
      </c>
      <c r="G116" s="2" t="s">
        <v>527</v>
      </c>
      <c r="H116" s="2" t="s">
        <v>528</v>
      </c>
      <c r="I116" s="3">
        <v>10</v>
      </c>
      <c r="J116" s="3">
        <v>10</v>
      </c>
      <c r="K116" s="4">
        <f t="shared" si="1"/>
        <v>20</v>
      </c>
      <c r="L116" s="2" t="s">
        <v>31</v>
      </c>
      <c r="M116" s="2" t="s">
        <v>513</v>
      </c>
      <c r="N116" s="2"/>
    </row>
    <row r="117" spans="1:14" x14ac:dyDescent="0.3">
      <c r="A117" s="2" t="s">
        <v>159</v>
      </c>
      <c r="B117" s="2" t="s">
        <v>567</v>
      </c>
      <c r="C117" s="2" t="s">
        <v>152</v>
      </c>
      <c r="D117" s="2" t="s">
        <v>38</v>
      </c>
      <c r="E117" s="2" t="s">
        <v>127</v>
      </c>
      <c r="F117" s="2" t="s">
        <v>188</v>
      </c>
      <c r="G117" s="2" t="s">
        <v>567</v>
      </c>
      <c r="H117" s="2" t="s">
        <v>568</v>
      </c>
      <c r="I117" s="3">
        <v>10</v>
      </c>
      <c r="J117" s="3">
        <v>10</v>
      </c>
      <c r="K117" s="4">
        <f t="shared" si="1"/>
        <v>20</v>
      </c>
      <c r="L117" s="2" t="s">
        <v>31</v>
      </c>
      <c r="M117" s="2" t="s">
        <v>917</v>
      </c>
      <c r="N117" s="2"/>
    </row>
    <row r="118" spans="1:14" x14ac:dyDescent="0.3">
      <c r="A118" s="2" t="s">
        <v>159</v>
      </c>
      <c r="B118" s="2" t="s">
        <v>200</v>
      </c>
      <c r="C118" s="2" t="s">
        <v>152</v>
      </c>
      <c r="D118" s="2" t="s">
        <v>38</v>
      </c>
      <c r="E118" s="2" t="s">
        <v>127</v>
      </c>
      <c r="F118" s="2" t="s">
        <v>188</v>
      </c>
      <c r="G118" s="2" t="s">
        <v>200</v>
      </c>
      <c r="H118" s="2" t="s">
        <v>531</v>
      </c>
      <c r="I118" s="3">
        <v>9</v>
      </c>
      <c r="J118" s="3">
        <v>9</v>
      </c>
      <c r="K118" s="4">
        <f t="shared" si="1"/>
        <v>18</v>
      </c>
      <c r="L118" s="2" t="s">
        <v>31</v>
      </c>
      <c r="M118" s="2" t="s">
        <v>917</v>
      </c>
      <c r="N118" s="2"/>
    </row>
    <row r="119" spans="1:14" x14ac:dyDescent="0.3">
      <c r="A119" s="2" t="s">
        <v>159</v>
      </c>
      <c r="B119" s="2" t="s">
        <v>194</v>
      </c>
      <c r="C119" s="2" t="s">
        <v>152</v>
      </c>
      <c r="D119" s="2" t="s">
        <v>38</v>
      </c>
      <c r="E119" s="2" t="s">
        <v>127</v>
      </c>
      <c r="F119" s="2" t="s">
        <v>188</v>
      </c>
      <c r="G119" s="2" t="s">
        <v>194</v>
      </c>
      <c r="H119" s="2" t="s">
        <v>546</v>
      </c>
      <c r="I119" s="3">
        <v>9</v>
      </c>
      <c r="J119" s="3">
        <v>9</v>
      </c>
      <c r="K119" s="4">
        <f t="shared" si="1"/>
        <v>18</v>
      </c>
      <c r="L119" s="2" t="s">
        <v>31</v>
      </c>
      <c r="M119" s="2" t="s">
        <v>917</v>
      </c>
      <c r="N119" s="2"/>
    </row>
    <row r="120" spans="1:14" x14ac:dyDescent="0.3">
      <c r="A120" s="2" t="s">
        <v>159</v>
      </c>
      <c r="B120" s="2" t="s">
        <v>897</v>
      </c>
      <c r="C120" s="2" t="s">
        <v>152</v>
      </c>
      <c r="D120" s="2" t="s">
        <v>38</v>
      </c>
      <c r="E120" s="2" t="s">
        <v>127</v>
      </c>
      <c r="F120" s="2" t="s">
        <v>188</v>
      </c>
      <c r="G120" s="2" t="s">
        <v>897</v>
      </c>
      <c r="H120" s="2" t="s">
        <v>898</v>
      </c>
      <c r="I120" s="3">
        <v>9</v>
      </c>
      <c r="J120" s="3">
        <v>9</v>
      </c>
      <c r="K120" s="4">
        <f t="shared" si="1"/>
        <v>18</v>
      </c>
      <c r="L120" s="2" t="s">
        <v>31</v>
      </c>
      <c r="M120" s="2" t="s">
        <v>168</v>
      </c>
      <c r="N120" s="2"/>
    </row>
    <row r="121" spans="1:14" x14ac:dyDescent="0.3">
      <c r="A121" s="2" t="s">
        <v>159</v>
      </c>
      <c r="B121" s="2" t="s">
        <v>569</v>
      </c>
      <c r="C121" s="2" t="s">
        <v>152</v>
      </c>
      <c r="D121" s="2" t="s">
        <v>38</v>
      </c>
      <c r="E121" s="2" t="s">
        <v>127</v>
      </c>
      <c r="F121" s="2" t="s">
        <v>188</v>
      </c>
      <c r="G121" s="2" t="s">
        <v>569</v>
      </c>
      <c r="H121" s="2" t="s">
        <v>570</v>
      </c>
      <c r="I121" s="3">
        <v>8</v>
      </c>
      <c r="J121" s="3">
        <v>8</v>
      </c>
      <c r="K121" s="4">
        <f t="shared" si="1"/>
        <v>16</v>
      </c>
      <c r="L121" s="2" t="s">
        <v>31</v>
      </c>
      <c r="M121" s="2" t="s">
        <v>917</v>
      </c>
      <c r="N121" s="2"/>
    </row>
    <row r="122" spans="1:14" x14ac:dyDescent="0.3">
      <c r="A122" s="2" t="s">
        <v>159</v>
      </c>
      <c r="B122" s="2" t="s">
        <v>221</v>
      </c>
      <c r="C122" s="2" t="s">
        <v>152</v>
      </c>
      <c r="D122" s="2" t="s">
        <v>38</v>
      </c>
      <c r="E122" s="2" t="s">
        <v>127</v>
      </c>
      <c r="F122" s="2" t="s">
        <v>188</v>
      </c>
      <c r="G122" s="2" t="s">
        <v>221</v>
      </c>
      <c r="H122" s="2" t="s">
        <v>539</v>
      </c>
      <c r="I122" s="3">
        <v>7</v>
      </c>
      <c r="J122" s="3">
        <v>7</v>
      </c>
      <c r="K122" s="4">
        <f t="shared" si="1"/>
        <v>14</v>
      </c>
      <c r="L122" s="2" t="s">
        <v>31</v>
      </c>
      <c r="M122" s="2" t="s">
        <v>917</v>
      </c>
      <c r="N122" s="2"/>
    </row>
    <row r="123" spans="1:14" x14ac:dyDescent="0.3">
      <c r="A123" s="2" t="s">
        <v>159</v>
      </c>
      <c r="B123" s="2" t="s">
        <v>540</v>
      </c>
      <c r="C123" s="2" t="s">
        <v>152</v>
      </c>
      <c r="D123" s="2" t="s">
        <v>38</v>
      </c>
      <c r="E123" s="2" t="s">
        <v>127</v>
      </c>
      <c r="F123" s="2" t="s">
        <v>188</v>
      </c>
      <c r="G123" s="2" t="s">
        <v>540</v>
      </c>
      <c r="H123" s="2" t="s">
        <v>541</v>
      </c>
      <c r="I123" s="3">
        <v>7</v>
      </c>
      <c r="J123" s="3">
        <v>7</v>
      </c>
      <c r="K123" s="4">
        <f t="shared" si="1"/>
        <v>14</v>
      </c>
      <c r="L123" s="2" t="s">
        <v>31</v>
      </c>
      <c r="M123" s="2" t="s">
        <v>917</v>
      </c>
      <c r="N123" s="2"/>
    </row>
    <row r="124" spans="1:14" x14ac:dyDescent="0.3">
      <c r="A124" s="2" t="s">
        <v>159</v>
      </c>
      <c r="B124" s="2" t="s">
        <v>565</v>
      </c>
      <c r="C124" s="2" t="s">
        <v>152</v>
      </c>
      <c r="D124" s="2" t="s">
        <v>38</v>
      </c>
      <c r="E124" s="2" t="s">
        <v>127</v>
      </c>
      <c r="F124" s="2" t="s">
        <v>188</v>
      </c>
      <c r="G124" s="2" t="s">
        <v>565</v>
      </c>
      <c r="H124" s="2" t="s">
        <v>566</v>
      </c>
      <c r="I124" s="3">
        <v>7</v>
      </c>
      <c r="J124" s="3">
        <v>7</v>
      </c>
      <c r="K124" s="4">
        <f t="shared" si="1"/>
        <v>14</v>
      </c>
      <c r="L124" s="2" t="s">
        <v>31</v>
      </c>
      <c r="M124" s="2" t="s">
        <v>917</v>
      </c>
      <c r="N124" s="2"/>
    </row>
    <row r="125" spans="1:14" x14ac:dyDescent="0.3">
      <c r="A125" s="2" t="s">
        <v>159</v>
      </c>
      <c r="B125" s="2" t="s">
        <v>552</v>
      </c>
      <c r="C125" s="2" t="s">
        <v>152</v>
      </c>
      <c r="D125" s="2" t="s">
        <v>38</v>
      </c>
      <c r="E125" s="2" t="s">
        <v>127</v>
      </c>
      <c r="F125" s="2" t="s">
        <v>188</v>
      </c>
      <c r="G125" s="2" t="s">
        <v>552</v>
      </c>
      <c r="H125" s="2" t="s">
        <v>553</v>
      </c>
      <c r="I125" s="3">
        <v>6</v>
      </c>
      <c r="J125" s="3">
        <v>6</v>
      </c>
      <c r="K125" s="4">
        <f t="shared" si="1"/>
        <v>12</v>
      </c>
      <c r="L125" s="2" t="s">
        <v>31</v>
      </c>
      <c r="M125" s="2" t="s">
        <v>513</v>
      </c>
      <c r="N125" s="2"/>
    </row>
    <row r="126" spans="1:14" x14ac:dyDescent="0.3">
      <c r="A126" s="2" t="s">
        <v>159</v>
      </c>
      <c r="B126" s="2" t="s">
        <v>215</v>
      </c>
      <c r="C126" s="2" t="s">
        <v>152</v>
      </c>
      <c r="D126" s="2" t="s">
        <v>38</v>
      </c>
      <c r="E126" s="2" t="s">
        <v>127</v>
      </c>
      <c r="F126" s="2" t="s">
        <v>188</v>
      </c>
      <c r="G126" s="2" t="s">
        <v>215</v>
      </c>
      <c r="H126" s="2" t="s">
        <v>549</v>
      </c>
      <c r="I126" s="3">
        <v>5</v>
      </c>
      <c r="J126" s="3">
        <v>5</v>
      </c>
      <c r="K126" s="4">
        <f t="shared" si="1"/>
        <v>10</v>
      </c>
      <c r="L126" s="2" t="s">
        <v>31</v>
      </c>
      <c r="M126" s="2" t="s">
        <v>513</v>
      </c>
      <c r="N126" s="2"/>
    </row>
    <row r="127" spans="1:14" x14ac:dyDescent="0.3">
      <c r="A127" s="2" t="s">
        <v>159</v>
      </c>
      <c r="B127" s="2" t="s">
        <v>895</v>
      </c>
      <c r="C127" s="2" t="s">
        <v>152</v>
      </c>
      <c r="D127" s="2" t="s">
        <v>38</v>
      </c>
      <c r="E127" s="2" t="s">
        <v>127</v>
      </c>
      <c r="F127" s="2" t="s">
        <v>188</v>
      </c>
      <c r="G127" s="2" t="s">
        <v>895</v>
      </c>
      <c r="H127" s="2" t="s">
        <v>896</v>
      </c>
      <c r="I127" s="3">
        <v>5</v>
      </c>
      <c r="J127" s="3">
        <v>5</v>
      </c>
      <c r="K127" s="4">
        <f t="shared" si="1"/>
        <v>10</v>
      </c>
      <c r="L127" s="2" t="s">
        <v>31</v>
      </c>
      <c r="M127" s="2" t="s">
        <v>168</v>
      </c>
      <c r="N127" s="2"/>
    </row>
    <row r="128" spans="1:14" x14ac:dyDescent="0.3">
      <c r="A128" s="2" t="s">
        <v>159</v>
      </c>
      <c r="B128" s="2" t="s">
        <v>542</v>
      </c>
      <c r="C128" s="2" t="s">
        <v>152</v>
      </c>
      <c r="D128" s="2" t="s">
        <v>38</v>
      </c>
      <c r="E128" s="2" t="s">
        <v>127</v>
      </c>
      <c r="F128" s="2" t="s">
        <v>188</v>
      </c>
      <c r="G128" s="2" t="s">
        <v>542</v>
      </c>
      <c r="H128" s="2" t="s">
        <v>543</v>
      </c>
      <c r="I128" s="3">
        <v>4</v>
      </c>
      <c r="J128" s="3">
        <v>4</v>
      </c>
      <c r="K128" s="4">
        <f t="shared" si="1"/>
        <v>8</v>
      </c>
      <c r="L128" s="2" t="s">
        <v>31</v>
      </c>
      <c r="M128" s="2" t="s">
        <v>513</v>
      </c>
      <c r="N128" s="2"/>
    </row>
    <row r="129" spans="1:14" x14ac:dyDescent="0.3">
      <c r="A129" s="2" t="s">
        <v>159</v>
      </c>
      <c r="B129" s="2" t="s">
        <v>547</v>
      </c>
      <c r="C129" s="2" t="s">
        <v>152</v>
      </c>
      <c r="D129" s="2" t="s">
        <v>38</v>
      </c>
      <c r="E129" s="2" t="s">
        <v>127</v>
      </c>
      <c r="F129" s="2" t="s">
        <v>188</v>
      </c>
      <c r="G129" s="2" t="s">
        <v>547</v>
      </c>
      <c r="H129" s="2" t="s">
        <v>548</v>
      </c>
      <c r="I129" s="3">
        <v>3</v>
      </c>
      <c r="J129" s="3">
        <v>3</v>
      </c>
      <c r="K129" s="4">
        <f t="shared" si="1"/>
        <v>6</v>
      </c>
      <c r="L129" s="2" t="s">
        <v>31</v>
      </c>
      <c r="M129" s="2" t="s">
        <v>513</v>
      </c>
      <c r="N129" s="2"/>
    </row>
    <row r="130" spans="1:14" x14ac:dyDescent="0.3">
      <c r="A130" s="2" t="s">
        <v>159</v>
      </c>
      <c r="B130" s="2" t="s">
        <v>899</v>
      </c>
      <c r="C130" s="2" t="s">
        <v>152</v>
      </c>
      <c r="D130" s="2" t="s">
        <v>38</v>
      </c>
      <c r="E130" s="2" t="s">
        <v>127</v>
      </c>
      <c r="F130" s="2" t="s">
        <v>188</v>
      </c>
      <c r="G130" s="2" t="s">
        <v>899</v>
      </c>
      <c r="H130" s="2" t="s">
        <v>900</v>
      </c>
      <c r="I130" s="3">
        <v>3</v>
      </c>
      <c r="J130" s="3">
        <v>3</v>
      </c>
      <c r="K130" s="4">
        <f t="shared" ref="K130:K193" si="2">IF(I130="","",I130+J130)</f>
        <v>6</v>
      </c>
      <c r="L130" s="2" t="s">
        <v>31</v>
      </c>
      <c r="M130" s="2" t="s">
        <v>168</v>
      </c>
      <c r="N130" s="2"/>
    </row>
    <row r="131" spans="1:14" x14ac:dyDescent="0.3">
      <c r="A131" s="2" t="s">
        <v>159</v>
      </c>
      <c r="B131" s="2" t="s">
        <v>657</v>
      </c>
      <c r="C131" s="2" t="s">
        <v>348</v>
      </c>
      <c r="D131" s="2" t="s">
        <v>133</v>
      </c>
      <c r="E131" s="2" t="s">
        <v>29</v>
      </c>
      <c r="F131" s="2"/>
      <c r="G131" s="2" t="s">
        <v>365</v>
      </c>
      <c r="H131" s="2" t="s">
        <v>865</v>
      </c>
      <c r="I131" s="3">
        <v>681</v>
      </c>
      <c r="J131" s="3">
        <v>681</v>
      </c>
      <c r="K131" s="4">
        <f t="shared" si="2"/>
        <v>1362</v>
      </c>
      <c r="L131" s="2" t="s">
        <v>31</v>
      </c>
      <c r="M131" s="2" t="s">
        <v>168</v>
      </c>
      <c r="N131" s="2"/>
    </row>
    <row r="132" spans="1:14" x14ac:dyDescent="0.3">
      <c r="A132" s="2" t="s">
        <v>159</v>
      </c>
      <c r="B132" s="2" t="s">
        <v>160</v>
      </c>
      <c r="C132" s="2" t="s">
        <v>161</v>
      </c>
      <c r="D132" s="2" t="s">
        <v>133</v>
      </c>
      <c r="E132" s="2" t="s">
        <v>29</v>
      </c>
      <c r="F132" s="2"/>
      <c r="G132" s="2" t="s">
        <v>160</v>
      </c>
      <c r="H132" s="2" t="s">
        <v>162</v>
      </c>
      <c r="I132" s="3">
        <v>603</v>
      </c>
      <c r="J132" s="3">
        <v>603</v>
      </c>
      <c r="K132" s="4">
        <f t="shared" si="2"/>
        <v>1206</v>
      </c>
      <c r="L132" s="2" t="s">
        <v>31</v>
      </c>
      <c r="M132" s="2" t="s">
        <v>918</v>
      </c>
      <c r="N132" s="2"/>
    </row>
    <row r="133" spans="1:14" x14ac:dyDescent="0.3">
      <c r="A133" s="2" t="s">
        <v>159</v>
      </c>
      <c r="B133" s="2" t="s">
        <v>582</v>
      </c>
      <c r="C133" s="2" t="s">
        <v>140</v>
      </c>
      <c r="D133" s="2" t="s">
        <v>133</v>
      </c>
      <c r="E133" s="2" t="s">
        <v>29</v>
      </c>
      <c r="F133" s="2"/>
      <c r="G133" s="2" t="s">
        <v>344</v>
      </c>
      <c r="H133" s="2" t="s">
        <v>583</v>
      </c>
      <c r="I133" s="3">
        <v>463</v>
      </c>
      <c r="J133" s="3">
        <v>463</v>
      </c>
      <c r="K133" s="4">
        <f t="shared" si="2"/>
        <v>926</v>
      </c>
      <c r="L133" s="2" t="s">
        <v>31</v>
      </c>
      <c r="M133" s="2" t="s">
        <v>513</v>
      </c>
      <c r="N133" s="2"/>
    </row>
    <row r="134" spans="1:14" x14ac:dyDescent="0.3">
      <c r="A134" s="2" t="s">
        <v>159</v>
      </c>
      <c r="B134" s="2" t="s">
        <v>174</v>
      </c>
      <c r="C134" s="2" t="s">
        <v>140</v>
      </c>
      <c r="D134" s="2" t="s">
        <v>133</v>
      </c>
      <c r="E134" s="2" t="s">
        <v>29</v>
      </c>
      <c r="F134" s="2"/>
      <c r="G134" s="2" t="s">
        <v>174</v>
      </c>
      <c r="H134" s="2" t="s">
        <v>868</v>
      </c>
      <c r="I134" s="3">
        <v>423</v>
      </c>
      <c r="J134" s="3">
        <v>423</v>
      </c>
      <c r="K134" s="4">
        <f t="shared" si="2"/>
        <v>846</v>
      </c>
      <c r="L134" s="2" t="s">
        <v>31</v>
      </c>
      <c r="M134" s="2" t="s">
        <v>168</v>
      </c>
      <c r="N134" s="2"/>
    </row>
    <row r="135" spans="1:14" x14ac:dyDescent="0.3">
      <c r="A135" s="2" t="s">
        <v>159</v>
      </c>
      <c r="B135" s="2" t="s">
        <v>246</v>
      </c>
      <c r="C135" s="2" t="s">
        <v>132</v>
      </c>
      <c r="D135" s="2" t="s">
        <v>133</v>
      </c>
      <c r="E135" s="2" t="s">
        <v>29</v>
      </c>
      <c r="F135" s="2"/>
      <c r="G135" s="2" t="s">
        <v>246</v>
      </c>
      <c r="H135" s="2" t="s">
        <v>294</v>
      </c>
      <c r="I135" s="3">
        <v>303</v>
      </c>
      <c r="J135" s="3">
        <v>303</v>
      </c>
      <c r="K135" s="4">
        <f t="shared" si="2"/>
        <v>606</v>
      </c>
      <c r="L135" s="2" t="s">
        <v>31</v>
      </c>
      <c r="M135" s="2" t="s">
        <v>913</v>
      </c>
      <c r="N135" s="2"/>
    </row>
    <row r="136" spans="1:14" x14ac:dyDescent="0.3">
      <c r="A136" s="2" t="s">
        <v>159</v>
      </c>
      <c r="B136" s="2" t="s">
        <v>619</v>
      </c>
      <c r="C136" s="2" t="s">
        <v>143</v>
      </c>
      <c r="D136" s="2" t="s">
        <v>137</v>
      </c>
      <c r="E136" s="2" t="s">
        <v>29</v>
      </c>
      <c r="F136" s="2"/>
      <c r="G136" s="2" t="s">
        <v>371</v>
      </c>
      <c r="H136" s="2" t="s">
        <v>866</v>
      </c>
      <c r="I136" s="3">
        <v>512</v>
      </c>
      <c r="J136" s="3">
        <v>512</v>
      </c>
      <c r="K136" s="4">
        <f t="shared" si="2"/>
        <v>1024</v>
      </c>
      <c r="L136" s="2" t="s">
        <v>31</v>
      </c>
      <c r="M136" s="2" t="s">
        <v>168</v>
      </c>
      <c r="N136" s="2"/>
    </row>
    <row r="137" spans="1:14" x14ac:dyDescent="0.3">
      <c r="A137" s="2" t="s">
        <v>159</v>
      </c>
      <c r="B137" s="2" t="s">
        <v>142</v>
      </c>
      <c r="C137" s="2" t="s">
        <v>143</v>
      </c>
      <c r="D137" s="2" t="s">
        <v>137</v>
      </c>
      <c r="E137" s="2" t="s">
        <v>29</v>
      </c>
      <c r="F137" s="2"/>
      <c r="G137" s="2" t="s">
        <v>142</v>
      </c>
      <c r="H137" s="2" t="s">
        <v>867</v>
      </c>
      <c r="I137" s="3">
        <v>472</v>
      </c>
      <c r="J137" s="3">
        <v>472</v>
      </c>
      <c r="K137" s="4">
        <f t="shared" si="2"/>
        <v>944</v>
      </c>
      <c r="L137" s="2" t="s">
        <v>31</v>
      </c>
      <c r="M137" s="2" t="s">
        <v>168</v>
      </c>
      <c r="N137" s="2"/>
    </row>
    <row r="138" spans="1:14" x14ac:dyDescent="0.3">
      <c r="A138" s="2" t="s">
        <v>159</v>
      </c>
      <c r="B138" s="2" t="s">
        <v>43</v>
      </c>
      <c r="C138" s="2" t="s">
        <v>44</v>
      </c>
      <c r="D138" s="2" t="s">
        <v>45</v>
      </c>
      <c r="E138" s="2" t="s">
        <v>29</v>
      </c>
      <c r="F138" s="2"/>
      <c r="G138" s="2" t="s">
        <v>43</v>
      </c>
      <c r="H138" s="2" t="s">
        <v>163</v>
      </c>
      <c r="I138" s="3">
        <v>740</v>
      </c>
      <c r="J138" s="3">
        <v>740</v>
      </c>
      <c r="K138" s="4">
        <f t="shared" si="2"/>
        <v>1480</v>
      </c>
      <c r="L138" s="2" t="s">
        <v>40</v>
      </c>
      <c r="M138" s="2" t="s">
        <v>915</v>
      </c>
      <c r="N138" s="2"/>
    </row>
    <row r="139" spans="1:14" x14ac:dyDescent="0.3">
      <c r="A139" s="2" t="s">
        <v>159</v>
      </c>
      <c r="B139" s="2" t="s">
        <v>290</v>
      </c>
      <c r="C139" s="2" t="s">
        <v>230</v>
      </c>
      <c r="D139" s="2" t="s">
        <v>45</v>
      </c>
      <c r="E139" s="2" t="s">
        <v>29</v>
      </c>
      <c r="F139" s="2"/>
      <c r="G139" s="2" t="s">
        <v>290</v>
      </c>
      <c r="H139" s="2" t="s">
        <v>291</v>
      </c>
      <c r="I139" s="3">
        <v>361</v>
      </c>
      <c r="J139" s="3">
        <v>361</v>
      </c>
      <c r="K139" s="4">
        <f t="shared" si="2"/>
        <v>722</v>
      </c>
      <c r="L139" s="2" t="s">
        <v>31</v>
      </c>
      <c r="M139" s="2" t="s">
        <v>158</v>
      </c>
      <c r="N139" s="2"/>
    </row>
    <row r="140" spans="1:14" x14ac:dyDescent="0.3">
      <c r="A140" s="2" t="s">
        <v>159</v>
      </c>
      <c r="B140" s="2" t="s">
        <v>288</v>
      </c>
      <c r="C140" s="2" t="s">
        <v>230</v>
      </c>
      <c r="D140" s="2" t="s">
        <v>45</v>
      </c>
      <c r="E140" s="2" t="s">
        <v>29</v>
      </c>
      <c r="F140" s="2"/>
      <c r="G140" s="2" t="s">
        <v>229</v>
      </c>
      <c r="H140" s="2" t="s">
        <v>289</v>
      </c>
      <c r="I140" s="3">
        <v>351</v>
      </c>
      <c r="J140" s="3">
        <v>351</v>
      </c>
      <c r="K140" s="4">
        <f t="shared" si="2"/>
        <v>702</v>
      </c>
      <c r="L140" s="2" t="s">
        <v>31</v>
      </c>
      <c r="M140" s="2" t="s">
        <v>913</v>
      </c>
      <c r="N140" s="2"/>
    </row>
    <row r="141" spans="1:14" x14ac:dyDescent="0.3">
      <c r="A141" s="2" t="s">
        <v>159</v>
      </c>
      <c r="B141" s="2" t="s">
        <v>27</v>
      </c>
      <c r="C141" s="2" t="s">
        <v>27</v>
      </c>
      <c r="D141" s="2" t="s">
        <v>28</v>
      </c>
      <c r="E141" s="2" t="s">
        <v>29</v>
      </c>
      <c r="F141" s="2"/>
      <c r="G141" s="2" t="s">
        <v>27</v>
      </c>
      <c r="H141" s="2" t="s">
        <v>164</v>
      </c>
      <c r="I141" s="3">
        <v>984</v>
      </c>
      <c r="J141" s="3">
        <v>984</v>
      </c>
      <c r="K141" s="4">
        <f t="shared" si="2"/>
        <v>1968</v>
      </c>
      <c r="L141" s="2" t="s">
        <v>40</v>
      </c>
      <c r="M141" s="2" t="s">
        <v>918</v>
      </c>
      <c r="N141" s="2"/>
    </row>
    <row r="142" spans="1:14" x14ac:dyDescent="0.3">
      <c r="A142" s="2" t="s">
        <v>159</v>
      </c>
      <c r="B142" s="2" t="s">
        <v>65</v>
      </c>
      <c r="C142" s="2" t="s">
        <v>65</v>
      </c>
      <c r="D142" s="2" t="s">
        <v>28</v>
      </c>
      <c r="E142" s="2" t="s">
        <v>29</v>
      </c>
      <c r="F142" s="2"/>
      <c r="G142" s="2" t="s">
        <v>65</v>
      </c>
      <c r="H142" s="2" t="s">
        <v>169</v>
      </c>
      <c r="I142" s="3">
        <v>762</v>
      </c>
      <c r="J142" s="3">
        <v>762</v>
      </c>
      <c r="K142" s="4">
        <f t="shared" si="2"/>
        <v>1524</v>
      </c>
      <c r="L142" s="2" t="s">
        <v>31</v>
      </c>
      <c r="M142" s="2" t="s">
        <v>916</v>
      </c>
      <c r="N142" s="2"/>
    </row>
    <row r="143" spans="1:14" x14ac:dyDescent="0.3">
      <c r="A143" s="5" t="s">
        <v>159</v>
      </c>
      <c r="B143" s="5" t="s">
        <v>268</v>
      </c>
      <c r="C143" s="5"/>
      <c r="D143" s="5"/>
      <c r="E143" s="5"/>
      <c r="F143" s="5"/>
      <c r="G143" s="5" t="s">
        <v>269</v>
      </c>
      <c r="H143" s="5"/>
      <c r="I143" s="6"/>
      <c r="J143" s="6"/>
      <c r="K143" s="7" t="str">
        <f t="shared" si="2"/>
        <v/>
      </c>
      <c r="L143" s="5"/>
      <c r="M143" s="5" t="s">
        <v>916</v>
      </c>
      <c r="N143" s="5" t="s">
        <v>270</v>
      </c>
    </row>
    <row r="144" spans="1:14" x14ac:dyDescent="0.3">
      <c r="A144" s="5" t="s">
        <v>159</v>
      </c>
      <c r="B144" s="5" t="s">
        <v>883</v>
      </c>
      <c r="C144" s="5"/>
      <c r="D144" s="5"/>
      <c r="E144" s="5"/>
      <c r="F144" s="5"/>
      <c r="G144" s="5" t="s">
        <v>269</v>
      </c>
      <c r="H144" s="5"/>
      <c r="I144" s="6"/>
      <c r="J144" s="6"/>
      <c r="K144" s="7" t="str">
        <f t="shared" si="2"/>
        <v/>
      </c>
      <c r="L144" s="5"/>
      <c r="M144" s="5" t="s">
        <v>168</v>
      </c>
      <c r="N144" s="5" t="s">
        <v>270</v>
      </c>
    </row>
    <row r="145" spans="1:14" x14ac:dyDescent="0.3">
      <c r="A145" s="5" t="s">
        <v>159</v>
      </c>
      <c r="B145" s="5" t="s">
        <v>893</v>
      </c>
      <c r="C145" s="5"/>
      <c r="D145" s="5"/>
      <c r="E145" s="5"/>
      <c r="F145" s="5"/>
      <c r="G145" s="5" t="s">
        <v>269</v>
      </c>
      <c r="H145" s="5"/>
      <c r="I145" s="6"/>
      <c r="J145" s="6"/>
      <c r="K145" s="7" t="str">
        <f t="shared" si="2"/>
        <v/>
      </c>
      <c r="L145" s="5"/>
      <c r="M145" s="5" t="s">
        <v>168</v>
      </c>
      <c r="N145" s="5" t="s">
        <v>270</v>
      </c>
    </row>
    <row r="146" spans="1:14" x14ac:dyDescent="0.3">
      <c r="A146" s="2" t="s">
        <v>343</v>
      </c>
      <c r="B146" s="2" t="s">
        <v>344</v>
      </c>
      <c r="C146" s="2" t="s">
        <v>140</v>
      </c>
      <c r="D146" s="2" t="s">
        <v>133</v>
      </c>
      <c r="E146" s="2" t="s">
        <v>29</v>
      </c>
      <c r="F146" s="2"/>
      <c r="G146" s="2" t="s">
        <v>344</v>
      </c>
      <c r="H146" s="2" t="s">
        <v>345</v>
      </c>
      <c r="I146" s="3">
        <v>466</v>
      </c>
      <c r="J146" s="3">
        <v>466</v>
      </c>
      <c r="K146" s="4">
        <f t="shared" si="2"/>
        <v>932</v>
      </c>
      <c r="L146" s="2" t="s">
        <v>31</v>
      </c>
      <c r="M146" s="2" t="s">
        <v>342</v>
      </c>
      <c r="N146" s="2" t="s">
        <v>346</v>
      </c>
    </row>
    <row r="147" spans="1:14" x14ac:dyDescent="0.3">
      <c r="A147" s="2" t="s">
        <v>240</v>
      </c>
      <c r="B147" s="2" t="s">
        <v>448</v>
      </c>
      <c r="C147" s="2" t="s">
        <v>281</v>
      </c>
      <c r="D147" s="2" t="s">
        <v>38</v>
      </c>
      <c r="E147" s="2" t="s">
        <v>29</v>
      </c>
      <c r="F147" s="2"/>
      <c r="G147" s="2" t="s">
        <v>448</v>
      </c>
      <c r="H147" s="2" t="s">
        <v>449</v>
      </c>
      <c r="I147" s="3">
        <v>366</v>
      </c>
      <c r="J147" s="3">
        <v>366</v>
      </c>
      <c r="K147" s="4">
        <f t="shared" si="2"/>
        <v>732</v>
      </c>
      <c r="L147" s="2" t="s">
        <v>31</v>
      </c>
      <c r="M147" s="2" t="s">
        <v>239</v>
      </c>
      <c r="N147" s="2"/>
    </row>
    <row r="148" spans="1:14" x14ac:dyDescent="0.3">
      <c r="A148" s="2" t="s">
        <v>240</v>
      </c>
      <c r="B148" s="2" t="s">
        <v>278</v>
      </c>
      <c r="C148" s="2" t="s">
        <v>277</v>
      </c>
      <c r="D148" s="2" t="s">
        <v>38</v>
      </c>
      <c r="E148" s="2" t="s">
        <v>29</v>
      </c>
      <c r="F148" s="2"/>
      <c r="G148" s="2" t="s">
        <v>278</v>
      </c>
      <c r="H148" s="2" t="s">
        <v>425</v>
      </c>
      <c r="I148" s="3">
        <v>320</v>
      </c>
      <c r="J148" s="3">
        <v>320</v>
      </c>
      <c r="K148" s="4">
        <f t="shared" si="2"/>
        <v>640</v>
      </c>
      <c r="L148" s="2" t="s">
        <v>31</v>
      </c>
      <c r="M148" s="2" t="s">
        <v>239</v>
      </c>
      <c r="N148" s="2"/>
    </row>
    <row r="149" spans="1:14" x14ac:dyDescent="0.3">
      <c r="A149" s="2" t="s">
        <v>240</v>
      </c>
      <c r="B149" s="2" t="s">
        <v>282</v>
      </c>
      <c r="C149" s="2" t="s">
        <v>281</v>
      </c>
      <c r="D149" s="2" t="s">
        <v>38</v>
      </c>
      <c r="E149" s="2" t="s">
        <v>29</v>
      </c>
      <c r="F149" s="2"/>
      <c r="G149" s="2" t="s">
        <v>282</v>
      </c>
      <c r="H149" s="2" t="s">
        <v>419</v>
      </c>
      <c r="I149" s="3">
        <v>293</v>
      </c>
      <c r="J149" s="3">
        <v>293</v>
      </c>
      <c r="K149" s="4">
        <f t="shared" si="2"/>
        <v>586</v>
      </c>
      <c r="L149" s="2" t="s">
        <v>31</v>
      </c>
      <c r="M149" s="2" t="s">
        <v>239</v>
      </c>
      <c r="N149" s="2"/>
    </row>
    <row r="150" spans="1:14" x14ac:dyDescent="0.3">
      <c r="A150" s="2" t="s">
        <v>240</v>
      </c>
      <c r="B150" s="2" t="s">
        <v>286</v>
      </c>
      <c r="C150" s="2" t="s">
        <v>285</v>
      </c>
      <c r="D150" s="2" t="s">
        <v>38</v>
      </c>
      <c r="E150" s="2" t="s">
        <v>29</v>
      </c>
      <c r="F150" s="2"/>
      <c r="G150" s="2" t="s">
        <v>286</v>
      </c>
      <c r="H150" s="2" t="s">
        <v>424</v>
      </c>
      <c r="I150" s="3">
        <v>259</v>
      </c>
      <c r="J150" s="3">
        <v>259</v>
      </c>
      <c r="K150" s="4">
        <f t="shared" si="2"/>
        <v>518</v>
      </c>
      <c r="L150" s="2" t="s">
        <v>31</v>
      </c>
      <c r="M150" s="2" t="s">
        <v>239</v>
      </c>
      <c r="N150" s="2"/>
    </row>
    <row r="151" spans="1:14" x14ac:dyDescent="0.3">
      <c r="A151" s="2" t="s">
        <v>240</v>
      </c>
      <c r="B151" s="2" t="s">
        <v>420</v>
      </c>
      <c r="C151" s="2" t="s">
        <v>26</v>
      </c>
      <c r="D151" s="2" t="s">
        <v>38</v>
      </c>
      <c r="E151" s="2" t="s">
        <v>29</v>
      </c>
      <c r="F151" s="2"/>
      <c r="G151" s="2" t="s">
        <v>420</v>
      </c>
      <c r="H151" s="2" t="s">
        <v>421</v>
      </c>
      <c r="I151" s="3">
        <v>221</v>
      </c>
      <c r="J151" s="3">
        <v>221</v>
      </c>
      <c r="K151" s="4">
        <f t="shared" si="2"/>
        <v>442</v>
      </c>
      <c r="L151" s="2" t="s">
        <v>31</v>
      </c>
      <c r="M151" s="2" t="s">
        <v>239</v>
      </c>
      <c r="N151" s="2"/>
    </row>
    <row r="152" spans="1:14" x14ac:dyDescent="0.3">
      <c r="A152" s="2" t="s">
        <v>240</v>
      </c>
      <c r="B152" s="2" t="s">
        <v>25</v>
      </c>
      <c r="C152" s="2" t="s">
        <v>26</v>
      </c>
      <c r="D152" s="2" t="s">
        <v>38</v>
      </c>
      <c r="E152" s="2" t="s">
        <v>29</v>
      </c>
      <c r="F152" s="2"/>
      <c r="G152" s="2" t="s">
        <v>25</v>
      </c>
      <c r="H152" s="2" t="s">
        <v>245</v>
      </c>
      <c r="I152" s="3">
        <v>157</v>
      </c>
      <c r="J152" s="3">
        <v>157</v>
      </c>
      <c r="K152" s="4">
        <f t="shared" si="2"/>
        <v>314</v>
      </c>
      <c r="L152" s="2" t="s">
        <v>31</v>
      </c>
      <c r="M152" s="2" t="s">
        <v>239</v>
      </c>
      <c r="N152" s="2"/>
    </row>
    <row r="153" spans="1:14" x14ac:dyDescent="0.3">
      <c r="A153" s="2" t="s">
        <v>240</v>
      </c>
      <c r="B153" s="2" t="s">
        <v>432</v>
      </c>
      <c r="C153" s="2" t="s">
        <v>37</v>
      </c>
      <c r="D153" s="2" t="s">
        <v>38</v>
      </c>
      <c r="E153" s="2" t="s">
        <v>29</v>
      </c>
      <c r="F153" s="2"/>
      <c r="G153" s="2" t="s">
        <v>432</v>
      </c>
      <c r="H153" s="2" t="s">
        <v>433</v>
      </c>
      <c r="I153" s="3">
        <v>157</v>
      </c>
      <c r="J153" s="3">
        <v>157</v>
      </c>
      <c r="K153" s="4">
        <f t="shared" si="2"/>
        <v>314</v>
      </c>
      <c r="L153" s="2" t="s">
        <v>31</v>
      </c>
      <c r="M153" s="2" t="s">
        <v>239</v>
      </c>
      <c r="N153" s="2"/>
    </row>
    <row r="154" spans="1:14" x14ac:dyDescent="0.3">
      <c r="A154" s="2" t="s">
        <v>240</v>
      </c>
      <c r="B154" s="2" t="s">
        <v>422</v>
      </c>
      <c r="C154" s="2" t="s">
        <v>37</v>
      </c>
      <c r="D154" s="2" t="s">
        <v>38</v>
      </c>
      <c r="E154" s="2" t="s">
        <v>29</v>
      </c>
      <c r="F154" s="2"/>
      <c r="G154" s="2" t="s">
        <v>422</v>
      </c>
      <c r="H154" s="2" t="s">
        <v>423</v>
      </c>
      <c r="I154" s="3">
        <v>135</v>
      </c>
      <c r="J154" s="3">
        <v>135</v>
      </c>
      <c r="K154" s="4">
        <f t="shared" si="2"/>
        <v>270</v>
      </c>
      <c r="L154" s="2" t="s">
        <v>31</v>
      </c>
      <c r="M154" s="2" t="s">
        <v>239</v>
      </c>
      <c r="N154" s="2"/>
    </row>
    <row r="155" spans="1:14" x14ac:dyDescent="0.3">
      <c r="A155" s="2" t="s">
        <v>240</v>
      </c>
      <c r="B155" s="2" t="s">
        <v>428</v>
      </c>
      <c r="C155" s="2" t="s">
        <v>37</v>
      </c>
      <c r="D155" s="2" t="s">
        <v>38</v>
      </c>
      <c r="E155" s="2" t="s">
        <v>29</v>
      </c>
      <c r="F155" s="2"/>
      <c r="G155" s="2" t="s">
        <v>428</v>
      </c>
      <c r="H155" s="2" t="s">
        <v>429</v>
      </c>
      <c r="I155" s="3">
        <v>90</v>
      </c>
      <c r="J155" s="3">
        <v>90</v>
      </c>
      <c r="K155" s="4">
        <f t="shared" si="2"/>
        <v>180</v>
      </c>
      <c r="L155" s="2" t="s">
        <v>31</v>
      </c>
      <c r="M155" s="2" t="s">
        <v>239</v>
      </c>
      <c r="N155" s="2"/>
    </row>
    <row r="156" spans="1:14" x14ac:dyDescent="0.3">
      <c r="A156" s="2" t="s">
        <v>240</v>
      </c>
      <c r="B156" s="2" t="s">
        <v>373</v>
      </c>
      <c r="C156" s="2" t="s">
        <v>236</v>
      </c>
      <c r="D156" s="2" t="s">
        <v>133</v>
      </c>
      <c r="E156" s="2" t="s">
        <v>29</v>
      </c>
      <c r="F156" s="2"/>
      <c r="G156" s="2" t="s">
        <v>373</v>
      </c>
      <c r="H156" s="2" t="s">
        <v>374</v>
      </c>
      <c r="I156" s="3">
        <v>758</v>
      </c>
      <c r="J156" s="3">
        <v>758</v>
      </c>
      <c r="K156" s="4">
        <f t="shared" si="2"/>
        <v>1516</v>
      </c>
      <c r="L156" s="2" t="s">
        <v>31</v>
      </c>
      <c r="M156" s="2" t="s">
        <v>239</v>
      </c>
      <c r="N156" s="2"/>
    </row>
    <row r="157" spans="1:14" x14ac:dyDescent="0.3">
      <c r="A157" s="2" t="s">
        <v>240</v>
      </c>
      <c r="B157" s="2" t="s">
        <v>235</v>
      </c>
      <c r="C157" s="2" t="s">
        <v>236</v>
      </c>
      <c r="D157" s="2" t="s">
        <v>133</v>
      </c>
      <c r="E157" s="2" t="s">
        <v>29</v>
      </c>
      <c r="F157" s="2"/>
      <c r="G157" s="2" t="s">
        <v>235</v>
      </c>
      <c r="H157" s="2" t="s">
        <v>356</v>
      </c>
      <c r="I157" s="3">
        <v>749</v>
      </c>
      <c r="J157" s="3">
        <v>749</v>
      </c>
      <c r="K157" s="4">
        <f t="shared" si="2"/>
        <v>1498</v>
      </c>
      <c r="L157" s="2" t="s">
        <v>31</v>
      </c>
      <c r="M157" s="2" t="s">
        <v>239</v>
      </c>
      <c r="N157" s="2"/>
    </row>
    <row r="158" spans="1:14" x14ac:dyDescent="0.3">
      <c r="A158" s="2" t="s">
        <v>240</v>
      </c>
      <c r="B158" s="2" t="s">
        <v>350</v>
      </c>
      <c r="C158" s="2" t="s">
        <v>348</v>
      </c>
      <c r="D158" s="2" t="s">
        <v>133</v>
      </c>
      <c r="E158" s="2" t="s">
        <v>29</v>
      </c>
      <c r="F158" s="2"/>
      <c r="G158" s="2" t="s">
        <v>350</v>
      </c>
      <c r="H158" s="2" t="s">
        <v>351</v>
      </c>
      <c r="I158" s="3">
        <v>745</v>
      </c>
      <c r="J158" s="3">
        <v>745</v>
      </c>
      <c r="K158" s="4">
        <f t="shared" si="2"/>
        <v>1490</v>
      </c>
      <c r="L158" s="2" t="s">
        <v>31</v>
      </c>
      <c r="M158" s="2" t="s">
        <v>239</v>
      </c>
      <c r="N158" s="2"/>
    </row>
    <row r="159" spans="1:14" x14ac:dyDescent="0.3">
      <c r="A159" s="2" t="s">
        <v>240</v>
      </c>
      <c r="B159" s="2" t="s">
        <v>379</v>
      </c>
      <c r="C159" s="2" t="s">
        <v>348</v>
      </c>
      <c r="D159" s="2" t="s">
        <v>133</v>
      </c>
      <c r="E159" s="2" t="s">
        <v>29</v>
      </c>
      <c r="F159" s="2"/>
      <c r="G159" s="2" t="s">
        <v>379</v>
      </c>
      <c r="H159" s="2" t="s">
        <v>380</v>
      </c>
      <c r="I159" s="3">
        <v>723</v>
      </c>
      <c r="J159" s="3">
        <v>723</v>
      </c>
      <c r="K159" s="4">
        <f t="shared" si="2"/>
        <v>1446</v>
      </c>
      <c r="L159" s="2" t="s">
        <v>31</v>
      </c>
      <c r="M159" s="2" t="s">
        <v>239</v>
      </c>
      <c r="N159" s="2"/>
    </row>
    <row r="160" spans="1:14" x14ac:dyDescent="0.3">
      <c r="A160" s="2" t="s">
        <v>240</v>
      </c>
      <c r="B160" s="2" t="s">
        <v>375</v>
      </c>
      <c r="C160" s="2" t="s">
        <v>236</v>
      </c>
      <c r="D160" s="2" t="s">
        <v>133</v>
      </c>
      <c r="E160" s="2" t="s">
        <v>29</v>
      </c>
      <c r="F160" s="2"/>
      <c r="G160" s="2" t="s">
        <v>375</v>
      </c>
      <c r="H160" s="2" t="s">
        <v>376</v>
      </c>
      <c r="I160" s="3">
        <v>703</v>
      </c>
      <c r="J160" s="3">
        <v>703</v>
      </c>
      <c r="K160" s="4">
        <f t="shared" si="2"/>
        <v>1406</v>
      </c>
      <c r="L160" s="2" t="s">
        <v>31</v>
      </c>
      <c r="M160" s="2" t="s">
        <v>239</v>
      </c>
      <c r="N160" s="2"/>
    </row>
    <row r="161" spans="1:14" x14ac:dyDescent="0.3">
      <c r="A161" s="2" t="s">
        <v>240</v>
      </c>
      <c r="B161" s="2" t="s">
        <v>365</v>
      </c>
      <c r="C161" s="2" t="s">
        <v>348</v>
      </c>
      <c r="D161" s="2" t="s">
        <v>133</v>
      </c>
      <c r="E161" s="2" t="s">
        <v>29</v>
      </c>
      <c r="F161" s="2"/>
      <c r="G161" s="2" t="s">
        <v>365</v>
      </c>
      <c r="H161" s="2" t="s">
        <v>366</v>
      </c>
      <c r="I161" s="3">
        <v>690</v>
      </c>
      <c r="J161" s="3">
        <v>690</v>
      </c>
      <c r="K161" s="4">
        <f t="shared" si="2"/>
        <v>1380</v>
      </c>
      <c r="L161" s="2" t="s">
        <v>31</v>
      </c>
      <c r="M161" s="2" t="s">
        <v>239</v>
      </c>
      <c r="N161" s="2"/>
    </row>
    <row r="162" spans="1:14" x14ac:dyDescent="0.3">
      <c r="A162" s="2" t="s">
        <v>240</v>
      </c>
      <c r="B162" s="2" t="s">
        <v>369</v>
      </c>
      <c r="C162" s="2" t="s">
        <v>348</v>
      </c>
      <c r="D162" s="2" t="s">
        <v>133</v>
      </c>
      <c r="E162" s="2" t="s">
        <v>29</v>
      </c>
      <c r="F162" s="2"/>
      <c r="G162" s="2" t="s">
        <v>369</v>
      </c>
      <c r="H162" s="2" t="s">
        <v>370</v>
      </c>
      <c r="I162" s="3">
        <v>679</v>
      </c>
      <c r="J162" s="3">
        <v>679</v>
      </c>
      <c r="K162" s="4">
        <f t="shared" si="2"/>
        <v>1358</v>
      </c>
      <c r="L162" s="2" t="s">
        <v>31</v>
      </c>
      <c r="M162" s="2" t="s">
        <v>239</v>
      </c>
      <c r="N162" s="2"/>
    </row>
    <row r="163" spans="1:14" x14ac:dyDescent="0.3">
      <c r="A163" s="2" t="s">
        <v>240</v>
      </c>
      <c r="B163" s="2" t="s">
        <v>377</v>
      </c>
      <c r="C163" s="2" t="s">
        <v>161</v>
      </c>
      <c r="D163" s="2" t="s">
        <v>133</v>
      </c>
      <c r="E163" s="2" t="s">
        <v>29</v>
      </c>
      <c r="F163" s="2"/>
      <c r="G163" s="2" t="s">
        <v>377</v>
      </c>
      <c r="H163" s="2" t="s">
        <v>378</v>
      </c>
      <c r="I163" s="3">
        <v>659</v>
      </c>
      <c r="J163" s="3">
        <v>659</v>
      </c>
      <c r="K163" s="4">
        <f t="shared" si="2"/>
        <v>1318</v>
      </c>
      <c r="L163" s="2" t="s">
        <v>31</v>
      </c>
      <c r="M163" s="2" t="s">
        <v>239</v>
      </c>
      <c r="N163" s="2"/>
    </row>
    <row r="164" spans="1:14" x14ac:dyDescent="0.3">
      <c r="A164" s="2" t="s">
        <v>240</v>
      </c>
      <c r="B164" s="2" t="s">
        <v>347</v>
      </c>
      <c r="C164" s="2" t="s">
        <v>348</v>
      </c>
      <c r="D164" s="2" t="s">
        <v>133</v>
      </c>
      <c r="E164" s="2" t="s">
        <v>29</v>
      </c>
      <c r="F164" s="2"/>
      <c r="G164" s="2" t="s">
        <v>347</v>
      </c>
      <c r="H164" s="2" t="s">
        <v>349</v>
      </c>
      <c r="I164" s="3">
        <v>656</v>
      </c>
      <c r="J164" s="3">
        <v>656</v>
      </c>
      <c r="K164" s="4">
        <f t="shared" si="2"/>
        <v>1312</v>
      </c>
      <c r="L164" s="2" t="s">
        <v>31</v>
      </c>
      <c r="M164" s="2" t="s">
        <v>239</v>
      </c>
      <c r="N164" s="2"/>
    </row>
    <row r="165" spans="1:14" x14ac:dyDescent="0.3">
      <c r="A165" s="2" t="s">
        <v>240</v>
      </c>
      <c r="B165" s="2" t="s">
        <v>160</v>
      </c>
      <c r="C165" s="2" t="s">
        <v>161</v>
      </c>
      <c r="D165" s="2" t="s">
        <v>133</v>
      </c>
      <c r="E165" s="2" t="s">
        <v>29</v>
      </c>
      <c r="F165" s="2"/>
      <c r="G165" s="2" t="s">
        <v>160</v>
      </c>
      <c r="H165" s="2" t="s">
        <v>242</v>
      </c>
      <c r="I165" s="3">
        <v>612</v>
      </c>
      <c r="J165" s="3">
        <v>612</v>
      </c>
      <c r="K165" s="4">
        <f t="shared" si="2"/>
        <v>1224</v>
      </c>
      <c r="L165" s="2" t="s">
        <v>31</v>
      </c>
      <c r="M165" s="2" t="s">
        <v>239</v>
      </c>
      <c r="N165" s="2"/>
    </row>
    <row r="166" spans="1:14" x14ac:dyDescent="0.3">
      <c r="A166" s="2" t="s">
        <v>240</v>
      </c>
      <c r="B166" s="2" t="s">
        <v>352</v>
      </c>
      <c r="C166" s="2" t="s">
        <v>353</v>
      </c>
      <c r="D166" s="2" t="s">
        <v>133</v>
      </c>
      <c r="E166" s="2" t="s">
        <v>29</v>
      </c>
      <c r="F166" s="2"/>
      <c r="G166" s="2" t="s">
        <v>352</v>
      </c>
      <c r="H166" s="2" t="s">
        <v>354</v>
      </c>
      <c r="I166" s="3">
        <v>536</v>
      </c>
      <c r="J166" s="3">
        <v>536</v>
      </c>
      <c r="K166" s="4">
        <f t="shared" si="2"/>
        <v>1072</v>
      </c>
      <c r="L166" s="2" t="s">
        <v>31</v>
      </c>
      <c r="M166" s="2" t="s">
        <v>239</v>
      </c>
      <c r="N166" s="2"/>
    </row>
    <row r="167" spans="1:14" x14ac:dyDescent="0.3">
      <c r="A167" s="2" t="s">
        <v>240</v>
      </c>
      <c r="B167" s="2" t="s">
        <v>174</v>
      </c>
      <c r="C167" s="2" t="s">
        <v>140</v>
      </c>
      <c r="D167" s="2" t="s">
        <v>133</v>
      </c>
      <c r="E167" s="2" t="s">
        <v>29</v>
      </c>
      <c r="F167" s="2"/>
      <c r="G167" s="2" t="s">
        <v>174</v>
      </c>
      <c r="H167" s="2" t="s">
        <v>436</v>
      </c>
      <c r="I167" s="3">
        <v>432</v>
      </c>
      <c r="J167" s="3">
        <v>432</v>
      </c>
      <c r="K167" s="4">
        <f t="shared" si="2"/>
        <v>864</v>
      </c>
      <c r="L167" s="2" t="s">
        <v>31</v>
      </c>
      <c r="M167" s="2" t="s">
        <v>239</v>
      </c>
      <c r="N167" s="2"/>
    </row>
    <row r="168" spans="1:14" x14ac:dyDescent="0.3">
      <c r="A168" s="2" t="s">
        <v>240</v>
      </c>
      <c r="B168" s="2" t="s">
        <v>434</v>
      </c>
      <c r="C168" s="2" t="s">
        <v>132</v>
      </c>
      <c r="D168" s="2" t="s">
        <v>133</v>
      </c>
      <c r="E168" s="2" t="s">
        <v>29</v>
      </c>
      <c r="F168" s="2"/>
      <c r="G168" s="2" t="s">
        <v>434</v>
      </c>
      <c r="H168" s="2" t="s">
        <v>435</v>
      </c>
      <c r="I168" s="3">
        <v>408</v>
      </c>
      <c r="J168" s="3">
        <v>408</v>
      </c>
      <c r="K168" s="4">
        <f t="shared" si="2"/>
        <v>816</v>
      </c>
      <c r="L168" s="2" t="s">
        <v>31</v>
      </c>
      <c r="M168" s="2" t="s">
        <v>239</v>
      </c>
      <c r="N168" s="2"/>
    </row>
    <row r="169" spans="1:14" x14ac:dyDescent="0.3">
      <c r="A169" s="2" t="s">
        <v>240</v>
      </c>
      <c r="B169" s="2" t="s">
        <v>426</v>
      </c>
      <c r="C169" s="2" t="s">
        <v>132</v>
      </c>
      <c r="D169" s="2" t="s">
        <v>133</v>
      </c>
      <c r="E169" s="2" t="s">
        <v>29</v>
      </c>
      <c r="F169" s="2"/>
      <c r="G169" s="2" t="s">
        <v>426</v>
      </c>
      <c r="H169" s="2" t="s">
        <v>427</v>
      </c>
      <c r="I169" s="3">
        <v>406</v>
      </c>
      <c r="J169" s="3">
        <v>406</v>
      </c>
      <c r="K169" s="4">
        <f t="shared" si="2"/>
        <v>812</v>
      </c>
      <c r="L169" s="2" t="s">
        <v>31</v>
      </c>
      <c r="M169" s="2" t="s">
        <v>239</v>
      </c>
      <c r="N169" s="2"/>
    </row>
    <row r="170" spans="1:14" x14ac:dyDescent="0.3">
      <c r="A170" s="2" t="s">
        <v>240</v>
      </c>
      <c r="B170" s="2" t="s">
        <v>246</v>
      </c>
      <c r="C170" s="2" t="s">
        <v>132</v>
      </c>
      <c r="D170" s="2" t="s">
        <v>133</v>
      </c>
      <c r="E170" s="2" t="s">
        <v>29</v>
      </c>
      <c r="F170" s="2"/>
      <c r="G170" s="2" t="s">
        <v>246</v>
      </c>
      <c r="H170" s="2" t="s">
        <v>247</v>
      </c>
      <c r="I170" s="3">
        <v>312</v>
      </c>
      <c r="J170" s="3">
        <v>312</v>
      </c>
      <c r="K170" s="4">
        <f t="shared" si="2"/>
        <v>624</v>
      </c>
      <c r="L170" s="2" t="s">
        <v>31</v>
      </c>
      <c r="M170" s="2" t="s">
        <v>239</v>
      </c>
      <c r="N170" s="2"/>
    </row>
    <row r="171" spans="1:14" x14ac:dyDescent="0.3">
      <c r="A171" s="2" t="s">
        <v>240</v>
      </c>
      <c r="B171" s="2" t="s">
        <v>145</v>
      </c>
      <c r="C171" s="2" t="s">
        <v>146</v>
      </c>
      <c r="D171" s="2" t="s">
        <v>137</v>
      </c>
      <c r="E171" s="2" t="s">
        <v>29</v>
      </c>
      <c r="F171" s="2"/>
      <c r="G171" s="2" t="s">
        <v>145</v>
      </c>
      <c r="H171" s="2" t="s">
        <v>357</v>
      </c>
      <c r="I171" s="3">
        <v>669</v>
      </c>
      <c r="J171" s="3">
        <v>669</v>
      </c>
      <c r="K171" s="4">
        <f t="shared" si="2"/>
        <v>1338</v>
      </c>
      <c r="L171" s="2" t="s">
        <v>31</v>
      </c>
      <c r="M171" s="2" t="s">
        <v>239</v>
      </c>
      <c r="N171" s="2"/>
    </row>
    <row r="172" spans="1:14" x14ac:dyDescent="0.3">
      <c r="A172" s="2" t="s">
        <v>240</v>
      </c>
      <c r="B172" s="2" t="s">
        <v>135</v>
      </c>
      <c r="C172" s="2" t="s">
        <v>136</v>
      </c>
      <c r="D172" s="2" t="s">
        <v>137</v>
      </c>
      <c r="E172" s="2" t="s">
        <v>29</v>
      </c>
      <c r="F172" s="2"/>
      <c r="G172" s="2" t="s">
        <v>135</v>
      </c>
      <c r="H172" s="2" t="s">
        <v>241</v>
      </c>
      <c r="I172" s="3">
        <v>619</v>
      </c>
      <c r="J172" s="3">
        <v>619</v>
      </c>
      <c r="K172" s="4">
        <f t="shared" si="2"/>
        <v>1238</v>
      </c>
      <c r="L172" s="2" t="s">
        <v>31</v>
      </c>
      <c r="M172" s="2" t="s">
        <v>239</v>
      </c>
      <c r="N172" s="2"/>
    </row>
    <row r="173" spans="1:14" x14ac:dyDescent="0.3">
      <c r="A173" s="2" t="s">
        <v>240</v>
      </c>
      <c r="B173" s="2" t="s">
        <v>358</v>
      </c>
      <c r="C173" s="2" t="s">
        <v>358</v>
      </c>
      <c r="D173" s="2" t="s">
        <v>137</v>
      </c>
      <c r="E173" s="2" t="s">
        <v>29</v>
      </c>
      <c r="F173" s="2"/>
      <c r="G173" s="2" t="s">
        <v>358</v>
      </c>
      <c r="H173" s="2" t="s">
        <v>359</v>
      </c>
      <c r="I173" s="3">
        <v>583</v>
      </c>
      <c r="J173" s="3">
        <v>583</v>
      </c>
      <c r="K173" s="4">
        <f t="shared" si="2"/>
        <v>1166</v>
      </c>
      <c r="L173" s="2" t="s">
        <v>31</v>
      </c>
      <c r="M173" s="2" t="s">
        <v>239</v>
      </c>
      <c r="N173" s="2"/>
    </row>
    <row r="174" spans="1:14" x14ac:dyDescent="0.3">
      <c r="A174" s="2" t="s">
        <v>240</v>
      </c>
      <c r="B174" s="2" t="s">
        <v>360</v>
      </c>
      <c r="C174" s="2" t="s">
        <v>358</v>
      </c>
      <c r="D174" s="2" t="s">
        <v>137</v>
      </c>
      <c r="E174" s="2" t="s">
        <v>29</v>
      </c>
      <c r="F174" s="2"/>
      <c r="G174" s="2" t="s">
        <v>360</v>
      </c>
      <c r="H174" s="2" t="s">
        <v>361</v>
      </c>
      <c r="I174" s="3">
        <v>577</v>
      </c>
      <c r="J174" s="3">
        <v>577</v>
      </c>
      <c r="K174" s="4">
        <f t="shared" si="2"/>
        <v>1154</v>
      </c>
      <c r="L174" s="2" t="s">
        <v>31</v>
      </c>
      <c r="M174" s="2" t="s">
        <v>239</v>
      </c>
      <c r="N174" s="2"/>
    </row>
    <row r="175" spans="1:14" x14ac:dyDescent="0.3">
      <c r="A175" s="2" t="s">
        <v>240</v>
      </c>
      <c r="B175" s="2" t="s">
        <v>362</v>
      </c>
      <c r="C175" s="2" t="s">
        <v>363</v>
      </c>
      <c r="D175" s="2" t="s">
        <v>137</v>
      </c>
      <c r="E175" s="2" t="s">
        <v>29</v>
      </c>
      <c r="F175" s="2"/>
      <c r="G175" s="2" t="s">
        <v>362</v>
      </c>
      <c r="H175" s="2" t="s">
        <v>364</v>
      </c>
      <c r="I175" s="3">
        <v>549</v>
      </c>
      <c r="J175" s="3">
        <v>549</v>
      </c>
      <c r="K175" s="4">
        <f t="shared" si="2"/>
        <v>1098</v>
      </c>
      <c r="L175" s="2" t="s">
        <v>31</v>
      </c>
      <c r="M175" s="2" t="s">
        <v>239</v>
      </c>
      <c r="N175" s="2"/>
    </row>
    <row r="176" spans="1:14" x14ac:dyDescent="0.3">
      <c r="A176" s="2" t="s">
        <v>240</v>
      </c>
      <c r="B176" s="2" t="s">
        <v>367</v>
      </c>
      <c r="C176" s="2" t="s">
        <v>143</v>
      </c>
      <c r="D176" s="2" t="s">
        <v>137</v>
      </c>
      <c r="E176" s="2" t="s">
        <v>29</v>
      </c>
      <c r="F176" s="2"/>
      <c r="G176" s="2" t="s">
        <v>367</v>
      </c>
      <c r="H176" s="2" t="s">
        <v>368</v>
      </c>
      <c r="I176" s="3">
        <v>548</v>
      </c>
      <c r="J176" s="3">
        <v>548</v>
      </c>
      <c r="K176" s="4">
        <f t="shared" si="2"/>
        <v>1096</v>
      </c>
      <c r="L176" s="2" t="s">
        <v>31</v>
      </c>
      <c r="M176" s="2" t="s">
        <v>239</v>
      </c>
      <c r="N176" s="2"/>
    </row>
    <row r="177" spans="1:14" x14ac:dyDescent="0.3">
      <c r="A177" s="2" t="s">
        <v>240</v>
      </c>
      <c r="B177" s="2" t="s">
        <v>371</v>
      </c>
      <c r="C177" s="2" t="s">
        <v>143</v>
      </c>
      <c r="D177" s="2" t="s">
        <v>137</v>
      </c>
      <c r="E177" s="2" t="s">
        <v>29</v>
      </c>
      <c r="F177" s="2"/>
      <c r="G177" s="2" t="s">
        <v>371</v>
      </c>
      <c r="H177" s="2" t="s">
        <v>372</v>
      </c>
      <c r="I177" s="3">
        <v>521</v>
      </c>
      <c r="J177" s="3">
        <v>521</v>
      </c>
      <c r="K177" s="4">
        <f t="shared" si="2"/>
        <v>1042</v>
      </c>
      <c r="L177" s="2" t="s">
        <v>31</v>
      </c>
      <c r="M177" s="2" t="s">
        <v>239</v>
      </c>
      <c r="N177" s="2"/>
    </row>
    <row r="178" spans="1:14" x14ac:dyDescent="0.3">
      <c r="A178" s="2" t="s">
        <v>240</v>
      </c>
      <c r="B178" s="2" t="s">
        <v>142</v>
      </c>
      <c r="C178" s="2" t="s">
        <v>143</v>
      </c>
      <c r="D178" s="2" t="s">
        <v>137</v>
      </c>
      <c r="E178" s="2" t="s">
        <v>29</v>
      </c>
      <c r="F178" s="2"/>
      <c r="G178" s="2" t="s">
        <v>142</v>
      </c>
      <c r="H178" s="2" t="s">
        <v>248</v>
      </c>
      <c r="I178" s="3">
        <v>481</v>
      </c>
      <c r="J178" s="3">
        <v>481</v>
      </c>
      <c r="K178" s="4">
        <f t="shared" si="2"/>
        <v>962</v>
      </c>
      <c r="L178" s="2" t="s">
        <v>31</v>
      </c>
      <c r="M178" s="2" t="s">
        <v>239</v>
      </c>
      <c r="N178" s="2"/>
    </row>
    <row r="179" spans="1:14" x14ac:dyDescent="0.3">
      <c r="A179" s="2" t="s">
        <v>240</v>
      </c>
      <c r="B179" s="2" t="s">
        <v>122</v>
      </c>
      <c r="C179" s="2" t="s">
        <v>77</v>
      </c>
      <c r="D179" s="2" t="s">
        <v>45</v>
      </c>
      <c r="E179" s="2" t="s">
        <v>29</v>
      </c>
      <c r="F179" s="2"/>
      <c r="G179" s="2" t="s">
        <v>122</v>
      </c>
      <c r="H179" s="2" t="s">
        <v>399</v>
      </c>
      <c r="I179" s="3">
        <v>1030</v>
      </c>
      <c r="J179" s="3">
        <v>1030</v>
      </c>
      <c r="K179" s="4">
        <f t="shared" si="2"/>
        <v>2060</v>
      </c>
      <c r="L179" s="2" t="s">
        <v>31</v>
      </c>
      <c r="M179" s="2" t="s">
        <v>239</v>
      </c>
      <c r="N179" s="2"/>
    </row>
    <row r="180" spans="1:14" x14ac:dyDescent="0.3">
      <c r="A180" s="2" t="s">
        <v>240</v>
      </c>
      <c r="B180" s="2" t="s">
        <v>76</v>
      </c>
      <c r="C180" s="2" t="s">
        <v>77</v>
      </c>
      <c r="D180" s="2" t="s">
        <v>45</v>
      </c>
      <c r="E180" s="2" t="s">
        <v>29</v>
      </c>
      <c r="F180" s="2"/>
      <c r="G180" s="2" t="s">
        <v>76</v>
      </c>
      <c r="H180" s="2" t="s">
        <v>398</v>
      </c>
      <c r="I180" s="3">
        <v>1007</v>
      </c>
      <c r="J180" s="3">
        <v>1007</v>
      </c>
      <c r="K180" s="4">
        <f t="shared" si="2"/>
        <v>2014</v>
      </c>
      <c r="L180" s="2" t="s">
        <v>31</v>
      </c>
      <c r="M180" s="2" t="s">
        <v>239</v>
      </c>
      <c r="N180" s="2"/>
    </row>
    <row r="181" spans="1:14" x14ac:dyDescent="0.3">
      <c r="A181" s="2" t="s">
        <v>240</v>
      </c>
      <c r="B181" s="2" t="s">
        <v>437</v>
      </c>
      <c r="C181" s="2" t="s">
        <v>82</v>
      </c>
      <c r="D181" s="2" t="s">
        <v>45</v>
      </c>
      <c r="E181" s="2" t="s">
        <v>29</v>
      </c>
      <c r="F181" s="2"/>
      <c r="G181" s="2" t="s">
        <v>437</v>
      </c>
      <c r="H181" s="2" t="s">
        <v>438</v>
      </c>
      <c r="I181" s="3">
        <v>987</v>
      </c>
      <c r="J181" s="3">
        <v>987</v>
      </c>
      <c r="K181" s="4">
        <f t="shared" si="2"/>
        <v>1974</v>
      </c>
      <c r="L181" s="2" t="s">
        <v>31</v>
      </c>
      <c r="M181" s="2" t="s">
        <v>239</v>
      </c>
      <c r="N181" s="2"/>
    </row>
    <row r="182" spans="1:14" x14ac:dyDescent="0.3">
      <c r="A182" s="2" t="s">
        <v>240</v>
      </c>
      <c r="B182" s="2" t="s">
        <v>439</v>
      </c>
      <c r="C182" s="2" t="s">
        <v>82</v>
      </c>
      <c r="D182" s="2" t="s">
        <v>45</v>
      </c>
      <c r="E182" s="2" t="s">
        <v>29</v>
      </c>
      <c r="F182" s="2"/>
      <c r="G182" s="2" t="s">
        <v>439</v>
      </c>
      <c r="H182" s="2" t="s">
        <v>440</v>
      </c>
      <c r="I182" s="3">
        <v>929</v>
      </c>
      <c r="J182" s="3">
        <v>929</v>
      </c>
      <c r="K182" s="4">
        <f t="shared" si="2"/>
        <v>1858</v>
      </c>
      <c r="L182" s="2" t="s">
        <v>31</v>
      </c>
      <c r="M182" s="2" t="s">
        <v>239</v>
      </c>
      <c r="N182" s="2"/>
    </row>
    <row r="183" spans="1:14" x14ac:dyDescent="0.3">
      <c r="A183" s="2" t="s">
        <v>240</v>
      </c>
      <c r="B183" s="2" t="s">
        <v>441</v>
      </c>
      <c r="C183" s="2" t="s">
        <v>82</v>
      </c>
      <c r="D183" s="2" t="s">
        <v>45</v>
      </c>
      <c r="E183" s="2" t="s">
        <v>29</v>
      </c>
      <c r="F183" s="2"/>
      <c r="G183" s="2" t="s">
        <v>441</v>
      </c>
      <c r="H183" s="2" t="s">
        <v>442</v>
      </c>
      <c r="I183" s="3">
        <v>917</v>
      </c>
      <c r="J183" s="3">
        <v>917</v>
      </c>
      <c r="K183" s="4">
        <f t="shared" si="2"/>
        <v>1834</v>
      </c>
      <c r="L183" s="2" t="s">
        <v>31</v>
      </c>
      <c r="M183" s="2" t="s">
        <v>239</v>
      </c>
      <c r="N183" s="2"/>
    </row>
    <row r="184" spans="1:14" x14ac:dyDescent="0.3">
      <c r="A184" s="2" t="s">
        <v>240</v>
      </c>
      <c r="B184" s="2" t="s">
        <v>392</v>
      </c>
      <c r="C184" s="2" t="s">
        <v>35</v>
      </c>
      <c r="D184" s="2" t="s">
        <v>45</v>
      </c>
      <c r="E184" s="2" t="s">
        <v>29</v>
      </c>
      <c r="F184" s="2"/>
      <c r="G184" s="2" t="s">
        <v>392</v>
      </c>
      <c r="H184" s="2" t="s">
        <v>393</v>
      </c>
      <c r="I184" s="3">
        <v>872</v>
      </c>
      <c r="J184" s="3">
        <v>872</v>
      </c>
      <c r="K184" s="4">
        <f t="shared" si="2"/>
        <v>1744</v>
      </c>
      <c r="L184" s="2" t="s">
        <v>31</v>
      </c>
      <c r="M184" s="2" t="s">
        <v>239</v>
      </c>
      <c r="N184" s="2"/>
    </row>
    <row r="185" spans="1:14" x14ac:dyDescent="0.3">
      <c r="A185" s="2" t="s">
        <v>240</v>
      </c>
      <c r="B185" s="2" t="s">
        <v>84</v>
      </c>
      <c r="C185" s="2" t="s">
        <v>35</v>
      </c>
      <c r="D185" s="2" t="s">
        <v>45</v>
      </c>
      <c r="E185" s="2" t="s">
        <v>29</v>
      </c>
      <c r="F185" s="2"/>
      <c r="G185" s="2" t="s">
        <v>84</v>
      </c>
      <c r="H185" s="2" t="s">
        <v>395</v>
      </c>
      <c r="I185" s="3">
        <v>863</v>
      </c>
      <c r="J185" s="3">
        <v>863</v>
      </c>
      <c r="K185" s="4">
        <f t="shared" si="2"/>
        <v>1726</v>
      </c>
      <c r="L185" s="2" t="s">
        <v>31</v>
      </c>
      <c r="M185" s="2" t="s">
        <v>239</v>
      </c>
      <c r="N185" s="2"/>
    </row>
    <row r="186" spans="1:14" x14ac:dyDescent="0.3">
      <c r="A186" s="2" t="s">
        <v>240</v>
      </c>
      <c r="B186" s="2" t="s">
        <v>81</v>
      </c>
      <c r="C186" s="2" t="s">
        <v>82</v>
      </c>
      <c r="D186" s="2" t="s">
        <v>45</v>
      </c>
      <c r="E186" s="2" t="s">
        <v>29</v>
      </c>
      <c r="F186" s="2"/>
      <c r="G186" s="2" t="s">
        <v>81</v>
      </c>
      <c r="H186" s="2" t="s">
        <v>355</v>
      </c>
      <c r="I186" s="3">
        <v>828</v>
      </c>
      <c r="J186" s="3">
        <v>828</v>
      </c>
      <c r="K186" s="4">
        <f t="shared" si="2"/>
        <v>1656</v>
      </c>
      <c r="L186" s="2" t="s">
        <v>31</v>
      </c>
      <c r="M186" s="2" t="s">
        <v>239</v>
      </c>
      <c r="N186" s="2"/>
    </row>
    <row r="187" spans="1:14" x14ac:dyDescent="0.3">
      <c r="A187" s="2" t="s">
        <v>240</v>
      </c>
      <c r="B187" s="2" t="s">
        <v>34</v>
      </c>
      <c r="C187" s="2" t="s">
        <v>35</v>
      </c>
      <c r="D187" s="2" t="s">
        <v>45</v>
      </c>
      <c r="E187" s="2" t="s">
        <v>29</v>
      </c>
      <c r="F187" s="2"/>
      <c r="G187" s="2" t="s">
        <v>34</v>
      </c>
      <c r="H187" s="2" t="s">
        <v>394</v>
      </c>
      <c r="I187" s="3">
        <v>795</v>
      </c>
      <c r="J187" s="3">
        <v>795</v>
      </c>
      <c r="K187" s="4">
        <f t="shared" si="2"/>
        <v>1590</v>
      </c>
      <c r="L187" s="2" t="s">
        <v>31</v>
      </c>
      <c r="M187" s="2" t="s">
        <v>239</v>
      </c>
      <c r="N187" s="2"/>
    </row>
    <row r="188" spans="1:14" x14ac:dyDescent="0.3">
      <c r="A188" s="2" t="s">
        <v>240</v>
      </c>
      <c r="B188" s="2" t="s">
        <v>43</v>
      </c>
      <c r="C188" s="2" t="s">
        <v>44</v>
      </c>
      <c r="D188" s="2" t="s">
        <v>45</v>
      </c>
      <c r="E188" s="2" t="s">
        <v>29</v>
      </c>
      <c r="F188" s="2"/>
      <c r="G188" s="2" t="s">
        <v>43</v>
      </c>
      <c r="H188" s="2" t="s">
        <v>243</v>
      </c>
      <c r="I188" s="3">
        <v>761</v>
      </c>
      <c r="J188" s="3">
        <v>761</v>
      </c>
      <c r="K188" s="4">
        <f t="shared" si="2"/>
        <v>1522</v>
      </c>
      <c r="L188" s="2" t="s">
        <v>31</v>
      </c>
      <c r="M188" s="2" t="s">
        <v>239</v>
      </c>
      <c r="N188" s="2"/>
    </row>
    <row r="189" spans="1:14" x14ac:dyDescent="0.3">
      <c r="A189" s="2" t="s">
        <v>240</v>
      </c>
      <c r="B189" s="2" t="s">
        <v>62</v>
      </c>
      <c r="C189" s="2" t="s">
        <v>48</v>
      </c>
      <c r="D189" s="2" t="s">
        <v>45</v>
      </c>
      <c r="E189" s="2" t="s">
        <v>29</v>
      </c>
      <c r="F189" s="2"/>
      <c r="G189" s="2" t="s">
        <v>62</v>
      </c>
      <c r="H189" s="2" t="s">
        <v>397</v>
      </c>
      <c r="I189" s="3">
        <v>699</v>
      </c>
      <c r="J189" s="3">
        <v>699</v>
      </c>
      <c r="K189" s="4">
        <f t="shared" si="2"/>
        <v>1398</v>
      </c>
      <c r="L189" s="2" t="s">
        <v>31</v>
      </c>
      <c r="M189" s="2" t="s">
        <v>239</v>
      </c>
      <c r="N189" s="2"/>
    </row>
    <row r="190" spans="1:14" x14ac:dyDescent="0.3">
      <c r="A190" s="2" t="s">
        <v>240</v>
      </c>
      <c r="B190" s="2" t="s">
        <v>58</v>
      </c>
      <c r="C190" s="2" t="s">
        <v>48</v>
      </c>
      <c r="D190" s="2" t="s">
        <v>45</v>
      </c>
      <c r="E190" s="2" t="s">
        <v>29</v>
      </c>
      <c r="F190" s="2"/>
      <c r="G190" s="2" t="s">
        <v>58</v>
      </c>
      <c r="H190" s="2" t="s">
        <v>396</v>
      </c>
      <c r="I190" s="3">
        <v>696</v>
      </c>
      <c r="J190" s="3">
        <v>696</v>
      </c>
      <c r="K190" s="4">
        <f t="shared" si="2"/>
        <v>1392</v>
      </c>
      <c r="L190" s="2" t="s">
        <v>31</v>
      </c>
      <c r="M190" s="2" t="s">
        <v>239</v>
      </c>
      <c r="N190" s="2"/>
    </row>
    <row r="191" spans="1:14" x14ac:dyDescent="0.3">
      <c r="A191" s="2" t="s">
        <v>240</v>
      </c>
      <c r="B191" s="2" t="s">
        <v>101</v>
      </c>
      <c r="C191" s="2" t="s">
        <v>90</v>
      </c>
      <c r="D191" s="2" t="s">
        <v>45</v>
      </c>
      <c r="E191" s="2" t="s">
        <v>29</v>
      </c>
      <c r="F191" s="2"/>
      <c r="G191" s="2" t="s">
        <v>101</v>
      </c>
      <c r="H191" s="2" t="s">
        <v>389</v>
      </c>
      <c r="I191" s="3">
        <v>612</v>
      </c>
      <c r="J191" s="3">
        <v>612</v>
      </c>
      <c r="K191" s="4">
        <f t="shared" si="2"/>
        <v>1224</v>
      </c>
      <c r="L191" s="2" t="s">
        <v>31</v>
      </c>
      <c r="M191" s="2" t="s">
        <v>239</v>
      </c>
      <c r="N191" s="2"/>
    </row>
    <row r="192" spans="1:14" x14ac:dyDescent="0.3">
      <c r="A192" s="2" t="s">
        <v>240</v>
      </c>
      <c r="B192" s="2" t="s">
        <v>87</v>
      </c>
      <c r="C192" s="2" t="s">
        <v>48</v>
      </c>
      <c r="D192" s="2" t="s">
        <v>45</v>
      </c>
      <c r="E192" s="2" t="s">
        <v>29</v>
      </c>
      <c r="F192" s="2"/>
      <c r="G192" s="2" t="s">
        <v>87</v>
      </c>
      <c r="H192" s="2" t="s">
        <v>412</v>
      </c>
      <c r="I192" s="3">
        <v>583</v>
      </c>
      <c r="J192" s="3">
        <v>583</v>
      </c>
      <c r="K192" s="4">
        <f t="shared" si="2"/>
        <v>1166</v>
      </c>
      <c r="L192" s="2" t="s">
        <v>31</v>
      </c>
      <c r="M192" s="2" t="s">
        <v>239</v>
      </c>
      <c r="N192" s="2"/>
    </row>
    <row r="193" spans="1:14" x14ac:dyDescent="0.3">
      <c r="A193" s="2" t="s">
        <v>240</v>
      </c>
      <c r="B193" s="2" t="s">
        <v>99</v>
      </c>
      <c r="C193" s="2" t="s">
        <v>90</v>
      </c>
      <c r="D193" s="2" t="s">
        <v>45</v>
      </c>
      <c r="E193" s="2" t="s">
        <v>29</v>
      </c>
      <c r="F193" s="2"/>
      <c r="G193" s="2" t="s">
        <v>99</v>
      </c>
      <c r="H193" s="2" t="s">
        <v>388</v>
      </c>
      <c r="I193" s="3">
        <v>569</v>
      </c>
      <c r="J193" s="3">
        <v>569</v>
      </c>
      <c r="K193" s="4">
        <f t="shared" si="2"/>
        <v>1138</v>
      </c>
      <c r="L193" s="2" t="s">
        <v>31</v>
      </c>
      <c r="M193" s="2" t="s">
        <v>239</v>
      </c>
      <c r="N193" s="2"/>
    </row>
    <row r="194" spans="1:14" x14ac:dyDescent="0.3">
      <c r="A194" s="2" t="s">
        <v>240</v>
      </c>
      <c r="B194" s="2" t="s">
        <v>386</v>
      </c>
      <c r="C194" s="2" t="s">
        <v>90</v>
      </c>
      <c r="D194" s="2" t="s">
        <v>45</v>
      </c>
      <c r="E194" s="2" t="s">
        <v>29</v>
      </c>
      <c r="F194" s="2"/>
      <c r="G194" s="2" t="s">
        <v>386</v>
      </c>
      <c r="H194" s="2" t="s">
        <v>387</v>
      </c>
      <c r="I194" s="3">
        <v>543</v>
      </c>
      <c r="J194" s="3">
        <v>543</v>
      </c>
      <c r="K194" s="4">
        <f t="shared" ref="K194:K257" si="3">IF(I194="","",I194+J194)</f>
        <v>1086</v>
      </c>
      <c r="L194" s="2" t="s">
        <v>31</v>
      </c>
      <c r="M194" s="2" t="s">
        <v>239</v>
      </c>
      <c r="N194" s="2"/>
    </row>
    <row r="195" spans="1:14" x14ac:dyDescent="0.3">
      <c r="A195" s="2" t="s">
        <v>240</v>
      </c>
      <c r="B195" s="2" t="s">
        <v>430</v>
      </c>
      <c r="C195" s="2" t="s">
        <v>230</v>
      </c>
      <c r="D195" s="2" t="s">
        <v>45</v>
      </c>
      <c r="E195" s="2" t="s">
        <v>29</v>
      </c>
      <c r="F195" s="2"/>
      <c r="G195" s="2" t="s">
        <v>430</v>
      </c>
      <c r="H195" s="2" t="s">
        <v>431</v>
      </c>
      <c r="I195" s="3">
        <v>500</v>
      </c>
      <c r="J195" s="3">
        <v>500</v>
      </c>
      <c r="K195" s="4">
        <f t="shared" si="3"/>
        <v>1000</v>
      </c>
      <c r="L195" s="2" t="s">
        <v>31</v>
      </c>
      <c r="M195" s="2" t="s">
        <v>239</v>
      </c>
      <c r="N195" s="2"/>
    </row>
    <row r="196" spans="1:14" x14ac:dyDescent="0.3">
      <c r="A196" s="2" t="s">
        <v>240</v>
      </c>
      <c r="B196" s="2" t="s">
        <v>390</v>
      </c>
      <c r="C196" s="2" t="s">
        <v>90</v>
      </c>
      <c r="D196" s="2" t="s">
        <v>45</v>
      </c>
      <c r="E196" s="2" t="s">
        <v>29</v>
      </c>
      <c r="F196" s="2"/>
      <c r="G196" s="2" t="s">
        <v>390</v>
      </c>
      <c r="H196" s="2" t="s">
        <v>391</v>
      </c>
      <c r="I196" s="3">
        <v>482</v>
      </c>
      <c r="J196" s="3">
        <v>482</v>
      </c>
      <c r="K196" s="4">
        <f t="shared" si="3"/>
        <v>964</v>
      </c>
      <c r="L196" s="2" t="s">
        <v>31</v>
      </c>
      <c r="M196" s="2" t="s">
        <v>239</v>
      </c>
      <c r="N196" s="2"/>
    </row>
    <row r="197" spans="1:14" x14ac:dyDescent="0.3">
      <c r="A197" s="2" t="s">
        <v>240</v>
      </c>
      <c r="B197" s="2" t="s">
        <v>414</v>
      </c>
      <c r="C197" s="2" t="s">
        <v>230</v>
      </c>
      <c r="D197" s="2" t="s">
        <v>45</v>
      </c>
      <c r="E197" s="2" t="s">
        <v>29</v>
      </c>
      <c r="F197" s="2"/>
      <c r="G197" s="2" t="s">
        <v>414</v>
      </c>
      <c r="H197" s="2" t="s">
        <v>415</v>
      </c>
      <c r="I197" s="3">
        <v>477</v>
      </c>
      <c r="J197" s="3">
        <v>477</v>
      </c>
      <c r="K197" s="4">
        <f t="shared" si="3"/>
        <v>954</v>
      </c>
      <c r="L197" s="2" t="s">
        <v>31</v>
      </c>
      <c r="M197" s="2" t="s">
        <v>239</v>
      </c>
      <c r="N197" s="2"/>
    </row>
    <row r="198" spans="1:14" x14ac:dyDescent="0.3">
      <c r="A198" s="2" t="s">
        <v>240</v>
      </c>
      <c r="B198" s="2" t="s">
        <v>446</v>
      </c>
      <c r="C198" s="2" t="s">
        <v>230</v>
      </c>
      <c r="D198" s="2" t="s">
        <v>45</v>
      </c>
      <c r="E198" s="2" t="s">
        <v>29</v>
      </c>
      <c r="F198" s="2"/>
      <c r="G198" s="2" t="s">
        <v>446</v>
      </c>
      <c r="H198" s="2" t="s">
        <v>447</v>
      </c>
      <c r="I198" s="3">
        <v>408</v>
      </c>
      <c r="J198" s="3">
        <v>408</v>
      </c>
      <c r="K198" s="4">
        <f t="shared" si="3"/>
        <v>816</v>
      </c>
      <c r="L198" s="2" t="s">
        <v>31</v>
      </c>
      <c r="M198" s="2" t="s">
        <v>239</v>
      </c>
      <c r="N198" s="2"/>
    </row>
    <row r="199" spans="1:14" x14ac:dyDescent="0.3">
      <c r="A199" s="2" t="s">
        <v>240</v>
      </c>
      <c r="B199" s="2" t="s">
        <v>229</v>
      </c>
      <c r="C199" s="2" t="s">
        <v>230</v>
      </c>
      <c r="D199" s="2" t="s">
        <v>45</v>
      </c>
      <c r="E199" s="2" t="s">
        <v>29</v>
      </c>
      <c r="F199" s="2"/>
      <c r="G199" s="2" t="s">
        <v>229</v>
      </c>
      <c r="H199" s="2" t="s">
        <v>416</v>
      </c>
      <c r="I199" s="3">
        <v>369</v>
      </c>
      <c r="J199" s="3">
        <v>369</v>
      </c>
      <c r="K199" s="4">
        <f t="shared" si="3"/>
        <v>738</v>
      </c>
      <c r="L199" s="2" t="s">
        <v>31</v>
      </c>
      <c r="M199" s="2" t="s">
        <v>239</v>
      </c>
      <c r="N199" s="2"/>
    </row>
    <row r="200" spans="1:14" x14ac:dyDescent="0.3">
      <c r="A200" s="2" t="s">
        <v>240</v>
      </c>
      <c r="B200" s="2" t="s">
        <v>417</v>
      </c>
      <c r="C200" s="2" t="s">
        <v>230</v>
      </c>
      <c r="D200" s="2" t="s">
        <v>45</v>
      </c>
      <c r="E200" s="2" t="s">
        <v>29</v>
      </c>
      <c r="F200" s="2"/>
      <c r="G200" s="2" t="s">
        <v>417</v>
      </c>
      <c r="H200" s="2" t="s">
        <v>418</v>
      </c>
      <c r="I200" s="3">
        <v>316</v>
      </c>
      <c r="J200" s="3">
        <v>316</v>
      </c>
      <c r="K200" s="4">
        <f t="shared" si="3"/>
        <v>632</v>
      </c>
      <c r="L200" s="2" t="s">
        <v>31</v>
      </c>
      <c r="M200" s="2" t="s">
        <v>239</v>
      </c>
      <c r="N200" s="2"/>
    </row>
    <row r="201" spans="1:14" x14ac:dyDescent="0.3">
      <c r="A201" s="2" t="s">
        <v>240</v>
      </c>
      <c r="B201" s="2" t="s">
        <v>410</v>
      </c>
      <c r="C201" s="2" t="s">
        <v>73</v>
      </c>
      <c r="D201" s="2" t="s">
        <v>54</v>
      </c>
      <c r="E201" s="2" t="s">
        <v>29</v>
      </c>
      <c r="F201" s="2"/>
      <c r="G201" s="2" t="s">
        <v>410</v>
      </c>
      <c r="H201" s="2" t="s">
        <v>411</v>
      </c>
      <c r="I201" s="3">
        <v>1606</v>
      </c>
      <c r="J201" s="3">
        <v>1606</v>
      </c>
      <c r="K201" s="4">
        <f t="shared" si="3"/>
        <v>3212</v>
      </c>
      <c r="L201" s="2" t="s">
        <v>31</v>
      </c>
      <c r="M201" s="2" t="s">
        <v>239</v>
      </c>
      <c r="N201" s="2"/>
    </row>
    <row r="202" spans="1:14" x14ac:dyDescent="0.3">
      <c r="A202" s="2" t="s">
        <v>240</v>
      </c>
      <c r="B202" s="2" t="s">
        <v>119</v>
      </c>
      <c r="C202" s="2" t="s">
        <v>120</v>
      </c>
      <c r="D202" s="2" t="s">
        <v>54</v>
      </c>
      <c r="E202" s="2" t="s">
        <v>29</v>
      </c>
      <c r="F202" s="2"/>
      <c r="G202" s="2" t="s">
        <v>119</v>
      </c>
      <c r="H202" s="2" t="s">
        <v>382</v>
      </c>
      <c r="I202" s="3">
        <v>1605</v>
      </c>
      <c r="J202" s="3">
        <v>1605</v>
      </c>
      <c r="K202" s="4">
        <f t="shared" si="3"/>
        <v>3210</v>
      </c>
      <c r="L202" s="2" t="s">
        <v>31</v>
      </c>
      <c r="M202" s="2" t="s">
        <v>239</v>
      </c>
      <c r="N202" s="2"/>
    </row>
    <row r="203" spans="1:14" x14ac:dyDescent="0.3">
      <c r="A203" s="2" t="s">
        <v>240</v>
      </c>
      <c r="B203" s="2" t="s">
        <v>113</v>
      </c>
      <c r="C203" s="2" t="s">
        <v>73</v>
      </c>
      <c r="D203" s="2" t="s">
        <v>54</v>
      </c>
      <c r="E203" s="2" t="s">
        <v>29</v>
      </c>
      <c r="F203" s="2"/>
      <c r="G203" s="2" t="s">
        <v>113</v>
      </c>
      <c r="H203" s="2" t="s">
        <v>409</v>
      </c>
      <c r="I203" s="3">
        <v>1525</v>
      </c>
      <c r="J203" s="3">
        <v>1525</v>
      </c>
      <c r="K203" s="4">
        <f t="shared" si="3"/>
        <v>3050</v>
      </c>
      <c r="L203" s="2" t="s">
        <v>31</v>
      </c>
      <c r="M203" s="2" t="s">
        <v>239</v>
      </c>
      <c r="N203" s="2"/>
    </row>
    <row r="204" spans="1:14" x14ac:dyDescent="0.3">
      <c r="A204" s="2" t="s">
        <v>240</v>
      </c>
      <c r="B204" s="2" t="s">
        <v>72</v>
      </c>
      <c r="C204" s="2" t="s">
        <v>73</v>
      </c>
      <c r="D204" s="2" t="s">
        <v>54</v>
      </c>
      <c r="E204" s="2" t="s">
        <v>29</v>
      </c>
      <c r="F204" s="2"/>
      <c r="G204" s="2" t="s">
        <v>72</v>
      </c>
      <c r="H204" s="2" t="s">
        <v>408</v>
      </c>
      <c r="I204" s="3">
        <v>1373</v>
      </c>
      <c r="J204" s="3">
        <v>1373</v>
      </c>
      <c r="K204" s="4">
        <f t="shared" si="3"/>
        <v>2746</v>
      </c>
      <c r="L204" s="2" t="s">
        <v>31</v>
      </c>
      <c r="M204" s="2" t="s">
        <v>239</v>
      </c>
      <c r="N204" s="2"/>
    </row>
    <row r="205" spans="1:14" x14ac:dyDescent="0.3">
      <c r="A205" s="2" t="s">
        <v>240</v>
      </c>
      <c r="B205" s="2" t="s">
        <v>60</v>
      </c>
      <c r="C205" s="2" t="s">
        <v>60</v>
      </c>
      <c r="D205" s="2" t="s">
        <v>54</v>
      </c>
      <c r="E205" s="2" t="s">
        <v>29</v>
      </c>
      <c r="F205" s="2"/>
      <c r="G205" s="2" t="s">
        <v>60</v>
      </c>
      <c r="H205" s="2" t="s">
        <v>383</v>
      </c>
      <c r="I205" s="3">
        <v>1251</v>
      </c>
      <c r="J205" s="3">
        <v>1251</v>
      </c>
      <c r="K205" s="4">
        <f t="shared" si="3"/>
        <v>2502</v>
      </c>
      <c r="L205" s="2" t="s">
        <v>31</v>
      </c>
      <c r="M205" s="2" t="s">
        <v>239</v>
      </c>
      <c r="N205" s="2"/>
    </row>
    <row r="206" spans="1:14" x14ac:dyDescent="0.3">
      <c r="A206" s="2" t="s">
        <v>240</v>
      </c>
      <c r="B206" s="2" t="s">
        <v>56</v>
      </c>
      <c r="C206" s="2" t="s">
        <v>53</v>
      </c>
      <c r="D206" s="2" t="s">
        <v>54</v>
      </c>
      <c r="E206" s="2" t="s">
        <v>29</v>
      </c>
      <c r="F206" s="2"/>
      <c r="G206" s="2" t="s">
        <v>56</v>
      </c>
      <c r="H206" s="2" t="s">
        <v>405</v>
      </c>
      <c r="I206" s="3">
        <v>1205</v>
      </c>
      <c r="J206" s="3">
        <v>1205</v>
      </c>
      <c r="K206" s="4">
        <f t="shared" si="3"/>
        <v>2410</v>
      </c>
      <c r="L206" s="2" t="s">
        <v>31</v>
      </c>
      <c r="M206" s="2" t="s">
        <v>239</v>
      </c>
      <c r="N206" s="2"/>
    </row>
    <row r="207" spans="1:14" x14ac:dyDescent="0.3">
      <c r="A207" s="2" t="s">
        <v>240</v>
      </c>
      <c r="B207" s="2" t="s">
        <v>444</v>
      </c>
      <c r="C207" s="2" t="s">
        <v>53</v>
      </c>
      <c r="D207" s="2" t="s">
        <v>54</v>
      </c>
      <c r="E207" s="2" t="s">
        <v>29</v>
      </c>
      <c r="F207" s="2"/>
      <c r="G207" s="2" t="s">
        <v>444</v>
      </c>
      <c r="H207" s="2" t="s">
        <v>445</v>
      </c>
      <c r="I207" s="3">
        <v>1116</v>
      </c>
      <c r="J207" s="3">
        <v>1116</v>
      </c>
      <c r="K207" s="4">
        <f t="shared" si="3"/>
        <v>2232</v>
      </c>
      <c r="L207" s="2" t="s">
        <v>31</v>
      </c>
      <c r="M207" s="2" t="s">
        <v>239</v>
      </c>
      <c r="N207" s="2"/>
    </row>
    <row r="208" spans="1:14" x14ac:dyDescent="0.3">
      <c r="A208" s="2" t="s">
        <v>240</v>
      </c>
      <c r="B208" s="2" t="s">
        <v>70</v>
      </c>
      <c r="C208" s="2" t="s">
        <v>70</v>
      </c>
      <c r="D208" s="2" t="s">
        <v>54</v>
      </c>
      <c r="E208" s="2" t="s">
        <v>29</v>
      </c>
      <c r="F208" s="2"/>
      <c r="G208" s="2" t="s">
        <v>70</v>
      </c>
      <c r="H208" s="2" t="s">
        <v>381</v>
      </c>
      <c r="I208" s="3">
        <v>1086</v>
      </c>
      <c r="J208" s="3">
        <v>1086</v>
      </c>
      <c r="K208" s="4">
        <f t="shared" si="3"/>
        <v>2172</v>
      </c>
      <c r="L208" s="2" t="s">
        <v>31</v>
      </c>
      <c r="M208" s="2" t="s">
        <v>239</v>
      </c>
      <c r="N208" s="2"/>
    </row>
    <row r="209" spans="1:14" x14ac:dyDescent="0.3">
      <c r="A209" s="2" t="s">
        <v>240</v>
      </c>
      <c r="B209" s="2" t="s">
        <v>97</v>
      </c>
      <c r="C209" s="2" t="s">
        <v>53</v>
      </c>
      <c r="D209" s="2" t="s">
        <v>54</v>
      </c>
      <c r="E209" s="2" t="s">
        <v>29</v>
      </c>
      <c r="F209" s="2"/>
      <c r="G209" s="2" t="s">
        <v>97</v>
      </c>
      <c r="H209" s="2" t="s">
        <v>443</v>
      </c>
      <c r="I209" s="3">
        <v>964</v>
      </c>
      <c r="J209" s="3">
        <v>964</v>
      </c>
      <c r="K209" s="4">
        <f t="shared" si="3"/>
        <v>1928</v>
      </c>
      <c r="L209" s="2" t="s">
        <v>31</v>
      </c>
      <c r="M209" s="2" t="s">
        <v>239</v>
      </c>
      <c r="N209" s="2"/>
    </row>
    <row r="210" spans="1:14" x14ac:dyDescent="0.3">
      <c r="A210" s="2" t="s">
        <v>240</v>
      </c>
      <c r="B210" s="2" t="s">
        <v>52</v>
      </c>
      <c r="C210" s="2" t="s">
        <v>53</v>
      </c>
      <c r="D210" s="2" t="s">
        <v>54</v>
      </c>
      <c r="E210" s="2" t="s">
        <v>29</v>
      </c>
      <c r="F210" s="2"/>
      <c r="G210" s="2" t="s">
        <v>52</v>
      </c>
      <c r="H210" s="2" t="s">
        <v>406</v>
      </c>
      <c r="I210" s="3">
        <v>949</v>
      </c>
      <c r="J210" s="3">
        <v>949</v>
      </c>
      <c r="K210" s="4">
        <f t="shared" si="3"/>
        <v>1898</v>
      </c>
      <c r="L210" s="2" t="s">
        <v>31</v>
      </c>
      <c r="M210" s="2" t="s">
        <v>239</v>
      </c>
      <c r="N210" s="2"/>
    </row>
    <row r="211" spans="1:14" x14ac:dyDescent="0.3">
      <c r="A211" s="2" t="s">
        <v>240</v>
      </c>
      <c r="B211" s="2" t="s">
        <v>68</v>
      </c>
      <c r="C211" s="2" t="s">
        <v>68</v>
      </c>
      <c r="D211" s="2" t="s">
        <v>28</v>
      </c>
      <c r="E211" s="2" t="s">
        <v>29</v>
      </c>
      <c r="F211" s="2"/>
      <c r="G211" s="2" t="s">
        <v>68</v>
      </c>
      <c r="H211" s="2" t="s">
        <v>413</v>
      </c>
      <c r="I211" s="3">
        <v>1050</v>
      </c>
      <c r="J211" s="3">
        <v>1050</v>
      </c>
      <c r="K211" s="4">
        <f t="shared" si="3"/>
        <v>2100</v>
      </c>
      <c r="L211" s="2" t="s">
        <v>31</v>
      </c>
      <c r="M211" s="2" t="s">
        <v>239</v>
      </c>
      <c r="N211" s="2"/>
    </row>
    <row r="212" spans="1:14" x14ac:dyDescent="0.3">
      <c r="A212" s="2" t="s">
        <v>240</v>
      </c>
      <c r="B212" s="2" t="s">
        <v>27</v>
      </c>
      <c r="C212" s="2" t="s">
        <v>27</v>
      </c>
      <c r="D212" s="2" t="s">
        <v>28</v>
      </c>
      <c r="E212" s="2" t="s">
        <v>29</v>
      </c>
      <c r="F212" s="2"/>
      <c r="G212" s="2" t="s">
        <v>27</v>
      </c>
      <c r="H212" s="2" t="s">
        <v>244</v>
      </c>
      <c r="I212" s="3">
        <v>1020</v>
      </c>
      <c r="J212" s="3">
        <v>1020</v>
      </c>
      <c r="K212" s="4">
        <f t="shared" si="3"/>
        <v>2040</v>
      </c>
      <c r="L212" s="2" t="s">
        <v>31</v>
      </c>
      <c r="M212" s="2" t="s">
        <v>239</v>
      </c>
      <c r="N212" s="2"/>
    </row>
    <row r="213" spans="1:14" x14ac:dyDescent="0.3">
      <c r="A213" s="2" t="s">
        <v>240</v>
      </c>
      <c r="B213" s="2" t="s">
        <v>403</v>
      </c>
      <c r="C213" s="2" t="s">
        <v>50</v>
      </c>
      <c r="D213" s="2" t="s">
        <v>28</v>
      </c>
      <c r="E213" s="2" t="s">
        <v>29</v>
      </c>
      <c r="F213" s="2"/>
      <c r="G213" s="2" t="s">
        <v>403</v>
      </c>
      <c r="H213" s="2" t="s">
        <v>404</v>
      </c>
      <c r="I213" s="3">
        <v>1016</v>
      </c>
      <c r="J213" s="3">
        <v>1016</v>
      </c>
      <c r="K213" s="4">
        <f t="shared" si="3"/>
        <v>2032</v>
      </c>
      <c r="L213" s="2" t="s">
        <v>31</v>
      </c>
      <c r="M213" s="2" t="s">
        <v>239</v>
      </c>
      <c r="N213" s="2"/>
    </row>
    <row r="214" spans="1:14" x14ac:dyDescent="0.3">
      <c r="A214" s="2" t="s">
        <v>240</v>
      </c>
      <c r="B214" s="2" t="s">
        <v>50</v>
      </c>
      <c r="C214" s="2" t="s">
        <v>50</v>
      </c>
      <c r="D214" s="2" t="s">
        <v>28</v>
      </c>
      <c r="E214" s="2" t="s">
        <v>29</v>
      </c>
      <c r="F214" s="2"/>
      <c r="G214" s="2" t="s">
        <v>50</v>
      </c>
      <c r="H214" s="2" t="s">
        <v>400</v>
      </c>
      <c r="I214" s="3">
        <v>927</v>
      </c>
      <c r="J214" s="3">
        <v>927</v>
      </c>
      <c r="K214" s="4">
        <f t="shared" si="3"/>
        <v>1854</v>
      </c>
      <c r="L214" s="2" t="s">
        <v>31</v>
      </c>
      <c r="M214" s="2" t="s">
        <v>239</v>
      </c>
      <c r="N214" s="2"/>
    </row>
    <row r="215" spans="1:14" x14ac:dyDescent="0.3">
      <c r="A215" s="2" t="s">
        <v>240</v>
      </c>
      <c r="B215" s="2" t="s">
        <v>92</v>
      </c>
      <c r="C215" s="2" t="s">
        <v>93</v>
      </c>
      <c r="D215" s="2" t="s">
        <v>28</v>
      </c>
      <c r="E215" s="2" t="s">
        <v>29</v>
      </c>
      <c r="F215" s="2"/>
      <c r="G215" s="2" t="s">
        <v>92</v>
      </c>
      <c r="H215" s="2" t="s">
        <v>407</v>
      </c>
      <c r="I215" s="3">
        <v>891</v>
      </c>
      <c r="J215" s="3">
        <v>891</v>
      </c>
      <c r="K215" s="4">
        <f t="shared" si="3"/>
        <v>1782</v>
      </c>
      <c r="L215" s="2" t="s">
        <v>31</v>
      </c>
      <c r="M215" s="2" t="s">
        <v>239</v>
      </c>
      <c r="N215" s="2"/>
    </row>
    <row r="216" spans="1:14" x14ac:dyDescent="0.3">
      <c r="A216" s="2" t="s">
        <v>240</v>
      </c>
      <c r="B216" s="2" t="s">
        <v>64</v>
      </c>
      <c r="C216" s="2" t="s">
        <v>65</v>
      </c>
      <c r="D216" s="2" t="s">
        <v>28</v>
      </c>
      <c r="E216" s="2" t="s">
        <v>29</v>
      </c>
      <c r="F216" s="2"/>
      <c r="G216" s="2" t="s">
        <v>64</v>
      </c>
      <c r="H216" s="2" t="s">
        <v>385</v>
      </c>
      <c r="I216" s="3">
        <v>856</v>
      </c>
      <c r="J216" s="3">
        <v>856</v>
      </c>
      <c r="K216" s="4">
        <f t="shared" si="3"/>
        <v>1712</v>
      </c>
      <c r="L216" s="2" t="s">
        <v>31</v>
      </c>
      <c r="M216" s="2" t="s">
        <v>239</v>
      </c>
      <c r="N216" s="2"/>
    </row>
    <row r="217" spans="1:14" x14ac:dyDescent="0.3">
      <c r="A217" s="2" t="s">
        <v>240</v>
      </c>
      <c r="B217" s="2" t="s">
        <v>401</v>
      </c>
      <c r="C217" s="2" t="s">
        <v>104</v>
      </c>
      <c r="D217" s="2" t="s">
        <v>28</v>
      </c>
      <c r="E217" s="2" t="s">
        <v>29</v>
      </c>
      <c r="F217" s="2"/>
      <c r="G217" s="2" t="s">
        <v>401</v>
      </c>
      <c r="H217" s="2" t="s">
        <v>402</v>
      </c>
      <c r="I217" s="3">
        <v>817</v>
      </c>
      <c r="J217" s="3">
        <v>817</v>
      </c>
      <c r="K217" s="4">
        <f t="shared" si="3"/>
        <v>1634</v>
      </c>
      <c r="L217" s="2" t="s">
        <v>31</v>
      </c>
      <c r="M217" s="2" t="s">
        <v>239</v>
      </c>
      <c r="N217" s="2"/>
    </row>
    <row r="218" spans="1:14" x14ac:dyDescent="0.3">
      <c r="A218" s="2" t="s">
        <v>240</v>
      </c>
      <c r="B218" s="2" t="s">
        <v>65</v>
      </c>
      <c r="C218" s="2" t="s">
        <v>65</v>
      </c>
      <c r="D218" s="2" t="s">
        <v>28</v>
      </c>
      <c r="E218" s="2" t="s">
        <v>29</v>
      </c>
      <c r="F218" s="2"/>
      <c r="G218" s="2" t="s">
        <v>65</v>
      </c>
      <c r="H218" s="2" t="s">
        <v>384</v>
      </c>
      <c r="I218" s="3">
        <v>777</v>
      </c>
      <c r="J218" s="3">
        <v>777</v>
      </c>
      <c r="K218" s="4">
        <f t="shared" si="3"/>
        <v>1554</v>
      </c>
      <c r="L218" s="2" t="s">
        <v>31</v>
      </c>
      <c r="M218" s="2" t="s">
        <v>239</v>
      </c>
      <c r="N218" s="2"/>
    </row>
  </sheetData>
  <autoFilter ref="A1:N218" xr:uid="{00000000-0009-0000-0000-00000100000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8"/>
  <sheetViews>
    <sheetView zoomScaleNormal="100" workbookViewId="0">
      <pane xSplit="2" ySplit="1" topLeftCell="C2" activePane="bottomRight" state="frozen"/>
      <selection pane="topRight" activeCell="C1" sqref="C1"/>
      <selection pane="bottomLeft" activeCell="A2" sqref="A2"/>
      <selection pane="bottomRight" activeCell="G3" sqref="G3"/>
    </sheetView>
  </sheetViews>
  <sheetFormatPr defaultColWidth="8.6640625" defaultRowHeight="14.4" x14ac:dyDescent="0.3"/>
  <cols>
    <col min="1" max="1" width="16" customWidth="1"/>
    <col min="2" max="2" width="34" customWidth="1"/>
    <col min="3" max="3" width="14" customWidth="1"/>
    <col min="4" max="4" width="15" customWidth="1"/>
    <col min="5" max="5" width="17" customWidth="1"/>
    <col min="6" max="6" width="18" customWidth="1"/>
    <col min="7" max="7" width="40" customWidth="1"/>
    <col min="8" max="8" width="60" customWidth="1"/>
    <col min="9" max="10" width="11" customWidth="1"/>
    <col min="11" max="11" width="12" customWidth="1"/>
    <col min="12" max="12" width="20" customWidth="1"/>
    <col min="13" max="13" width="30" customWidth="1"/>
    <col min="14" max="14" width="55" customWidth="1"/>
  </cols>
  <sheetData>
    <row r="1" spans="1:14" ht="33.75" customHeight="1" x14ac:dyDescent="0.3">
      <c r="A1" s="1" t="s">
        <v>6</v>
      </c>
      <c r="B1" s="1" t="s">
        <v>903</v>
      </c>
      <c r="C1" s="1" t="s">
        <v>9</v>
      </c>
      <c r="D1" s="1" t="s">
        <v>904</v>
      </c>
      <c r="E1" s="1" t="s">
        <v>11</v>
      </c>
      <c r="F1" s="1" t="s">
        <v>12</v>
      </c>
      <c r="G1" s="1" t="s">
        <v>13</v>
      </c>
      <c r="H1" s="1" t="s">
        <v>14</v>
      </c>
      <c r="I1" s="1" t="s">
        <v>15</v>
      </c>
      <c r="J1" s="1" t="s">
        <v>16</v>
      </c>
      <c r="K1" s="1" t="s">
        <v>17</v>
      </c>
      <c r="L1" s="1" t="s">
        <v>18</v>
      </c>
      <c r="M1" s="1" t="s">
        <v>905</v>
      </c>
      <c r="N1" s="1" t="s">
        <v>19</v>
      </c>
    </row>
    <row r="2" spans="1:14" x14ac:dyDescent="0.3">
      <c r="A2" s="2" t="s">
        <v>25</v>
      </c>
      <c r="B2" s="2" t="s">
        <v>479</v>
      </c>
      <c r="C2" s="2" t="s">
        <v>37</v>
      </c>
      <c r="D2" s="2" t="s">
        <v>38</v>
      </c>
      <c r="E2" s="2" t="s">
        <v>29</v>
      </c>
      <c r="F2" s="2"/>
      <c r="G2" s="2" t="s">
        <v>479</v>
      </c>
      <c r="H2" s="2" t="s">
        <v>480</v>
      </c>
      <c r="I2" s="3">
        <v>201</v>
      </c>
      <c r="J2" s="3">
        <v>201</v>
      </c>
      <c r="K2" s="4">
        <f t="shared" ref="K2:K33" si="0">IF(I2="","",I2+J2)</f>
        <v>402</v>
      </c>
      <c r="L2" s="2" t="s">
        <v>31</v>
      </c>
      <c r="M2" s="2" t="s">
        <v>470</v>
      </c>
      <c r="N2" s="2"/>
    </row>
    <row r="3" spans="1:14" x14ac:dyDescent="0.3">
      <c r="A3" s="2" t="s">
        <v>25</v>
      </c>
      <c r="B3" s="2" t="s">
        <v>282</v>
      </c>
      <c r="C3" s="2" t="s">
        <v>281</v>
      </c>
      <c r="D3" s="2" t="s">
        <v>38</v>
      </c>
      <c r="E3" s="2" t="s">
        <v>29</v>
      </c>
      <c r="F3" s="2"/>
      <c r="G3" s="2" t="s">
        <v>282</v>
      </c>
      <c r="H3" s="2" t="s">
        <v>476</v>
      </c>
      <c r="I3" s="3">
        <v>187</v>
      </c>
      <c r="J3" s="3">
        <v>187</v>
      </c>
      <c r="K3" s="4">
        <f t="shared" si="0"/>
        <v>374</v>
      </c>
      <c r="L3" s="2" t="s">
        <v>31</v>
      </c>
      <c r="M3" s="2" t="s">
        <v>470</v>
      </c>
      <c r="N3" s="2"/>
    </row>
    <row r="4" spans="1:14" x14ac:dyDescent="0.3">
      <c r="A4" s="2" t="s">
        <v>25</v>
      </c>
      <c r="B4" s="2" t="s">
        <v>497</v>
      </c>
      <c r="C4" s="2" t="s">
        <v>152</v>
      </c>
      <c r="D4" s="2" t="s">
        <v>38</v>
      </c>
      <c r="E4" s="2" t="s">
        <v>29</v>
      </c>
      <c r="F4" s="2" t="s">
        <v>225</v>
      </c>
      <c r="G4" s="2" t="s">
        <v>497</v>
      </c>
      <c r="H4" s="2" t="s">
        <v>498</v>
      </c>
      <c r="I4" s="3">
        <v>153</v>
      </c>
      <c r="J4" s="3">
        <v>153</v>
      </c>
      <c r="K4" s="4">
        <f t="shared" si="0"/>
        <v>306</v>
      </c>
      <c r="L4" s="2" t="s">
        <v>31</v>
      </c>
      <c r="M4" s="2" t="s">
        <v>470</v>
      </c>
      <c r="N4" s="2"/>
    </row>
    <row r="5" spans="1:14" x14ac:dyDescent="0.3">
      <c r="A5" s="2" t="s">
        <v>25</v>
      </c>
      <c r="B5" s="2" t="s">
        <v>224</v>
      </c>
      <c r="C5" s="2" t="s">
        <v>152</v>
      </c>
      <c r="D5" s="2" t="s">
        <v>38</v>
      </c>
      <c r="E5" s="2" t="s">
        <v>29</v>
      </c>
      <c r="F5" s="2" t="s">
        <v>225</v>
      </c>
      <c r="G5" s="2" t="s">
        <v>224</v>
      </c>
      <c r="H5" s="2" t="s">
        <v>499</v>
      </c>
      <c r="I5" s="3">
        <v>149</v>
      </c>
      <c r="J5" s="3">
        <v>149</v>
      </c>
      <c r="K5" s="4">
        <f t="shared" si="0"/>
        <v>298</v>
      </c>
      <c r="L5" s="2" t="s">
        <v>31</v>
      </c>
      <c r="M5" s="2" t="s">
        <v>470</v>
      </c>
      <c r="N5" s="2"/>
    </row>
    <row r="6" spans="1:14" x14ac:dyDescent="0.3">
      <c r="A6" s="2" t="s">
        <v>25</v>
      </c>
      <c r="B6" s="2" t="s">
        <v>501</v>
      </c>
      <c r="C6" s="2" t="s">
        <v>281</v>
      </c>
      <c r="D6" s="2" t="s">
        <v>38</v>
      </c>
      <c r="E6" s="2" t="s">
        <v>29</v>
      </c>
      <c r="F6" s="2"/>
      <c r="G6" s="2" t="s">
        <v>501</v>
      </c>
      <c r="H6" s="2" t="s">
        <v>502</v>
      </c>
      <c r="I6" s="3">
        <v>141</v>
      </c>
      <c r="J6" s="3">
        <v>141</v>
      </c>
      <c r="K6" s="4">
        <f t="shared" si="0"/>
        <v>282</v>
      </c>
      <c r="L6" s="2" t="s">
        <v>31</v>
      </c>
      <c r="M6" s="2" t="s">
        <v>470</v>
      </c>
      <c r="N6" s="2"/>
    </row>
    <row r="7" spans="1:14" x14ac:dyDescent="0.3">
      <c r="A7" s="2" t="s">
        <v>25</v>
      </c>
      <c r="B7" s="2" t="s">
        <v>192</v>
      </c>
      <c r="C7" s="2" t="s">
        <v>37</v>
      </c>
      <c r="D7" s="2" t="s">
        <v>38</v>
      </c>
      <c r="E7" s="2" t="s">
        <v>29</v>
      </c>
      <c r="F7" s="2"/>
      <c r="G7" s="2" t="s">
        <v>192</v>
      </c>
      <c r="H7" s="2" t="s">
        <v>483</v>
      </c>
      <c r="I7" s="3">
        <v>138</v>
      </c>
      <c r="J7" s="3">
        <v>138</v>
      </c>
      <c r="K7" s="4">
        <f t="shared" si="0"/>
        <v>276</v>
      </c>
      <c r="L7" s="2" t="s">
        <v>31</v>
      </c>
      <c r="M7" s="2" t="s">
        <v>470</v>
      </c>
      <c r="N7" s="2"/>
    </row>
    <row r="8" spans="1:14" x14ac:dyDescent="0.3">
      <c r="A8" s="2" t="s">
        <v>25</v>
      </c>
      <c r="B8" s="2" t="s">
        <v>495</v>
      </c>
      <c r="C8" s="2" t="s">
        <v>152</v>
      </c>
      <c r="D8" s="2" t="s">
        <v>38</v>
      </c>
      <c r="E8" s="2" t="s">
        <v>29</v>
      </c>
      <c r="F8" s="2" t="s">
        <v>188</v>
      </c>
      <c r="G8" s="2" t="s">
        <v>200</v>
      </c>
      <c r="H8" s="2" t="s">
        <v>496</v>
      </c>
      <c r="I8" s="3">
        <v>138</v>
      </c>
      <c r="J8" s="3">
        <v>138</v>
      </c>
      <c r="K8" s="4">
        <f t="shared" si="0"/>
        <v>276</v>
      </c>
      <c r="L8" s="2" t="s">
        <v>31</v>
      </c>
      <c r="M8" s="2" t="s">
        <v>470</v>
      </c>
      <c r="N8" s="2"/>
    </row>
    <row r="9" spans="1:14" x14ac:dyDescent="0.3">
      <c r="A9" s="2" t="s">
        <v>25</v>
      </c>
      <c r="B9" s="2" t="s">
        <v>493</v>
      </c>
      <c r="C9" s="2" t="s">
        <v>26</v>
      </c>
      <c r="D9" s="2" t="s">
        <v>38</v>
      </c>
      <c r="E9" s="2" t="s">
        <v>127</v>
      </c>
      <c r="F9" s="2" t="s">
        <v>128</v>
      </c>
      <c r="G9" s="2" t="s">
        <v>493</v>
      </c>
      <c r="H9" s="2" t="s">
        <v>494</v>
      </c>
      <c r="I9" s="3">
        <v>119</v>
      </c>
      <c r="J9" s="3">
        <v>119</v>
      </c>
      <c r="K9" s="4">
        <f t="shared" si="0"/>
        <v>238</v>
      </c>
      <c r="L9" s="2" t="s">
        <v>31</v>
      </c>
      <c r="M9" s="2" t="s">
        <v>470</v>
      </c>
      <c r="N9" s="2"/>
    </row>
    <row r="10" spans="1:14" x14ac:dyDescent="0.3">
      <c r="A10" s="2" t="s">
        <v>25</v>
      </c>
      <c r="B10" s="2" t="s">
        <v>481</v>
      </c>
      <c r="C10" s="2" t="s">
        <v>37</v>
      </c>
      <c r="D10" s="2" t="s">
        <v>38</v>
      </c>
      <c r="E10" s="2" t="s">
        <v>29</v>
      </c>
      <c r="F10" s="2"/>
      <c r="G10" s="2" t="s">
        <v>481</v>
      </c>
      <c r="H10" s="2" t="s">
        <v>482</v>
      </c>
      <c r="I10" s="3">
        <v>116</v>
      </c>
      <c r="J10" s="3">
        <v>116</v>
      </c>
      <c r="K10" s="4">
        <f t="shared" si="0"/>
        <v>232</v>
      </c>
      <c r="L10" s="2" t="s">
        <v>31</v>
      </c>
      <c r="M10" s="2" t="s">
        <v>470</v>
      </c>
      <c r="N10" s="2"/>
    </row>
    <row r="11" spans="1:14" x14ac:dyDescent="0.3">
      <c r="A11" s="2" t="s">
        <v>25</v>
      </c>
      <c r="B11" s="2" t="s">
        <v>286</v>
      </c>
      <c r="C11" s="2" t="s">
        <v>285</v>
      </c>
      <c r="D11" s="2" t="s">
        <v>38</v>
      </c>
      <c r="E11" s="2" t="s">
        <v>29</v>
      </c>
      <c r="F11" s="2"/>
      <c r="G11" s="2" t="s">
        <v>286</v>
      </c>
      <c r="H11" s="2" t="s">
        <v>505</v>
      </c>
      <c r="I11" s="3">
        <v>110</v>
      </c>
      <c r="J11" s="3">
        <v>110</v>
      </c>
      <c r="K11" s="4">
        <f t="shared" si="0"/>
        <v>220</v>
      </c>
      <c r="L11" s="2" t="s">
        <v>31</v>
      </c>
      <c r="M11" s="2" t="s">
        <v>470</v>
      </c>
      <c r="N11" s="2"/>
    </row>
    <row r="12" spans="1:14" x14ac:dyDescent="0.3">
      <c r="A12" s="2" t="s">
        <v>25</v>
      </c>
      <c r="B12" s="2" t="s">
        <v>204</v>
      </c>
      <c r="C12" s="2" t="s">
        <v>37</v>
      </c>
      <c r="D12" s="2" t="s">
        <v>38</v>
      </c>
      <c r="E12" s="2" t="s">
        <v>29</v>
      </c>
      <c r="F12" s="2"/>
      <c r="G12" s="2" t="s">
        <v>204</v>
      </c>
      <c r="H12" s="2" t="s">
        <v>484</v>
      </c>
      <c r="I12" s="3">
        <v>87</v>
      </c>
      <c r="J12" s="3">
        <v>87</v>
      </c>
      <c r="K12" s="4">
        <f t="shared" si="0"/>
        <v>174</v>
      </c>
      <c r="L12" s="2" t="s">
        <v>31</v>
      </c>
      <c r="M12" s="2" t="s">
        <v>470</v>
      </c>
      <c r="N12" s="2"/>
    </row>
    <row r="13" spans="1:14" x14ac:dyDescent="0.3">
      <c r="A13" s="2" t="s">
        <v>25</v>
      </c>
      <c r="B13" s="2" t="s">
        <v>292</v>
      </c>
      <c r="C13" s="2" t="s">
        <v>37</v>
      </c>
      <c r="D13" s="2" t="s">
        <v>38</v>
      </c>
      <c r="E13" s="2" t="s">
        <v>29</v>
      </c>
      <c r="F13" s="2"/>
      <c r="G13" s="2" t="s">
        <v>292</v>
      </c>
      <c r="H13" s="2" t="s">
        <v>478</v>
      </c>
      <c r="I13" s="3">
        <v>84</v>
      </c>
      <c r="J13" s="3">
        <v>84</v>
      </c>
      <c r="K13" s="4">
        <f t="shared" si="0"/>
        <v>168</v>
      </c>
      <c r="L13" s="2" t="s">
        <v>31</v>
      </c>
      <c r="M13" s="2" t="s">
        <v>470</v>
      </c>
      <c r="N13" s="2"/>
    </row>
    <row r="14" spans="1:14" x14ac:dyDescent="0.3">
      <c r="A14" s="2" t="s">
        <v>25</v>
      </c>
      <c r="B14" s="2" t="s">
        <v>489</v>
      </c>
      <c r="C14" s="2" t="s">
        <v>26</v>
      </c>
      <c r="D14" s="2" t="s">
        <v>38</v>
      </c>
      <c r="E14" s="2" t="s">
        <v>127</v>
      </c>
      <c r="F14" s="2" t="s">
        <v>128</v>
      </c>
      <c r="G14" s="2" t="s">
        <v>490</v>
      </c>
      <c r="H14" s="2" t="s">
        <v>491</v>
      </c>
      <c r="I14" s="3">
        <v>12</v>
      </c>
      <c r="J14" s="3">
        <v>12</v>
      </c>
      <c r="K14" s="4">
        <f t="shared" si="0"/>
        <v>24</v>
      </c>
      <c r="L14" s="2" t="s">
        <v>31</v>
      </c>
      <c r="M14" s="2" t="s">
        <v>470</v>
      </c>
      <c r="N14" s="2"/>
    </row>
    <row r="15" spans="1:14" x14ac:dyDescent="0.3">
      <c r="A15" s="2" t="s">
        <v>25</v>
      </c>
      <c r="B15" s="2" t="s">
        <v>25</v>
      </c>
      <c r="C15" s="2" t="s">
        <v>26</v>
      </c>
      <c r="D15" s="2" t="s">
        <v>38</v>
      </c>
      <c r="E15" s="2" t="s">
        <v>127</v>
      </c>
      <c r="F15" s="2" t="s">
        <v>128</v>
      </c>
      <c r="G15" s="2" t="s">
        <v>25</v>
      </c>
      <c r="H15" s="2" t="s">
        <v>129</v>
      </c>
      <c r="I15" s="3">
        <v>10</v>
      </c>
      <c r="J15" s="3">
        <v>10</v>
      </c>
      <c r="K15" s="4">
        <f t="shared" si="0"/>
        <v>20</v>
      </c>
      <c r="L15" s="2" t="s">
        <v>31</v>
      </c>
      <c r="M15" s="2" t="s">
        <v>919</v>
      </c>
      <c r="N15" s="2" t="s">
        <v>130</v>
      </c>
    </row>
    <row r="16" spans="1:14" x14ac:dyDescent="0.3">
      <c r="A16" s="2" t="s">
        <v>25</v>
      </c>
      <c r="B16" s="2" t="s">
        <v>373</v>
      </c>
      <c r="C16" s="2" t="s">
        <v>236</v>
      </c>
      <c r="D16" s="2" t="s">
        <v>133</v>
      </c>
      <c r="E16" s="2" t="s">
        <v>29</v>
      </c>
      <c r="F16" s="2"/>
      <c r="G16" s="2" t="s">
        <v>373</v>
      </c>
      <c r="H16" s="2" t="s">
        <v>477</v>
      </c>
      <c r="I16" s="3">
        <v>719</v>
      </c>
      <c r="J16" s="3">
        <v>719</v>
      </c>
      <c r="K16" s="4">
        <f t="shared" si="0"/>
        <v>1438</v>
      </c>
      <c r="L16" s="2" t="s">
        <v>31</v>
      </c>
      <c r="M16" s="2" t="s">
        <v>470</v>
      </c>
      <c r="N16" s="2"/>
    </row>
    <row r="17" spans="1:14" x14ac:dyDescent="0.3">
      <c r="A17" s="2" t="s">
        <v>25</v>
      </c>
      <c r="B17" s="2" t="s">
        <v>235</v>
      </c>
      <c r="C17" s="2" t="s">
        <v>236</v>
      </c>
      <c r="D17" s="2" t="s">
        <v>133</v>
      </c>
      <c r="E17" s="2" t="s">
        <v>29</v>
      </c>
      <c r="F17" s="2"/>
      <c r="G17" s="2" t="s">
        <v>235</v>
      </c>
      <c r="H17" s="2" t="s">
        <v>487</v>
      </c>
      <c r="I17" s="3">
        <v>710</v>
      </c>
      <c r="J17" s="3">
        <v>710</v>
      </c>
      <c r="K17" s="4">
        <f t="shared" si="0"/>
        <v>1420</v>
      </c>
      <c r="L17" s="2" t="s">
        <v>31</v>
      </c>
      <c r="M17" s="2" t="s">
        <v>470</v>
      </c>
      <c r="N17" s="2"/>
    </row>
    <row r="18" spans="1:14" x14ac:dyDescent="0.3">
      <c r="A18" s="2" t="s">
        <v>25</v>
      </c>
      <c r="B18" s="2" t="s">
        <v>160</v>
      </c>
      <c r="C18" s="2" t="s">
        <v>161</v>
      </c>
      <c r="D18" s="2" t="s">
        <v>133</v>
      </c>
      <c r="E18" s="2" t="s">
        <v>29</v>
      </c>
      <c r="F18" s="2"/>
      <c r="G18" s="2" t="s">
        <v>160</v>
      </c>
      <c r="H18" s="2" t="s">
        <v>472</v>
      </c>
      <c r="I18" s="3">
        <v>574</v>
      </c>
      <c r="J18" s="3">
        <v>574</v>
      </c>
      <c r="K18" s="4">
        <f t="shared" si="0"/>
        <v>1148</v>
      </c>
      <c r="L18" s="2" t="s">
        <v>31</v>
      </c>
      <c r="M18" s="2" t="s">
        <v>470</v>
      </c>
      <c r="N18" s="2"/>
    </row>
    <row r="19" spans="1:14" x14ac:dyDescent="0.3">
      <c r="A19" s="2" t="s">
        <v>25</v>
      </c>
      <c r="B19" s="2" t="s">
        <v>344</v>
      </c>
      <c r="C19" s="2" t="s">
        <v>140</v>
      </c>
      <c r="D19" s="2" t="s">
        <v>133</v>
      </c>
      <c r="E19" s="2" t="s">
        <v>29</v>
      </c>
      <c r="F19" s="2"/>
      <c r="G19" s="2" t="s">
        <v>344</v>
      </c>
      <c r="H19" s="2" t="s">
        <v>500</v>
      </c>
      <c r="I19" s="3">
        <v>434</v>
      </c>
      <c r="J19" s="3">
        <v>434</v>
      </c>
      <c r="K19" s="4">
        <f t="shared" si="0"/>
        <v>868</v>
      </c>
      <c r="L19" s="2" t="s">
        <v>31</v>
      </c>
      <c r="M19" s="2" t="s">
        <v>470</v>
      </c>
      <c r="N19" s="2"/>
    </row>
    <row r="20" spans="1:14" x14ac:dyDescent="0.3">
      <c r="A20" s="2" t="s">
        <v>25</v>
      </c>
      <c r="B20" s="2" t="s">
        <v>174</v>
      </c>
      <c r="C20" s="2" t="s">
        <v>140</v>
      </c>
      <c r="D20" s="2" t="s">
        <v>133</v>
      </c>
      <c r="E20" s="2" t="s">
        <v>29</v>
      </c>
      <c r="F20" s="2"/>
      <c r="G20" s="2" t="s">
        <v>174</v>
      </c>
      <c r="H20" s="2" t="s">
        <v>473</v>
      </c>
      <c r="I20" s="3">
        <v>393</v>
      </c>
      <c r="J20" s="3">
        <v>393</v>
      </c>
      <c r="K20" s="4">
        <f t="shared" si="0"/>
        <v>786</v>
      </c>
      <c r="L20" s="2" t="s">
        <v>31</v>
      </c>
      <c r="M20" s="2" t="s">
        <v>470</v>
      </c>
      <c r="N20" s="2"/>
    </row>
    <row r="21" spans="1:14" x14ac:dyDescent="0.3">
      <c r="A21" s="2" t="s">
        <v>25</v>
      </c>
      <c r="B21" s="2" t="s">
        <v>139</v>
      </c>
      <c r="C21" s="2" t="s">
        <v>140</v>
      </c>
      <c r="D21" s="2" t="s">
        <v>133</v>
      </c>
      <c r="E21" s="2" t="s">
        <v>29</v>
      </c>
      <c r="F21" s="2"/>
      <c r="G21" s="2" t="s">
        <v>139</v>
      </c>
      <c r="H21" s="2" t="s">
        <v>141</v>
      </c>
      <c r="I21" s="3">
        <v>357</v>
      </c>
      <c r="J21" s="3">
        <v>357</v>
      </c>
      <c r="K21" s="4">
        <f t="shared" si="0"/>
        <v>714</v>
      </c>
      <c r="L21" s="2" t="s">
        <v>31</v>
      </c>
      <c r="M21" s="2" t="s">
        <v>919</v>
      </c>
      <c r="N21" s="2"/>
    </row>
    <row r="22" spans="1:14" x14ac:dyDescent="0.3">
      <c r="A22" s="2" t="s">
        <v>25</v>
      </c>
      <c r="B22" s="2" t="s">
        <v>131</v>
      </c>
      <c r="C22" s="2" t="s">
        <v>132</v>
      </c>
      <c r="D22" s="2" t="s">
        <v>133</v>
      </c>
      <c r="E22" s="2" t="s">
        <v>29</v>
      </c>
      <c r="F22" s="2"/>
      <c r="G22" s="2" t="s">
        <v>131</v>
      </c>
      <c r="H22" s="2" t="s">
        <v>134</v>
      </c>
      <c r="I22" s="3">
        <v>315</v>
      </c>
      <c r="J22" s="3">
        <v>315</v>
      </c>
      <c r="K22" s="4">
        <f t="shared" si="0"/>
        <v>630</v>
      </c>
      <c r="L22" s="2" t="s">
        <v>31</v>
      </c>
      <c r="M22" s="2" t="s">
        <v>24</v>
      </c>
      <c r="N22" s="2"/>
    </row>
    <row r="23" spans="1:14" x14ac:dyDescent="0.3">
      <c r="A23" s="2" t="s">
        <v>25</v>
      </c>
      <c r="B23" s="2" t="s">
        <v>246</v>
      </c>
      <c r="C23" s="2" t="s">
        <v>132</v>
      </c>
      <c r="D23" s="2" t="s">
        <v>133</v>
      </c>
      <c r="E23" s="2" t="s">
        <v>29</v>
      </c>
      <c r="F23" s="2"/>
      <c r="G23" s="2" t="s">
        <v>246</v>
      </c>
      <c r="H23" s="2" t="s">
        <v>471</v>
      </c>
      <c r="I23" s="3">
        <v>273</v>
      </c>
      <c r="J23" s="3">
        <v>273</v>
      </c>
      <c r="K23" s="4">
        <f t="shared" si="0"/>
        <v>546</v>
      </c>
      <c r="L23" s="2" t="s">
        <v>31</v>
      </c>
      <c r="M23" s="2" t="s">
        <v>470</v>
      </c>
      <c r="N23" s="2"/>
    </row>
    <row r="24" spans="1:14" x14ac:dyDescent="0.3">
      <c r="A24" s="2" t="s">
        <v>25</v>
      </c>
      <c r="B24" s="2" t="s">
        <v>145</v>
      </c>
      <c r="C24" s="2" t="s">
        <v>146</v>
      </c>
      <c r="D24" s="2" t="s">
        <v>137</v>
      </c>
      <c r="E24" s="2" t="s">
        <v>29</v>
      </c>
      <c r="F24" s="2"/>
      <c r="G24" s="2" t="s">
        <v>145</v>
      </c>
      <c r="H24" s="2" t="s">
        <v>147</v>
      </c>
      <c r="I24" s="3">
        <v>631</v>
      </c>
      <c r="J24" s="3">
        <v>631</v>
      </c>
      <c r="K24" s="4">
        <f t="shared" si="0"/>
        <v>1262</v>
      </c>
      <c r="L24" s="2" t="s">
        <v>31</v>
      </c>
      <c r="M24" s="2" t="s">
        <v>24</v>
      </c>
      <c r="N24" s="2"/>
    </row>
    <row r="25" spans="1:14" x14ac:dyDescent="0.3">
      <c r="A25" s="2" t="s">
        <v>25</v>
      </c>
      <c r="B25" s="2" t="s">
        <v>135</v>
      </c>
      <c r="C25" s="2" t="s">
        <v>136</v>
      </c>
      <c r="D25" s="2" t="s">
        <v>137</v>
      </c>
      <c r="E25" s="2" t="s">
        <v>29</v>
      </c>
      <c r="F25" s="2"/>
      <c r="G25" s="2" t="s">
        <v>135</v>
      </c>
      <c r="H25" s="2" t="s">
        <v>138</v>
      </c>
      <c r="I25" s="3">
        <v>580</v>
      </c>
      <c r="J25" s="3">
        <v>580</v>
      </c>
      <c r="K25" s="4">
        <f t="shared" si="0"/>
        <v>1160</v>
      </c>
      <c r="L25" s="2" t="s">
        <v>31</v>
      </c>
      <c r="M25" s="2" t="s">
        <v>919</v>
      </c>
      <c r="N25" s="2"/>
    </row>
    <row r="26" spans="1:14" x14ac:dyDescent="0.3">
      <c r="A26" s="2" t="s">
        <v>25</v>
      </c>
      <c r="B26" s="2" t="s">
        <v>503</v>
      </c>
      <c r="C26" s="2" t="s">
        <v>136</v>
      </c>
      <c r="D26" s="2" t="s">
        <v>137</v>
      </c>
      <c r="E26" s="2" t="s">
        <v>29</v>
      </c>
      <c r="F26" s="2"/>
      <c r="G26" s="2" t="s">
        <v>503</v>
      </c>
      <c r="H26" s="2" t="s">
        <v>504</v>
      </c>
      <c r="I26" s="3">
        <v>566</v>
      </c>
      <c r="J26" s="3">
        <v>566</v>
      </c>
      <c r="K26" s="4">
        <f t="shared" si="0"/>
        <v>1132</v>
      </c>
      <c r="L26" s="2" t="s">
        <v>31</v>
      </c>
      <c r="M26" s="2" t="s">
        <v>470</v>
      </c>
      <c r="N26" s="2"/>
    </row>
    <row r="27" spans="1:14" x14ac:dyDescent="0.3">
      <c r="A27" s="2" t="s">
        <v>25</v>
      </c>
      <c r="B27" s="2" t="s">
        <v>358</v>
      </c>
      <c r="C27" s="2" t="s">
        <v>358</v>
      </c>
      <c r="D27" s="2" t="s">
        <v>137</v>
      </c>
      <c r="E27" s="2" t="s">
        <v>29</v>
      </c>
      <c r="F27" s="2"/>
      <c r="G27" s="2" t="s">
        <v>358</v>
      </c>
      <c r="H27" s="2" t="s">
        <v>488</v>
      </c>
      <c r="I27" s="3">
        <v>544</v>
      </c>
      <c r="J27" s="3">
        <v>544</v>
      </c>
      <c r="K27" s="4">
        <f t="shared" si="0"/>
        <v>1088</v>
      </c>
      <c r="L27" s="2" t="s">
        <v>31</v>
      </c>
      <c r="M27" s="2" t="s">
        <v>470</v>
      </c>
      <c r="N27" s="2"/>
    </row>
    <row r="28" spans="1:14" x14ac:dyDescent="0.3">
      <c r="A28" s="2" t="s">
        <v>25</v>
      </c>
      <c r="B28" s="2" t="s">
        <v>474</v>
      </c>
      <c r="C28" s="2" t="s">
        <v>363</v>
      </c>
      <c r="D28" s="2" t="s">
        <v>137</v>
      </c>
      <c r="E28" s="2" t="s">
        <v>29</v>
      </c>
      <c r="F28" s="2"/>
      <c r="G28" s="2" t="s">
        <v>362</v>
      </c>
      <c r="H28" s="2" t="s">
        <v>475</v>
      </c>
      <c r="I28" s="3">
        <v>510</v>
      </c>
      <c r="J28" s="3">
        <v>510</v>
      </c>
      <c r="K28" s="4">
        <f t="shared" si="0"/>
        <v>1020</v>
      </c>
      <c r="L28" s="2" t="s">
        <v>31</v>
      </c>
      <c r="M28" s="2" t="s">
        <v>470</v>
      </c>
      <c r="N28" s="2"/>
    </row>
    <row r="29" spans="1:14" x14ac:dyDescent="0.3">
      <c r="A29" s="2" t="s">
        <v>25</v>
      </c>
      <c r="B29" s="2" t="s">
        <v>371</v>
      </c>
      <c r="C29" s="2" t="s">
        <v>143</v>
      </c>
      <c r="D29" s="2" t="s">
        <v>137</v>
      </c>
      <c r="E29" s="2" t="s">
        <v>29</v>
      </c>
      <c r="F29" s="2"/>
      <c r="G29" s="2" t="s">
        <v>371</v>
      </c>
      <c r="H29" s="2" t="s">
        <v>486</v>
      </c>
      <c r="I29" s="3">
        <v>482</v>
      </c>
      <c r="J29" s="3">
        <v>482</v>
      </c>
      <c r="K29" s="4">
        <f t="shared" si="0"/>
        <v>964</v>
      </c>
      <c r="L29" s="2" t="s">
        <v>31</v>
      </c>
      <c r="M29" s="2" t="s">
        <v>470</v>
      </c>
      <c r="N29" s="2"/>
    </row>
    <row r="30" spans="1:14" x14ac:dyDescent="0.3">
      <c r="A30" s="2" t="s">
        <v>25</v>
      </c>
      <c r="B30" s="2" t="s">
        <v>142</v>
      </c>
      <c r="C30" s="2" t="s">
        <v>143</v>
      </c>
      <c r="D30" s="2" t="s">
        <v>137</v>
      </c>
      <c r="E30" s="2" t="s">
        <v>29</v>
      </c>
      <c r="F30" s="2"/>
      <c r="G30" s="2" t="s">
        <v>142</v>
      </c>
      <c r="H30" s="2" t="s">
        <v>144</v>
      </c>
      <c r="I30" s="3">
        <v>442</v>
      </c>
      <c r="J30" s="3">
        <v>442</v>
      </c>
      <c r="K30" s="4">
        <f t="shared" si="0"/>
        <v>884</v>
      </c>
      <c r="L30" s="2" t="s">
        <v>31</v>
      </c>
      <c r="M30" s="2" t="s">
        <v>919</v>
      </c>
      <c r="N30" s="2"/>
    </row>
    <row r="31" spans="1:14" x14ac:dyDescent="0.3">
      <c r="A31" s="2" t="s">
        <v>25</v>
      </c>
      <c r="B31" s="2" t="s">
        <v>122</v>
      </c>
      <c r="C31" s="2" t="s">
        <v>77</v>
      </c>
      <c r="D31" s="2" t="s">
        <v>45</v>
      </c>
      <c r="E31" s="2" t="s">
        <v>29</v>
      </c>
      <c r="F31" s="2"/>
      <c r="G31" s="2" t="s">
        <v>122</v>
      </c>
      <c r="H31" s="2" t="s">
        <v>123</v>
      </c>
      <c r="I31" s="3">
        <v>899</v>
      </c>
      <c r="J31" s="3">
        <v>899</v>
      </c>
      <c r="K31" s="4">
        <f t="shared" si="0"/>
        <v>1798</v>
      </c>
      <c r="L31" s="2" t="s">
        <v>31</v>
      </c>
      <c r="M31" s="2" t="s">
        <v>24</v>
      </c>
      <c r="N31" s="2"/>
    </row>
    <row r="32" spans="1:14" x14ac:dyDescent="0.3">
      <c r="A32" s="2" t="s">
        <v>25</v>
      </c>
      <c r="B32" s="2" t="s">
        <v>76</v>
      </c>
      <c r="C32" s="2" t="s">
        <v>77</v>
      </c>
      <c r="D32" s="2" t="s">
        <v>45</v>
      </c>
      <c r="E32" s="2" t="s">
        <v>29</v>
      </c>
      <c r="F32" s="2"/>
      <c r="G32" s="2" t="s">
        <v>76</v>
      </c>
      <c r="H32" s="2" t="s">
        <v>78</v>
      </c>
      <c r="I32" s="3">
        <v>858</v>
      </c>
      <c r="J32" s="3">
        <v>858</v>
      </c>
      <c r="K32" s="4">
        <f t="shared" si="0"/>
        <v>1716</v>
      </c>
      <c r="L32" s="2" t="s">
        <v>31</v>
      </c>
      <c r="M32" s="2" t="s">
        <v>919</v>
      </c>
      <c r="N32" s="2"/>
    </row>
    <row r="33" spans="1:14" x14ac:dyDescent="0.3">
      <c r="A33" s="2" t="s">
        <v>25</v>
      </c>
      <c r="B33" s="2" t="s">
        <v>108</v>
      </c>
      <c r="C33" s="2" t="s">
        <v>82</v>
      </c>
      <c r="D33" s="2" t="s">
        <v>45</v>
      </c>
      <c r="E33" s="2" t="s">
        <v>29</v>
      </c>
      <c r="F33" s="2"/>
      <c r="G33" s="2" t="s">
        <v>108</v>
      </c>
      <c r="H33" s="2" t="s">
        <v>109</v>
      </c>
      <c r="I33" s="3">
        <v>788</v>
      </c>
      <c r="J33" s="3">
        <v>788</v>
      </c>
      <c r="K33" s="4">
        <f t="shared" si="0"/>
        <v>1576</v>
      </c>
      <c r="L33" s="2" t="s">
        <v>31</v>
      </c>
      <c r="M33" s="2" t="s">
        <v>919</v>
      </c>
      <c r="N33" s="2"/>
    </row>
    <row r="34" spans="1:14" x14ac:dyDescent="0.3">
      <c r="A34" s="2" t="s">
        <v>25</v>
      </c>
      <c r="B34" s="2" t="s">
        <v>84</v>
      </c>
      <c r="C34" s="2" t="s">
        <v>35</v>
      </c>
      <c r="D34" s="2" t="s">
        <v>45</v>
      </c>
      <c r="E34" s="2" t="s">
        <v>29</v>
      </c>
      <c r="F34" s="2"/>
      <c r="G34" s="2" t="s">
        <v>84</v>
      </c>
      <c r="H34" s="2" t="s">
        <v>85</v>
      </c>
      <c r="I34" s="3">
        <v>733</v>
      </c>
      <c r="J34" s="3">
        <v>733</v>
      </c>
      <c r="K34" s="4">
        <f t="shared" ref="K34:K65" si="1">IF(I34="","",I34+J34)</f>
        <v>1466</v>
      </c>
      <c r="L34" s="2" t="s">
        <v>31</v>
      </c>
      <c r="M34" s="2" t="s">
        <v>24</v>
      </c>
      <c r="N34" s="2"/>
    </row>
    <row r="35" spans="1:14" x14ac:dyDescent="0.3">
      <c r="A35" s="2" t="s">
        <v>25</v>
      </c>
      <c r="B35" s="2" t="s">
        <v>81</v>
      </c>
      <c r="C35" s="2" t="s">
        <v>82</v>
      </c>
      <c r="D35" s="2" t="s">
        <v>45</v>
      </c>
      <c r="E35" s="2" t="s">
        <v>29</v>
      </c>
      <c r="F35" s="2"/>
      <c r="G35" s="2" t="s">
        <v>81</v>
      </c>
      <c r="H35" s="2" t="s">
        <v>83</v>
      </c>
      <c r="I35" s="3">
        <v>716</v>
      </c>
      <c r="J35" s="3">
        <v>716</v>
      </c>
      <c r="K35" s="4">
        <f t="shared" si="1"/>
        <v>1432</v>
      </c>
      <c r="L35" s="2" t="s">
        <v>31</v>
      </c>
      <c r="M35" s="2" t="s">
        <v>24</v>
      </c>
      <c r="N35" s="2"/>
    </row>
    <row r="36" spans="1:14" x14ac:dyDescent="0.3">
      <c r="A36" s="2" t="s">
        <v>25</v>
      </c>
      <c r="B36" s="2" t="s">
        <v>148</v>
      </c>
      <c r="C36" s="2" t="s">
        <v>82</v>
      </c>
      <c r="D36" s="2" t="s">
        <v>45</v>
      </c>
      <c r="E36" s="2" t="s">
        <v>29</v>
      </c>
      <c r="F36" s="2"/>
      <c r="G36" s="2" t="s">
        <v>148</v>
      </c>
      <c r="H36" s="2" t="s">
        <v>149</v>
      </c>
      <c r="I36" s="3">
        <v>655</v>
      </c>
      <c r="J36" s="3">
        <v>655</v>
      </c>
      <c r="K36" s="4">
        <f t="shared" si="1"/>
        <v>1310</v>
      </c>
      <c r="L36" s="2" t="s">
        <v>31</v>
      </c>
      <c r="M36" s="2" t="s">
        <v>24</v>
      </c>
      <c r="N36" s="2"/>
    </row>
    <row r="37" spans="1:14" x14ac:dyDescent="0.3">
      <c r="A37" s="2" t="s">
        <v>25</v>
      </c>
      <c r="B37" s="2" t="s">
        <v>34</v>
      </c>
      <c r="C37" s="2" t="s">
        <v>35</v>
      </c>
      <c r="D37" s="2" t="s">
        <v>45</v>
      </c>
      <c r="E37" s="2" t="s">
        <v>29</v>
      </c>
      <c r="F37" s="2"/>
      <c r="G37" s="2" t="s">
        <v>34</v>
      </c>
      <c r="H37" s="2" t="s">
        <v>86</v>
      </c>
      <c r="I37" s="3">
        <v>654</v>
      </c>
      <c r="J37" s="3">
        <v>654</v>
      </c>
      <c r="K37" s="4">
        <f t="shared" si="1"/>
        <v>1308</v>
      </c>
      <c r="L37" s="2" t="s">
        <v>31</v>
      </c>
      <c r="M37" s="2" t="s">
        <v>24</v>
      </c>
      <c r="N37" s="2"/>
    </row>
    <row r="38" spans="1:14" x14ac:dyDescent="0.3">
      <c r="A38" s="2" t="s">
        <v>25</v>
      </c>
      <c r="B38" s="2" t="s">
        <v>43</v>
      </c>
      <c r="C38" s="2" t="s">
        <v>44</v>
      </c>
      <c r="D38" s="2" t="s">
        <v>45</v>
      </c>
      <c r="E38" s="2" t="s">
        <v>29</v>
      </c>
      <c r="F38" s="2"/>
      <c r="G38" s="2" t="s">
        <v>43</v>
      </c>
      <c r="H38" s="2" t="s">
        <v>46</v>
      </c>
      <c r="I38" s="3">
        <v>612</v>
      </c>
      <c r="J38" s="3">
        <v>612</v>
      </c>
      <c r="K38" s="4">
        <f t="shared" si="1"/>
        <v>1224</v>
      </c>
      <c r="L38" s="2" t="s">
        <v>31</v>
      </c>
      <c r="M38" s="2" t="s">
        <v>919</v>
      </c>
      <c r="N38" s="2"/>
    </row>
    <row r="39" spans="1:14" x14ac:dyDescent="0.3">
      <c r="A39" s="2" t="s">
        <v>25</v>
      </c>
      <c r="B39" s="2" t="s">
        <v>47</v>
      </c>
      <c r="C39" s="2" t="s">
        <v>48</v>
      </c>
      <c r="D39" s="2" t="s">
        <v>45</v>
      </c>
      <c r="E39" s="2" t="s">
        <v>29</v>
      </c>
      <c r="F39" s="2"/>
      <c r="G39" s="2" t="s">
        <v>47</v>
      </c>
      <c r="H39" s="2" t="s">
        <v>49</v>
      </c>
      <c r="I39" s="3">
        <v>578</v>
      </c>
      <c r="J39" s="3">
        <v>578</v>
      </c>
      <c r="K39" s="4">
        <f t="shared" si="1"/>
        <v>1156</v>
      </c>
      <c r="L39" s="2" t="s">
        <v>31</v>
      </c>
      <c r="M39" s="2" t="s">
        <v>24</v>
      </c>
      <c r="N39" s="2"/>
    </row>
    <row r="40" spans="1:14" x14ac:dyDescent="0.3">
      <c r="A40" s="2" t="s">
        <v>25</v>
      </c>
      <c r="B40" s="2" t="s">
        <v>117</v>
      </c>
      <c r="C40" s="2" t="s">
        <v>48</v>
      </c>
      <c r="D40" s="2" t="s">
        <v>45</v>
      </c>
      <c r="E40" s="2" t="s">
        <v>29</v>
      </c>
      <c r="F40" s="2"/>
      <c r="G40" s="2" t="s">
        <v>117</v>
      </c>
      <c r="H40" s="2" t="s">
        <v>118</v>
      </c>
      <c r="I40" s="3">
        <v>546</v>
      </c>
      <c r="J40" s="3">
        <v>546</v>
      </c>
      <c r="K40" s="4">
        <f t="shared" si="1"/>
        <v>1092</v>
      </c>
      <c r="L40" s="2" t="s">
        <v>31</v>
      </c>
      <c r="M40" s="2" t="s">
        <v>24</v>
      </c>
      <c r="N40" s="2"/>
    </row>
    <row r="41" spans="1:14" x14ac:dyDescent="0.3">
      <c r="A41" s="2" t="s">
        <v>25</v>
      </c>
      <c r="B41" s="2" t="s">
        <v>62</v>
      </c>
      <c r="C41" s="2" t="s">
        <v>48</v>
      </c>
      <c r="D41" s="2" t="s">
        <v>45</v>
      </c>
      <c r="E41" s="2" t="s">
        <v>29</v>
      </c>
      <c r="F41" s="2"/>
      <c r="G41" s="2" t="s">
        <v>62</v>
      </c>
      <c r="H41" s="2" t="s">
        <v>63</v>
      </c>
      <c r="I41" s="3">
        <v>535</v>
      </c>
      <c r="J41" s="3">
        <v>535</v>
      </c>
      <c r="K41" s="4">
        <f t="shared" si="1"/>
        <v>1070</v>
      </c>
      <c r="L41" s="2" t="s">
        <v>31</v>
      </c>
      <c r="M41" s="2" t="s">
        <v>919</v>
      </c>
      <c r="N41" s="2"/>
    </row>
    <row r="42" spans="1:14" x14ac:dyDescent="0.3">
      <c r="A42" s="2" t="s">
        <v>25</v>
      </c>
      <c r="B42" s="2" t="s">
        <v>58</v>
      </c>
      <c r="C42" s="2" t="s">
        <v>48</v>
      </c>
      <c r="D42" s="2" t="s">
        <v>45</v>
      </c>
      <c r="E42" s="2" t="s">
        <v>29</v>
      </c>
      <c r="F42" s="2"/>
      <c r="G42" s="2" t="s">
        <v>58</v>
      </c>
      <c r="H42" s="2" t="s">
        <v>59</v>
      </c>
      <c r="I42" s="3">
        <v>527</v>
      </c>
      <c r="J42" s="3">
        <v>527</v>
      </c>
      <c r="K42" s="4">
        <f t="shared" si="1"/>
        <v>1054</v>
      </c>
      <c r="L42" s="2" t="s">
        <v>31</v>
      </c>
      <c r="M42" s="2" t="s">
        <v>24</v>
      </c>
      <c r="N42" s="2"/>
    </row>
    <row r="43" spans="1:14" x14ac:dyDescent="0.3">
      <c r="A43" s="2" t="s">
        <v>25</v>
      </c>
      <c r="B43" s="2" t="s">
        <v>101</v>
      </c>
      <c r="C43" s="2" t="s">
        <v>90</v>
      </c>
      <c r="D43" s="2" t="s">
        <v>45</v>
      </c>
      <c r="E43" s="2" t="s">
        <v>29</v>
      </c>
      <c r="F43" s="2"/>
      <c r="G43" s="2" t="s">
        <v>101</v>
      </c>
      <c r="H43" s="2" t="s">
        <v>102</v>
      </c>
      <c r="I43" s="3">
        <v>500</v>
      </c>
      <c r="J43" s="3">
        <v>500</v>
      </c>
      <c r="K43" s="4">
        <f t="shared" si="1"/>
        <v>1000</v>
      </c>
      <c r="L43" s="2" t="s">
        <v>31</v>
      </c>
      <c r="M43" s="2" t="s">
        <v>24</v>
      </c>
      <c r="N43" s="2"/>
    </row>
    <row r="44" spans="1:14" x14ac:dyDescent="0.3">
      <c r="A44" s="2" t="s">
        <v>25</v>
      </c>
      <c r="B44" s="2" t="s">
        <v>115</v>
      </c>
      <c r="C44" s="2" t="s">
        <v>44</v>
      </c>
      <c r="D44" s="2" t="s">
        <v>45</v>
      </c>
      <c r="E44" s="2" t="s">
        <v>29</v>
      </c>
      <c r="F44" s="2"/>
      <c r="G44" s="2" t="s">
        <v>115</v>
      </c>
      <c r="H44" s="2" t="s">
        <v>116</v>
      </c>
      <c r="I44" s="3">
        <v>500</v>
      </c>
      <c r="J44" s="3">
        <v>500</v>
      </c>
      <c r="K44" s="4">
        <f t="shared" si="1"/>
        <v>1000</v>
      </c>
      <c r="L44" s="2" t="s">
        <v>31</v>
      </c>
      <c r="M44" s="2" t="s">
        <v>24</v>
      </c>
      <c r="N44" s="2"/>
    </row>
    <row r="45" spans="1:14" x14ac:dyDescent="0.3">
      <c r="A45" s="2" t="s">
        <v>25</v>
      </c>
      <c r="B45" s="2" t="s">
        <v>99</v>
      </c>
      <c r="C45" s="2" t="s">
        <v>90</v>
      </c>
      <c r="D45" s="2" t="s">
        <v>45</v>
      </c>
      <c r="E45" s="2" t="s">
        <v>29</v>
      </c>
      <c r="F45" s="2"/>
      <c r="G45" s="2" t="s">
        <v>99</v>
      </c>
      <c r="H45" s="2" t="s">
        <v>100</v>
      </c>
      <c r="I45" s="3">
        <v>444</v>
      </c>
      <c r="J45" s="3">
        <v>444</v>
      </c>
      <c r="K45" s="4">
        <f t="shared" si="1"/>
        <v>888</v>
      </c>
      <c r="L45" s="2" t="s">
        <v>31</v>
      </c>
      <c r="M45" s="2" t="s">
        <v>24</v>
      </c>
      <c r="N45" s="2"/>
    </row>
    <row r="46" spans="1:14" x14ac:dyDescent="0.3">
      <c r="A46" s="2" t="s">
        <v>25</v>
      </c>
      <c r="B46" s="2" t="s">
        <v>89</v>
      </c>
      <c r="C46" s="2" t="s">
        <v>90</v>
      </c>
      <c r="D46" s="2" t="s">
        <v>45</v>
      </c>
      <c r="E46" s="2" t="s">
        <v>29</v>
      </c>
      <c r="F46" s="2"/>
      <c r="G46" s="2" t="s">
        <v>89</v>
      </c>
      <c r="H46" s="2" t="s">
        <v>91</v>
      </c>
      <c r="I46" s="3">
        <v>441</v>
      </c>
      <c r="J46" s="3">
        <v>441</v>
      </c>
      <c r="K46" s="4">
        <f t="shared" si="1"/>
        <v>882</v>
      </c>
      <c r="L46" s="2" t="s">
        <v>31</v>
      </c>
      <c r="M46" s="2" t="s">
        <v>24</v>
      </c>
      <c r="N46" s="2"/>
    </row>
    <row r="47" spans="1:14" x14ac:dyDescent="0.3">
      <c r="A47" s="2" t="s">
        <v>25</v>
      </c>
      <c r="B47" s="2" t="s">
        <v>87</v>
      </c>
      <c r="C47" s="2" t="s">
        <v>48</v>
      </c>
      <c r="D47" s="2" t="s">
        <v>45</v>
      </c>
      <c r="E47" s="2" t="s">
        <v>29</v>
      </c>
      <c r="F47" s="2"/>
      <c r="G47" s="2" t="s">
        <v>87</v>
      </c>
      <c r="H47" s="2" t="s">
        <v>88</v>
      </c>
      <c r="I47" s="3">
        <v>420</v>
      </c>
      <c r="J47" s="3">
        <v>420</v>
      </c>
      <c r="K47" s="4">
        <f t="shared" si="1"/>
        <v>840</v>
      </c>
      <c r="L47" s="2" t="s">
        <v>31</v>
      </c>
      <c r="M47" s="2" t="s">
        <v>24</v>
      </c>
      <c r="N47" s="2"/>
    </row>
    <row r="48" spans="1:14" x14ac:dyDescent="0.3">
      <c r="A48" s="2" t="s">
        <v>25</v>
      </c>
      <c r="B48" s="2" t="s">
        <v>95</v>
      </c>
      <c r="C48" s="2" t="s">
        <v>90</v>
      </c>
      <c r="D48" s="2" t="s">
        <v>45</v>
      </c>
      <c r="E48" s="2" t="s">
        <v>29</v>
      </c>
      <c r="F48" s="2"/>
      <c r="G48" s="2" t="s">
        <v>95</v>
      </c>
      <c r="H48" s="2" t="s">
        <v>96</v>
      </c>
      <c r="I48" s="3">
        <v>318</v>
      </c>
      <c r="J48" s="3">
        <v>318</v>
      </c>
      <c r="K48" s="4">
        <f t="shared" si="1"/>
        <v>636</v>
      </c>
      <c r="L48" s="2" t="s">
        <v>31</v>
      </c>
      <c r="M48" s="2" t="s">
        <v>24</v>
      </c>
      <c r="N48" s="2"/>
    </row>
    <row r="49" spans="1:14" x14ac:dyDescent="0.3">
      <c r="A49" s="2" t="s">
        <v>25</v>
      </c>
      <c r="B49" s="2" t="s">
        <v>229</v>
      </c>
      <c r="C49" s="2" t="s">
        <v>230</v>
      </c>
      <c r="D49" s="2" t="s">
        <v>45</v>
      </c>
      <c r="E49" s="2" t="s">
        <v>29</v>
      </c>
      <c r="F49" s="2"/>
      <c r="G49" s="2" t="s">
        <v>229</v>
      </c>
      <c r="H49" s="2" t="s">
        <v>485</v>
      </c>
      <c r="I49" s="3">
        <v>185</v>
      </c>
      <c r="J49" s="3">
        <v>185</v>
      </c>
      <c r="K49" s="4">
        <f t="shared" si="1"/>
        <v>370</v>
      </c>
      <c r="L49" s="2" t="s">
        <v>31</v>
      </c>
      <c r="M49" s="2" t="s">
        <v>470</v>
      </c>
      <c r="N49" s="2"/>
    </row>
    <row r="50" spans="1:14" x14ac:dyDescent="0.3">
      <c r="A50" s="2" t="s">
        <v>25</v>
      </c>
      <c r="B50" s="2" t="s">
        <v>119</v>
      </c>
      <c r="C50" s="2" t="s">
        <v>120</v>
      </c>
      <c r="D50" s="2" t="s">
        <v>54</v>
      </c>
      <c r="E50" s="2" t="s">
        <v>29</v>
      </c>
      <c r="F50" s="2"/>
      <c r="G50" s="2" t="s">
        <v>119</v>
      </c>
      <c r="H50" s="2" t="s">
        <v>121</v>
      </c>
      <c r="I50" s="3">
        <v>1469</v>
      </c>
      <c r="J50" s="3">
        <v>1469</v>
      </c>
      <c r="K50" s="4">
        <f t="shared" si="1"/>
        <v>2938</v>
      </c>
      <c r="L50" s="2" t="s">
        <v>31</v>
      </c>
      <c r="M50" s="2" t="s">
        <v>24</v>
      </c>
      <c r="N50" s="2"/>
    </row>
    <row r="51" spans="1:14" x14ac:dyDescent="0.3">
      <c r="A51" s="2" t="s">
        <v>25</v>
      </c>
      <c r="B51" s="2" t="s">
        <v>113</v>
      </c>
      <c r="C51" s="2" t="s">
        <v>73</v>
      </c>
      <c r="D51" s="2" t="s">
        <v>54</v>
      </c>
      <c r="E51" s="2" t="s">
        <v>29</v>
      </c>
      <c r="F51" s="2"/>
      <c r="G51" s="2" t="s">
        <v>113</v>
      </c>
      <c r="H51" s="2" t="s">
        <v>114</v>
      </c>
      <c r="I51" s="3">
        <v>1401</v>
      </c>
      <c r="J51" s="3">
        <v>1401</v>
      </c>
      <c r="K51" s="4">
        <f t="shared" si="1"/>
        <v>2802</v>
      </c>
      <c r="L51" s="2" t="s">
        <v>31</v>
      </c>
      <c r="M51" s="2" t="s">
        <v>24</v>
      </c>
      <c r="N51" s="2"/>
    </row>
    <row r="52" spans="1:14" x14ac:dyDescent="0.3">
      <c r="A52" s="2" t="s">
        <v>25</v>
      </c>
      <c r="B52" s="2" t="s">
        <v>72</v>
      </c>
      <c r="C52" s="2" t="s">
        <v>73</v>
      </c>
      <c r="D52" s="2" t="s">
        <v>54</v>
      </c>
      <c r="E52" s="2" t="s">
        <v>29</v>
      </c>
      <c r="F52" s="2"/>
      <c r="G52" s="2" t="s">
        <v>72</v>
      </c>
      <c r="H52" s="2" t="s">
        <v>74</v>
      </c>
      <c r="I52" s="3">
        <v>1258</v>
      </c>
      <c r="J52" s="3">
        <v>1258</v>
      </c>
      <c r="K52" s="4">
        <f t="shared" si="1"/>
        <v>2516</v>
      </c>
      <c r="L52" s="2" t="s">
        <v>31</v>
      </c>
      <c r="M52" s="2" t="s">
        <v>24</v>
      </c>
      <c r="N52" s="2"/>
    </row>
    <row r="53" spans="1:14" x14ac:dyDescent="0.3">
      <c r="A53" s="2" t="s">
        <v>25</v>
      </c>
      <c r="B53" s="2" t="s">
        <v>110</v>
      </c>
      <c r="C53" s="2" t="s">
        <v>111</v>
      </c>
      <c r="D53" s="2" t="s">
        <v>54</v>
      </c>
      <c r="E53" s="2" t="s">
        <v>29</v>
      </c>
      <c r="F53" s="2"/>
      <c r="G53" s="2" t="s">
        <v>110</v>
      </c>
      <c r="H53" s="2" t="s">
        <v>112</v>
      </c>
      <c r="I53" s="3">
        <v>1199</v>
      </c>
      <c r="J53" s="3">
        <v>1199</v>
      </c>
      <c r="K53" s="4">
        <f t="shared" si="1"/>
        <v>2398</v>
      </c>
      <c r="L53" s="2" t="s">
        <v>31</v>
      </c>
      <c r="M53" s="2" t="s">
        <v>24</v>
      </c>
      <c r="N53" s="2"/>
    </row>
    <row r="54" spans="1:14" x14ac:dyDescent="0.3">
      <c r="A54" s="2" t="s">
        <v>25</v>
      </c>
      <c r="B54" s="2" t="s">
        <v>106</v>
      </c>
      <c r="C54" s="2" t="s">
        <v>73</v>
      </c>
      <c r="D54" s="2" t="s">
        <v>54</v>
      </c>
      <c r="E54" s="2" t="s">
        <v>29</v>
      </c>
      <c r="F54" s="2"/>
      <c r="G54" s="2" t="s">
        <v>106</v>
      </c>
      <c r="H54" s="2" t="s">
        <v>107</v>
      </c>
      <c r="I54" s="3">
        <v>1177</v>
      </c>
      <c r="J54" s="3">
        <v>1177</v>
      </c>
      <c r="K54" s="4">
        <f t="shared" si="1"/>
        <v>2354</v>
      </c>
      <c r="L54" s="2" t="s">
        <v>31</v>
      </c>
      <c r="M54" s="2" t="s">
        <v>24</v>
      </c>
      <c r="N54" s="2"/>
    </row>
    <row r="55" spans="1:14" x14ac:dyDescent="0.3">
      <c r="A55" s="2" t="s">
        <v>25</v>
      </c>
      <c r="B55" s="2" t="s">
        <v>60</v>
      </c>
      <c r="C55" s="2" t="s">
        <v>60</v>
      </c>
      <c r="D55" s="2" t="s">
        <v>54</v>
      </c>
      <c r="E55" s="2" t="s">
        <v>29</v>
      </c>
      <c r="F55" s="2"/>
      <c r="G55" s="2" t="s">
        <v>60</v>
      </c>
      <c r="H55" s="2" t="s">
        <v>61</v>
      </c>
      <c r="I55" s="3">
        <v>1120</v>
      </c>
      <c r="J55" s="3">
        <v>1120</v>
      </c>
      <c r="K55" s="4">
        <f t="shared" si="1"/>
        <v>2240</v>
      </c>
      <c r="L55" s="2" t="s">
        <v>31</v>
      </c>
      <c r="M55" s="2" t="s">
        <v>24</v>
      </c>
      <c r="N55" s="2"/>
    </row>
    <row r="56" spans="1:14" x14ac:dyDescent="0.3">
      <c r="A56" s="2" t="s">
        <v>25</v>
      </c>
      <c r="B56" s="2" t="s">
        <v>56</v>
      </c>
      <c r="C56" s="2" t="s">
        <v>53</v>
      </c>
      <c r="D56" s="2" t="s">
        <v>54</v>
      </c>
      <c r="E56" s="2" t="s">
        <v>29</v>
      </c>
      <c r="F56" s="2"/>
      <c r="G56" s="2" t="s">
        <v>56</v>
      </c>
      <c r="H56" s="2" t="s">
        <v>57</v>
      </c>
      <c r="I56" s="3">
        <v>1090</v>
      </c>
      <c r="J56" s="3">
        <v>1090</v>
      </c>
      <c r="K56" s="4">
        <f t="shared" si="1"/>
        <v>2180</v>
      </c>
      <c r="L56" s="2" t="s">
        <v>31</v>
      </c>
      <c r="M56" s="2" t="s">
        <v>24</v>
      </c>
      <c r="N56" s="2"/>
    </row>
    <row r="57" spans="1:14" x14ac:dyDescent="0.3">
      <c r="A57" s="2" t="s">
        <v>25</v>
      </c>
      <c r="B57" s="2" t="s">
        <v>70</v>
      </c>
      <c r="C57" s="2" t="s">
        <v>70</v>
      </c>
      <c r="D57" s="2" t="s">
        <v>54</v>
      </c>
      <c r="E57" s="2" t="s">
        <v>29</v>
      </c>
      <c r="F57" s="2"/>
      <c r="G57" s="2" t="s">
        <v>70</v>
      </c>
      <c r="H57" s="2" t="s">
        <v>71</v>
      </c>
      <c r="I57" s="3">
        <v>949</v>
      </c>
      <c r="J57" s="3">
        <v>949</v>
      </c>
      <c r="K57" s="4">
        <f t="shared" si="1"/>
        <v>1898</v>
      </c>
      <c r="L57" s="2" t="s">
        <v>31</v>
      </c>
      <c r="M57" s="2" t="s">
        <v>24</v>
      </c>
      <c r="N57" s="2"/>
    </row>
    <row r="58" spans="1:14" x14ac:dyDescent="0.3">
      <c r="A58" s="2" t="s">
        <v>25</v>
      </c>
      <c r="B58" s="2" t="s">
        <v>97</v>
      </c>
      <c r="C58" s="2" t="s">
        <v>53</v>
      </c>
      <c r="D58" s="2" t="s">
        <v>54</v>
      </c>
      <c r="E58" s="2" t="s">
        <v>29</v>
      </c>
      <c r="F58" s="2"/>
      <c r="G58" s="2" t="s">
        <v>97</v>
      </c>
      <c r="H58" s="2" t="s">
        <v>98</v>
      </c>
      <c r="I58" s="3">
        <v>873</v>
      </c>
      <c r="J58" s="3">
        <v>873</v>
      </c>
      <c r="K58" s="4">
        <f t="shared" si="1"/>
        <v>1746</v>
      </c>
      <c r="L58" s="2" t="s">
        <v>31</v>
      </c>
      <c r="M58" s="2" t="s">
        <v>24</v>
      </c>
      <c r="N58" s="2"/>
    </row>
    <row r="59" spans="1:14" x14ac:dyDescent="0.3">
      <c r="A59" s="2" t="s">
        <v>25</v>
      </c>
      <c r="B59" s="2" t="s">
        <v>52</v>
      </c>
      <c r="C59" s="2" t="s">
        <v>53</v>
      </c>
      <c r="D59" s="2" t="s">
        <v>54</v>
      </c>
      <c r="E59" s="2" t="s">
        <v>29</v>
      </c>
      <c r="F59" s="2"/>
      <c r="G59" s="2" t="s">
        <v>52</v>
      </c>
      <c r="H59" s="2" t="s">
        <v>55</v>
      </c>
      <c r="I59" s="3">
        <v>846</v>
      </c>
      <c r="J59" s="3">
        <v>846</v>
      </c>
      <c r="K59" s="4">
        <f t="shared" si="1"/>
        <v>1692</v>
      </c>
      <c r="L59" s="2" t="s">
        <v>31</v>
      </c>
      <c r="M59" s="2" t="s">
        <v>24</v>
      </c>
      <c r="N59" s="2"/>
    </row>
    <row r="60" spans="1:14" x14ac:dyDescent="0.3">
      <c r="A60" s="2" t="s">
        <v>25</v>
      </c>
      <c r="B60" s="2" t="s">
        <v>27</v>
      </c>
      <c r="C60" s="2" t="s">
        <v>27</v>
      </c>
      <c r="D60" s="2" t="s">
        <v>28</v>
      </c>
      <c r="E60" s="2" t="s">
        <v>29</v>
      </c>
      <c r="F60" s="2"/>
      <c r="G60" s="2" t="s">
        <v>27</v>
      </c>
      <c r="H60" s="2" t="s">
        <v>30</v>
      </c>
      <c r="I60" s="3">
        <v>876</v>
      </c>
      <c r="J60" s="3">
        <v>876</v>
      </c>
      <c r="K60" s="4">
        <f t="shared" si="1"/>
        <v>1752</v>
      </c>
      <c r="L60" s="2" t="s">
        <v>31</v>
      </c>
      <c r="M60" s="2" t="s">
        <v>919</v>
      </c>
      <c r="N60" s="2"/>
    </row>
    <row r="61" spans="1:14" x14ac:dyDescent="0.3">
      <c r="A61" s="2" t="s">
        <v>25</v>
      </c>
      <c r="B61" s="2" t="s">
        <v>50</v>
      </c>
      <c r="C61" s="2" t="s">
        <v>50</v>
      </c>
      <c r="D61" s="2" t="s">
        <v>28</v>
      </c>
      <c r="E61" s="2" t="s">
        <v>29</v>
      </c>
      <c r="F61" s="2"/>
      <c r="G61" s="2" t="s">
        <v>50</v>
      </c>
      <c r="H61" s="2" t="s">
        <v>51</v>
      </c>
      <c r="I61" s="3">
        <v>787</v>
      </c>
      <c r="J61" s="3">
        <v>787</v>
      </c>
      <c r="K61" s="4">
        <f t="shared" si="1"/>
        <v>1574</v>
      </c>
      <c r="L61" s="2" t="s">
        <v>31</v>
      </c>
      <c r="M61" s="2" t="s">
        <v>24</v>
      </c>
      <c r="N61" s="2"/>
    </row>
    <row r="62" spans="1:14" x14ac:dyDescent="0.3">
      <c r="A62" s="2" t="s">
        <v>25</v>
      </c>
      <c r="B62" s="2" t="s">
        <v>79</v>
      </c>
      <c r="C62" s="2" t="s">
        <v>65</v>
      </c>
      <c r="D62" s="2" t="s">
        <v>28</v>
      </c>
      <c r="E62" s="2" t="s">
        <v>29</v>
      </c>
      <c r="F62" s="2"/>
      <c r="G62" s="2" t="s">
        <v>79</v>
      </c>
      <c r="H62" s="2" t="s">
        <v>80</v>
      </c>
      <c r="I62" s="3">
        <v>759</v>
      </c>
      <c r="J62" s="3">
        <v>759</v>
      </c>
      <c r="K62" s="4">
        <f t="shared" si="1"/>
        <v>1518</v>
      </c>
      <c r="L62" s="2" t="s">
        <v>31</v>
      </c>
      <c r="M62" s="2" t="s">
        <v>24</v>
      </c>
      <c r="N62" s="2"/>
    </row>
    <row r="63" spans="1:14" x14ac:dyDescent="0.3">
      <c r="A63" s="2" t="s">
        <v>25</v>
      </c>
      <c r="B63" s="2" t="s">
        <v>92</v>
      </c>
      <c r="C63" s="2" t="s">
        <v>93</v>
      </c>
      <c r="D63" s="2" t="s">
        <v>28</v>
      </c>
      <c r="E63" s="2" t="s">
        <v>29</v>
      </c>
      <c r="F63" s="2"/>
      <c r="G63" s="2" t="s">
        <v>92</v>
      </c>
      <c r="H63" s="2" t="s">
        <v>94</v>
      </c>
      <c r="I63" s="3">
        <v>744</v>
      </c>
      <c r="J63" s="3">
        <v>744</v>
      </c>
      <c r="K63" s="4">
        <f t="shared" si="1"/>
        <v>1488</v>
      </c>
      <c r="L63" s="2" t="s">
        <v>31</v>
      </c>
      <c r="M63" s="2" t="s">
        <v>24</v>
      </c>
      <c r="N63" s="2"/>
    </row>
    <row r="64" spans="1:14" x14ac:dyDescent="0.3">
      <c r="A64" s="2" t="s">
        <v>25</v>
      </c>
      <c r="B64" s="2" t="s">
        <v>67</v>
      </c>
      <c r="C64" s="2" t="s">
        <v>68</v>
      </c>
      <c r="D64" s="2" t="s">
        <v>28</v>
      </c>
      <c r="E64" s="2" t="s">
        <v>29</v>
      </c>
      <c r="F64" s="2"/>
      <c r="G64" s="2" t="s">
        <v>67</v>
      </c>
      <c r="H64" s="2" t="s">
        <v>69</v>
      </c>
      <c r="I64" s="3">
        <v>721</v>
      </c>
      <c r="J64" s="3">
        <v>721</v>
      </c>
      <c r="K64" s="4">
        <f t="shared" si="1"/>
        <v>1442</v>
      </c>
      <c r="L64" s="2" t="s">
        <v>31</v>
      </c>
      <c r="M64" s="2" t="s">
        <v>24</v>
      </c>
      <c r="N64" s="2"/>
    </row>
    <row r="65" spans="1:14" x14ac:dyDescent="0.3">
      <c r="A65" s="2" t="s">
        <v>25</v>
      </c>
      <c r="B65" s="2" t="s">
        <v>64</v>
      </c>
      <c r="C65" s="2" t="s">
        <v>65</v>
      </c>
      <c r="D65" s="2" t="s">
        <v>28</v>
      </c>
      <c r="E65" s="2" t="s">
        <v>29</v>
      </c>
      <c r="F65" s="2"/>
      <c r="G65" s="2" t="s">
        <v>64</v>
      </c>
      <c r="H65" s="2" t="s">
        <v>66</v>
      </c>
      <c r="I65" s="3">
        <v>713</v>
      </c>
      <c r="J65" s="3">
        <v>713</v>
      </c>
      <c r="K65" s="4">
        <f t="shared" si="1"/>
        <v>1426</v>
      </c>
      <c r="L65" s="2" t="s">
        <v>31</v>
      </c>
      <c r="M65" s="2" t="s">
        <v>24</v>
      </c>
      <c r="N65" s="2"/>
    </row>
    <row r="66" spans="1:14" x14ac:dyDescent="0.3">
      <c r="A66" s="2" t="s">
        <v>25</v>
      </c>
      <c r="B66" s="2" t="s">
        <v>65</v>
      </c>
      <c r="C66" s="2" t="s">
        <v>65</v>
      </c>
      <c r="D66" s="2" t="s">
        <v>28</v>
      </c>
      <c r="E66" s="2" t="s">
        <v>29</v>
      </c>
      <c r="F66" s="2"/>
      <c r="G66" s="2" t="s">
        <v>65</v>
      </c>
      <c r="H66" s="2" t="s">
        <v>75</v>
      </c>
      <c r="I66" s="3">
        <v>635</v>
      </c>
      <c r="J66" s="3">
        <v>635</v>
      </c>
      <c r="K66" s="4">
        <f t="shared" ref="K66:K97" si="2">IF(I66="","",I66+J66)</f>
        <v>1270</v>
      </c>
      <c r="L66" s="2" t="s">
        <v>31</v>
      </c>
      <c r="M66" s="2" t="s">
        <v>919</v>
      </c>
      <c r="N66" s="2"/>
    </row>
    <row r="67" spans="1:14" x14ac:dyDescent="0.3">
      <c r="A67" s="2" t="s">
        <v>25</v>
      </c>
      <c r="B67" s="2" t="s">
        <v>124</v>
      </c>
      <c r="C67" s="2" t="s">
        <v>104</v>
      </c>
      <c r="D67" s="2" t="s">
        <v>28</v>
      </c>
      <c r="E67" s="2" t="s">
        <v>29</v>
      </c>
      <c r="F67" s="2"/>
      <c r="G67" s="2" t="s">
        <v>125</v>
      </c>
      <c r="H67" s="2" t="s">
        <v>126</v>
      </c>
      <c r="I67" s="3">
        <v>553</v>
      </c>
      <c r="J67" s="3">
        <v>553</v>
      </c>
      <c r="K67" s="4">
        <f t="shared" si="2"/>
        <v>1106</v>
      </c>
      <c r="L67" s="2" t="s">
        <v>31</v>
      </c>
      <c r="M67" s="2" t="s">
        <v>24</v>
      </c>
      <c r="N67" s="2"/>
    </row>
    <row r="68" spans="1:14" x14ac:dyDescent="0.3">
      <c r="A68" s="2" t="s">
        <v>25</v>
      </c>
      <c r="B68" s="2" t="s">
        <v>103</v>
      </c>
      <c r="C68" s="2" t="s">
        <v>104</v>
      </c>
      <c r="D68" s="2" t="s">
        <v>28</v>
      </c>
      <c r="E68" s="2" t="s">
        <v>29</v>
      </c>
      <c r="F68" s="2"/>
      <c r="G68" s="2" t="s">
        <v>103</v>
      </c>
      <c r="H68" s="2" t="s">
        <v>105</v>
      </c>
      <c r="I68" s="3">
        <v>480</v>
      </c>
      <c r="J68" s="3">
        <v>480</v>
      </c>
      <c r="K68" s="4">
        <f t="shared" si="2"/>
        <v>960</v>
      </c>
      <c r="L68" s="2" t="s">
        <v>31</v>
      </c>
      <c r="M68" s="2" t="s">
        <v>24</v>
      </c>
      <c r="N68" s="2"/>
    </row>
  </sheetData>
  <autoFilter ref="A1:N68" xr:uid="{00000000-0009-0000-0000-000002000000}"/>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1"/>
  <sheetViews>
    <sheetView zoomScaleNormal="100" workbookViewId="0">
      <pane xSplit="2" ySplit="1" topLeftCell="K2" activePane="bottomRight" state="frozen"/>
      <selection pane="topRight" activeCell="C1" sqref="C1"/>
      <selection pane="bottomLeft" activeCell="A2" sqref="A2"/>
      <selection pane="bottomRight" activeCell="N3" sqref="N3"/>
    </sheetView>
  </sheetViews>
  <sheetFormatPr defaultColWidth="8.6640625" defaultRowHeight="14.4" x14ac:dyDescent="0.3"/>
  <cols>
    <col min="1" max="1" width="16" customWidth="1"/>
    <col min="2" max="2" width="34" customWidth="1"/>
    <col min="3" max="3" width="14" customWidth="1"/>
    <col min="4" max="4" width="15" customWidth="1"/>
    <col min="5" max="5" width="17" customWidth="1"/>
    <col min="6" max="6" width="18" customWidth="1"/>
    <col min="7" max="7" width="40" customWidth="1"/>
    <col min="8" max="8" width="60" customWidth="1"/>
    <col min="9" max="10" width="11" customWidth="1"/>
    <col min="11" max="11" width="12" customWidth="1"/>
    <col min="12" max="12" width="20" customWidth="1"/>
    <col min="13" max="13" width="30" customWidth="1"/>
    <col min="14" max="14" width="82.6640625" bestFit="1" customWidth="1"/>
  </cols>
  <sheetData>
    <row r="1" spans="1:14" ht="33.75" customHeight="1" x14ac:dyDescent="0.3">
      <c r="A1" s="1" t="s">
        <v>6</v>
      </c>
      <c r="B1" s="1" t="s">
        <v>903</v>
      </c>
      <c r="C1" s="1" t="s">
        <v>9</v>
      </c>
      <c r="D1" s="1" t="s">
        <v>904</v>
      </c>
      <c r="E1" s="1" t="s">
        <v>11</v>
      </c>
      <c r="F1" s="1" t="s">
        <v>12</v>
      </c>
      <c r="G1" s="1" t="s">
        <v>13</v>
      </c>
      <c r="H1" s="1" t="s">
        <v>14</v>
      </c>
      <c r="I1" s="1" t="s">
        <v>15</v>
      </c>
      <c r="J1" s="1" t="s">
        <v>16</v>
      </c>
      <c r="K1" s="1" t="s">
        <v>17</v>
      </c>
      <c r="L1" s="1" t="s">
        <v>18</v>
      </c>
      <c r="M1" s="1" t="s">
        <v>905</v>
      </c>
      <c r="N1" s="1" t="s">
        <v>19</v>
      </c>
    </row>
    <row r="2" spans="1:14" x14ac:dyDescent="0.3">
      <c r="A2" s="2" t="s">
        <v>160</v>
      </c>
      <c r="B2" s="2" t="s">
        <v>592</v>
      </c>
      <c r="C2" s="2" t="s">
        <v>236</v>
      </c>
      <c r="D2" s="2" t="s">
        <v>133</v>
      </c>
      <c r="E2" s="2" t="s">
        <v>29</v>
      </c>
      <c r="F2" s="2"/>
      <c r="G2" s="2" t="s">
        <v>592</v>
      </c>
      <c r="H2" s="2" t="s">
        <v>593</v>
      </c>
      <c r="I2" s="3">
        <v>412</v>
      </c>
      <c r="J2" s="3">
        <v>412</v>
      </c>
      <c r="K2" s="4">
        <f t="shared" ref="K2:K33" si="0">IF(I2="","",I2+J2)</f>
        <v>824</v>
      </c>
      <c r="L2" s="2" t="s">
        <v>31</v>
      </c>
      <c r="M2" s="2" t="s">
        <v>168</v>
      </c>
      <c r="N2" s="2" t="s">
        <v>594</v>
      </c>
    </row>
    <row r="3" spans="1:14" x14ac:dyDescent="0.3">
      <c r="A3" s="2" t="s">
        <v>160</v>
      </c>
      <c r="B3" s="2" t="s">
        <v>599</v>
      </c>
      <c r="C3" s="2" t="s">
        <v>236</v>
      </c>
      <c r="D3" s="2" t="s">
        <v>133</v>
      </c>
      <c r="E3" s="2" t="s">
        <v>29</v>
      </c>
      <c r="F3" s="2"/>
      <c r="G3" s="2" t="s">
        <v>599</v>
      </c>
      <c r="H3" s="2" t="s">
        <v>600</v>
      </c>
      <c r="I3" s="3">
        <v>375</v>
      </c>
      <c r="J3" s="3">
        <v>375</v>
      </c>
      <c r="K3" s="4">
        <f t="shared" si="0"/>
        <v>750</v>
      </c>
      <c r="L3" s="2" t="s">
        <v>31</v>
      </c>
      <c r="M3" s="2" t="s">
        <v>168</v>
      </c>
      <c r="N3" s="2" t="s">
        <v>594</v>
      </c>
    </row>
    <row r="4" spans="1:14" x14ac:dyDescent="0.3">
      <c r="A4" s="2" t="s">
        <v>160</v>
      </c>
      <c r="B4" s="2" t="s">
        <v>426</v>
      </c>
      <c r="C4" s="2" t="s">
        <v>132</v>
      </c>
      <c r="D4" s="2" t="s">
        <v>133</v>
      </c>
      <c r="E4" s="2" t="s">
        <v>29</v>
      </c>
      <c r="F4" s="2"/>
      <c r="G4" s="2" t="s">
        <v>426</v>
      </c>
      <c r="H4" s="2" t="s">
        <v>604</v>
      </c>
      <c r="I4" s="3">
        <v>352</v>
      </c>
      <c r="J4" s="3">
        <v>352</v>
      </c>
      <c r="K4" s="4">
        <f t="shared" si="0"/>
        <v>704</v>
      </c>
      <c r="L4" s="2" t="s">
        <v>31</v>
      </c>
      <c r="M4" s="2" t="s">
        <v>168</v>
      </c>
      <c r="N4" s="2" t="s">
        <v>594</v>
      </c>
    </row>
    <row r="5" spans="1:14" x14ac:dyDescent="0.3">
      <c r="A5" s="2" t="s">
        <v>160</v>
      </c>
      <c r="B5" s="2" t="s">
        <v>131</v>
      </c>
      <c r="C5" s="2" t="s">
        <v>132</v>
      </c>
      <c r="D5" s="2" t="s">
        <v>133</v>
      </c>
      <c r="E5" s="2" t="s">
        <v>29</v>
      </c>
      <c r="F5" s="2"/>
      <c r="G5" s="2" t="s">
        <v>131</v>
      </c>
      <c r="H5" s="2" t="s">
        <v>603</v>
      </c>
      <c r="I5" s="3">
        <v>308</v>
      </c>
      <c r="J5" s="3">
        <v>308</v>
      </c>
      <c r="K5" s="4">
        <f t="shared" si="0"/>
        <v>616</v>
      </c>
      <c r="L5" s="2" t="s">
        <v>31</v>
      </c>
      <c r="M5" s="2" t="s">
        <v>168</v>
      </c>
      <c r="N5" s="2" t="s">
        <v>594</v>
      </c>
    </row>
    <row r="6" spans="1:14" x14ac:dyDescent="0.3">
      <c r="A6" s="2" t="s">
        <v>160</v>
      </c>
      <c r="B6" s="2" t="s">
        <v>246</v>
      </c>
      <c r="C6" s="2" t="s">
        <v>132</v>
      </c>
      <c r="D6" s="2" t="s">
        <v>133</v>
      </c>
      <c r="E6" s="2" t="s">
        <v>29</v>
      </c>
      <c r="F6" s="2"/>
      <c r="G6" s="2" t="s">
        <v>246</v>
      </c>
      <c r="H6" s="2" t="s">
        <v>468</v>
      </c>
      <c r="I6" s="3">
        <v>300</v>
      </c>
      <c r="J6" s="3">
        <v>300</v>
      </c>
      <c r="K6" s="4">
        <f t="shared" si="0"/>
        <v>600</v>
      </c>
      <c r="L6" s="2" t="s">
        <v>31</v>
      </c>
      <c r="M6" s="2" t="s">
        <v>920</v>
      </c>
      <c r="N6" s="2"/>
    </row>
    <row r="7" spans="1:14" x14ac:dyDescent="0.3">
      <c r="A7" s="2" t="s">
        <v>160</v>
      </c>
      <c r="B7" s="2" t="s">
        <v>373</v>
      </c>
      <c r="C7" s="2" t="s">
        <v>236</v>
      </c>
      <c r="D7" s="2" t="s">
        <v>133</v>
      </c>
      <c r="E7" s="2" t="s">
        <v>29</v>
      </c>
      <c r="F7" s="2"/>
      <c r="G7" s="2" t="s">
        <v>373</v>
      </c>
      <c r="H7" s="2" t="s">
        <v>602</v>
      </c>
      <c r="I7" s="3">
        <v>291</v>
      </c>
      <c r="J7" s="3">
        <v>291</v>
      </c>
      <c r="K7" s="4">
        <f t="shared" si="0"/>
        <v>582</v>
      </c>
      <c r="L7" s="2" t="s">
        <v>31</v>
      </c>
      <c r="M7" s="2" t="s">
        <v>168</v>
      </c>
      <c r="N7" s="2" t="s">
        <v>594</v>
      </c>
    </row>
    <row r="8" spans="1:14" x14ac:dyDescent="0.3">
      <c r="A8" s="2" t="s">
        <v>160</v>
      </c>
      <c r="B8" s="2" t="s">
        <v>434</v>
      </c>
      <c r="C8" s="2" t="s">
        <v>132</v>
      </c>
      <c r="D8" s="2" t="s">
        <v>133</v>
      </c>
      <c r="E8" s="2" t="s">
        <v>29</v>
      </c>
      <c r="F8" s="2"/>
      <c r="G8" s="2" t="s">
        <v>434</v>
      </c>
      <c r="H8" s="2" t="s">
        <v>608</v>
      </c>
      <c r="I8" s="3">
        <v>291</v>
      </c>
      <c r="J8" s="3">
        <v>291</v>
      </c>
      <c r="K8" s="4">
        <f t="shared" si="0"/>
        <v>582</v>
      </c>
      <c r="L8" s="2" t="s">
        <v>31</v>
      </c>
      <c r="M8" s="2" t="s">
        <v>168</v>
      </c>
      <c r="N8" s="2" t="s">
        <v>594</v>
      </c>
    </row>
    <row r="9" spans="1:14" x14ac:dyDescent="0.3">
      <c r="A9" s="2" t="s">
        <v>160</v>
      </c>
      <c r="B9" s="2" t="s">
        <v>615</v>
      </c>
      <c r="C9" s="2" t="s">
        <v>140</v>
      </c>
      <c r="D9" s="2" t="s">
        <v>133</v>
      </c>
      <c r="E9" s="2" t="s">
        <v>29</v>
      </c>
      <c r="F9" s="2"/>
      <c r="G9" s="2" t="s">
        <v>615</v>
      </c>
      <c r="H9" s="2" t="s">
        <v>616</v>
      </c>
      <c r="I9" s="3">
        <v>252</v>
      </c>
      <c r="J9" s="3">
        <v>252</v>
      </c>
      <c r="K9" s="4">
        <f t="shared" si="0"/>
        <v>504</v>
      </c>
      <c r="L9" s="2" t="s">
        <v>31</v>
      </c>
      <c r="M9" s="2" t="s">
        <v>168</v>
      </c>
      <c r="N9" s="2" t="s">
        <v>594</v>
      </c>
    </row>
    <row r="10" spans="1:14" x14ac:dyDescent="0.3">
      <c r="A10" s="2" t="s">
        <v>160</v>
      </c>
      <c r="B10" s="2" t="s">
        <v>139</v>
      </c>
      <c r="C10" s="2" t="s">
        <v>140</v>
      </c>
      <c r="D10" s="2" t="s">
        <v>133</v>
      </c>
      <c r="E10" s="2" t="s">
        <v>29</v>
      </c>
      <c r="F10" s="2"/>
      <c r="G10" s="2" t="s">
        <v>139</v>
      </c>
      <c r="H10" s="2" t="s">
        <v>611</v>
      </c>
      <c r="I10" s="3">
        <v>241</v>
      </c>
      <c r="J10" s="3">
        <v>241</v>
      </c>
      <c r="K10" s="4">
        <f t="shared" si="0"/>
        <v>482</v>
      </c>
      <c r="L10" s="2" t="s">
        <v>31</v>
      </c>
      <c r="M10" s="2" t="s">
        <v>168</v>
      </c>
      <c r="N10" s="2" t="s">
        <v>594</v>
      </c>
    </row>
    <row r="11" spans="1:14" x14ac:dyDescent="0.3">
      <c r="A11" s="2" t="s">
        <v>160</v>
      </c>
      <c r="B11" s="2" t="s">
        <v>174</v>
      </c>
      <c r="C11" s="2" t="s">
        <v>140</v>
      </c>
      <c r="D11" s="2" t="s">
        <v>133</v>
      </c>
      <c r="E11" s="2" t="s">
        <v>29</v>
      </c>
      <c r="F11" s="2"/>
      <c r="G11" s="2" t="s">
        <v>174</v>
      </c>
      <c r="H11" s="2" t="s">
        <v>630</v>
      </c>
      <c r="I11" s="3">
        <v>213</v>
      </c>
      <c r="J11" s="3">
        <v>213</v>
      </c>
      <c r="K11" s="4">
        <f t="shared" si="0"/>
        <v>426</v>
      </c>
      <c r="L11" s="2" t="s">
        <v>31</v>
      </c>
      <c r="M11" s="2" t="s">
        <v>168</v>
      </c>
      <c r="N11" s="2" t="s">
        <v>594</v>
      </c>
    </row>
    <row r="12" spans="1:14" x14ac:dyDescent="0.3">
      <c r="A12" s="2" t="s">
        <v>160</v>
      </c>
      <c r="B12" s="2" t="s">
        <v>344</v>
      </c>
      <c r="C12" s="2" t="s">
        <v>140</v>
      </c>
      <c r="D12" s="2" t="s">
        <v>133</v>
      </c>
      <c r="E12" s="2" t="s">
        <v>29</v>
      </c>
      <c r="F12" s="2"/>
      <c r="G12" s="2" t="s">
        <v>344</v>
      </c>
      <c r="H12" s="2" t="s">
        <v>629</v>
      </c>
      <c r="I12" s="3">
        <v>205</v>
      </c>
      <c r="J12" s="3">
        <v>205</v>
      </c>
      <c r="K12" s="4">
        <f t="shared" si="0"/>
        <v>410</v>
      </c>
      <c r="L12" s="2" t="s">
        <v>31</v>
      </c>
      <c r="M12" s="2" t="s">
        <v>168</v>
      </c>
      <c r="N12" s="2" t="s">
        <v>594</v>
      </c>
    </row>
    <row r="13" spans="1:14" x14ac:dyDescent="0.3">
      <c r="A13" s="2" t="s">
        <v>160</v>
      </c>
      <c r="B13" s="2" t="s">
        <v>621</v>
      </c>
      <c r="C13" s="2" t="s">
        <v>236</v>
      </c>
      <c r="D13" s="2" t="s">
        <v>133</v>
      </c>
      <c r="E13" s="2" t="s">
        <v>29</v>
      </c>
      <c r="F13" s="2"/>
      <c r="G13" s="2" t="s">
        <v>621</v>
      </c>
      <c r="H13" s="2" t="s">
        <v>622</v>
      </c>
      <c r="I13" s="3">
        <v>201</v>
      </c>
      <c r="J13" s="3">
        <v>201</v>
      </c>
      <c r="K13" s="4">
        <f t="shared" si="0"/>
        <v>402</v>
      </c>
      <c r="L13" s="2" t="s">
        <v>31</v>
      </c>
      <c r="M13" s="2" t="s">
        <v>168</v>
      </c>
      <c r="N13" s="2" t="s">
        <v>594</v>
      </c>
    </row>
    <row r="14" spans="1:14" x14ac:dyDescent="0.3">
      <c r="A14" s="2" t="s">
        <v>160</v>
      </c>
      <c r="B14" s="2" t="s">
        <v>612</v>
      </c>
      <c r="C14" s="2" t="s">
        <v>236</v>
      </c>
      <c r="D14" s="2" t="s">
        <v>133</v>
      </c>
      <c r="E14" s="2" t="s">
        <v>29</v>
      </c>
      <c r="F14" s="2"/>
      <c r="G14" s="2" t="s">
        <v>612</v>
      </c>
      <c r="H14" s="2" t="s">
        <v>613</v>
      </c>
      <c r="I14" s="3">
        <v>200</v>
      </c>
      <c r="J14" s="3">
        <v>200</v>
      </c>
      <c r="K14" s="4">
        <f t="shared" si="0"/>
        <v>400</v>
      </c>
      <c r="L14" s="2" t="s">
        <v>31</v>
      </c>
      <c r="M14" s="2" t="s">
        <v>168</v>
      </c>
      <c r="N14" s="2" t="s">
        <v>594</v>
      </c>
    </row>
    <row r="15" spans="1:14" x14ac:dyDescent="0.3">
      <c r="A15" s="2" t="s">
        <v>160</v>
      </c>
      <c r="B15" s="2" t="s">
        <v>625</v>
      </c>
      <c r="C15" s="2" t="s">
        <v>140</v>
      </c>
      <c r="D15" s="2" t="s">
        <v>133</v>
      </c>
      <c r="E15" s="2" t="s">
        <v>29</v>
      </c>
      <c r="F15" s="2"/>
      <c r="G15" s="2" t="s">
        <v>625</v>
      </c>
      <c r="H15" s="2" t="s">
        <v>626</v>
      </c>
      <c r="I15" s="3">
        <v>196</v>
      </c>
      <c r="J15" s="3">
        <v>196</v>
      </c>
      <c r="K15" s="4">
        <f t="shared" si="0"/>
        <v>392</v>
      </c>
      <c r="L15" s="2" t="s">
        <v>31</v>
      </c>
      <c r="M15" s="2" t="s">
        <v>168</v>
      </c>
      <c r="N15" s="2" t="s">
        <v>594</v>
      </c>
    </row>
    <row r="16" spans="1:14" x14ac:dyDescent="0.3">
      <c r="A16" s="2" t="s">
        <v>160</v>
      </c>
      <c r="B16" s="2" t="s">
        <v>623</v>
      </c>
      <c r="C16" s="2" t="s">
        <v>236</v>
      </c>
      <c r="D16" s="2" t="s">
        <v>133</v>
      </c>
      <c r="E16" s="2" t="s">
        <v>29</v>
      </c>
      <c r="F16" s="2"/>
      <c r="G16" s="2" t="s">
        <v>623</v>
      </c>
      <c r="H16" s="2" t="s">
        <v>624</v>
      </c>
      <c r="I16" s="3">
        <v>191</v>
      </c>
      <c r="J16" s="3">
        <v>191</v>
      </c>
      <c r="K16" s="4">
        <f t="shared" si="0"/>
        <v>382</v>
      </c>
      <c r="L16" s="2" t="s">
        <v>31</v>
      </c>
      <c r="M16" s="2" t="s">
        <v>168</v>
      </c>
      <c r="N16" s="2" t="s">
        <v>594</v>
      </c>
    </row>
    <row r="17" spans="1:14" x14ac:dyDescent="0.3">
      <c r="A17" s="2" t="s">
        <v>160</v>
      </c>
      <c r="B17" s="2" t="s">
        <v>235</v>
      </c>
      <c r="C17" s="2" t="s">
        <v>236</v>
      </c>
      <c r="D17" s="2" t="s">
        <v>133</v>
      </c>
      <c r="E17" s="2" t="s">
        <v>29</v>
      </c>
      <c r="F17" s="2"/>
      <c r="G17" s="2" t="s">
        <v>235</v>
      </c>
      <c r="H17" s="2" t="s">
        <v>617</v>
      </c>
      <c r="I17" s="3">
        <v>185</v>
      </c>
      <c r="J17" s="3">
        <v>185</v>
      </c>
      <c r="K17" s="4">
        <f t="shared" si="0"/>
        <v>370</v>
      </c>
      <c r="L17" s="2" t="s">
        <v>31</v>
      </c>
      <c r="M17" s="2" t="s">
        <v>168</v>
      </c>
      <c r="N17" s="2" t="s">
        <v>594</v>
      </c>
    </row>
    <row r="18" spans="1:14" x14ac:dyDescent="0.3">
      <c r="A18" s="2" t="s">
        <v>160</v>
      </c>
      <c r="B18" s="2" t="s">
        <v>642</v>
      </c>
      <c r="C18" s="2" t="s">
        <v>348</v>
      </c>
      <c r="D18" s="2" t="s">
        <v>133</v>
      </c>
      <c r="E18" s="2" t="s">
        <v>29</v>
      </c>
      <c r="F18" s="2"/>
      <c r="G18" s="2" t="s">
        <v>642</v>
      </c>
      <c r="H18" s="2" t="s">
        <v>643</v>
      </c>
      <c r="I18" s="3">
        <v>184</v>
      </c>
      <c r="J18" s="3">
        <v>184</v>
      </c>
      <c r="K18" s="4">
        <f t="shared" si="0"/>
        <v>368</v>
      </c>
      <c r="L18" s="2" t="s">
        <v>31</v>
      </c>
      <c r="M18" s="2" t="s">
        <v>168</v>
      </c>
      <c r="N18" s="2" t="s">
        <v>594</v>
      </c>
    </row>
    <row r="19" spans="1:14" x14ac:dyDescent="0.3">
      <c r="A19" s="2" t="s">
        <v>160</v>
      </c>
      <c r="B19" s="2" t="s">
        <v>638</v>
      </c>
      <c r="C19" s="2" t="s">
        <v>140</v>
      </c>
      <c r="D19" s="2" t="s">
        <v>133</v>
      </c>
      <c r="E19" s="2" t="s">
        <v>29</v>
      </c>
      <c r="F19" s="2"/>
      <c r="G19" s="2" t="s">
        <v>638</v>
      </c>
      <c r="H19" s="2" t="s">
        <v>639</v>
      </c>
      <c r="I19" s="3">
        <v>183</v>
      </c>
      <c r="J19" s="3">
        <v>183</v>
      </c>
      <c r="K19" s="4">
        <f t="shared" si="0"/>
        <v>366</v>
      </c>
      <c r="L19" s="2" t="s">
        <v>31</v>
      </c>
      <c r="M19" s="2" t="s">
        <v>168</v>
      </c>
      <c r="N19" s="2" t="s">
        <v>594</v>
      </c>
    </row>
    <row r="20" spans="1:14" x14ac:dyDescent="0.3">
      <c r="A20" s="2" t="s">
        <v>160</v>
      </c>
      <c r="B20" s="2" t="s">
        <v>350</v>
      </c>
      <c r="C20" s="2" t="s">
        <v>348</v>
      </c>
      <c r="D20" s="2" t="s">
        <v>133</v>
      </c>
      <c r="E20" s="2" t="s">
        <v>29</v>
      </c>
      <c r="F20" s="2"/>
      <c r="G20" s="2" t="s">
        <v>350</v>
      </c>
      <c r="H20" s="2" t="s">
        <v>648</v>
      </c>
      <c r="I20" s="3">
        <v>171</v>
      </c>
      <c r="J20" s="3">
        <v>171</v>
      </c>
      <c r="K20" s="4">
        <f t="shared" si="0"/>
        <v>342</v>
      </c>
      <c r="L20" s="2" t="s">
        <v>31</v>
      </c>
      <c r="M20" s="2" t="s">
        <v>168</v>
      </c>
      <c r="N20" s="2" t="s">
        <v>594</v>
      </c>
    </row>
    <row r="21" spans="1:14" x14ac:dyDescent="0.3">
      <c r="A21" s="2" t="s">
        <v>160</v>
      </c>
      <c r="B21" s="2" t="s">
        <v>646</v>
      </c>
      <c r="C21" s="2" t="s">
        <v>348</v>
      </c>
      <c r="D21" s="2" t="s">
        <v>133</v>
      </c>
      <c r="E21" s="2" t="s">
        <v>29</v>
      </c>
      <c r="F21" s="2"/>
      <c r="G21" s="2" t="s">
        <v>646</v>
      </c>
      <c r="H21" s="2" t="s">
        <v>647</v>
      </c>
      <c r="I21" s="3">
        <v>157</v>
      </c>
      <c r="J21" s="3">
        <v>157</v>
      </c>
      <c r="K21" s="4">
        <f t="shared" si="0"/>
        <v>314</v>
      </c>
      <c r="L21" s="2" t="s">
        <v>31</v>
      </c>
      <c r="M21" s="2" t="s">
        <v>168</v>
      </c>
      <c r="N21" s="2" t="s">
        <v>594</v>
      </c>
    </row>
    <row r="22" spans="1:14" x14ac:dyDescent="0.3">
      <c r="A22" s="2" t="s">
        <v>160</v>
      </c>
      <c r="B22" s="2" t="s">
        <v>458</v>
      </c>
      <c r="C22" s="2" t="s">
        <v>140</v>
      </c>
      <c r="D22" s="2" t="s">
        <v>133</v>
      </c>
      <c r="E22" s="2" t="s">
        <v>29</v>
      </c>
      <c r="F22" s="2"/>
      <c r="G22" s="2" t="s">
        <v>458</v>
      </c>
      <c r="H22" s="2" t="s">
        <v>618</v>
      </c>
      <c r="I22" s="3">
        <v>156</v>
      </c>
      <c r="J22" s="3">
        <v>156</v>
      </c>
      <c r="K22" s="4">
        <f t="shared" si="0"/>
        <v>312</v>
      </c>
      <c r="L22" s="2" t="s">
        <v>31</v>
      </c>
      <c r="M22" s="2" t="s">
        <v>168</v>
      </c>
      <c r="N22" s="2" t="s">
        <v>594</v>
      </c>
    </row>
    <row r="23" spans="1:14" x14ac:dyDescent="0.3">
      <c r="A23" s="2" t="s">
        <v>160</v>
      </c>
      <c r="B23" s="2" t="s">
        <v>653</v>
      </c>
      <c r="C23" s="2" t="s">
        <v>348</v>
      </c>
      <c r="D23" s="2" t="s">
        <v>133</v>
      </c>
      <c r="E23" s="2" t="s">
        <v>29</v>
      </c>
      <c r="F23" s="2"/>
      <c r="G23" s="2" t="s">
        <v>653</v>
      </c>
      <c r="H23" s="2" t="s">
        <v>654</v>
      </c>
      <c r="I23" s="3">
        <v>146</v>
      </c>
      <c r="J23" s="3">
        <v>146</v>
      </c>
      <c r="K23" s="4">
        <f t="shared" si="0"/>
        <v>292</v>
      </c>
      <c r="L23" s="2" t="s">
        <v>31</v>
      </c>
      <c r="M23" s="2" t="s">
        <v>168</v>
      </c>
      <c r="N23" s="2" t="s">
        <v>594</v>
      </c>
    </row>
    <row r="24" spans="1:14" x14ac:dyDescent="0.3">
      <c r="A24" s="2" t="s">
        <v>160</v>
      </c>
      <c r="B24" s="2" t="s">
        <v>660</v>
      </c>
      <c r="C24" s="2" t="s">
        <v>353</v>
      </c>
      <c r="D24" s="2" t="s">
        <v>133</v>
      </c>
      <c r="E24" s="2" t="s">
        <v>29</v>
      </c>
      <c r="F24" s="2"/>
      <c r="G24" s="2" t="s">
        <v>660</v>
      </c>
      <c r="H24" s="2" t="s">
        <v>661</v>
      </c>
      <c r="I24" s="3">
        <v>132</v>
      </c>
      <c r="J24" s="3">
        <v>132</v>
      </c>
      <c r="K24" s="4">
        <f t="shared" si="0"/>
        <v>264</v>
      </c>
      <c r="L24" s="2" t="s">
        <v>31</v>
      </c>
      <c r="M24" s="2" t="s">
        <v>168</v>
      </c>
      <c r="N24" s="2" t="s">
        <v>594</v>
      </c>
    </row>
    <row r="25" spans="1:14" x14ac:dyDescent="0.3">
      <c r="A25" s="2" t="s">
        <v>160</v>
      </c>
      <c r="B25" s="2" t="s">
        <v>365</v>
      </c>
      <c r="C25" s="2" t="s">
        <v>348</v>
      </c>
      <c r="D25" s="2" t="s">
        <v>133</v>
      </c>
      <c r="E25" s="2" t="s">
        <v>29</v>
      </c>
      <c r="F25" s="2"/>
      <c r="G25" s="2" t="s">
        <v>365</v>
      </c>
      <c r="H25" s="2" t="s">
        <v>655</v>
      </c>
      <c r="I25" s="3">
        <v>128</v>
      </c>
      <c r="J25" s="3">
        <v>128</v>
      </c>
      <c r="K25" s="4">
        <f t="shared" si="0"/>
        <v>256</v>
      </c>
      <c r="L25" s="2" t="s">
        <v>31</v>
      </c>
      <c r="M25" s="2" t="s">
        <v>168</v>
      </c>
      <c r="N25" s="2" t="s">
        <v>594</v>
      </c>
    </row>
    <row r="26" spans="1:14" x14ac:dyDescent="0.3">
      <c r="A26" s="2" t="s">
        <v>160</v>
      </c>
      <c r="B26" s="2" t="s">
        <v>379</v>
      </c>
      <c r="C26" s="2" t="s">
        <v>348</v>
      </c>
      <c r="D26" s="2" t="s">
        <v>133</v>
      </c>
      <c r="E26" s="2" t="s">
        <v>29</v>
      </c>
      <c r="F26" s="2"/>
      <c r="G26" s="2" t="s">
        <v>379</v>
      </c>
      <c r="H26" s="2" t="s">
        <v>667</v>
      </c>
      <c r="I26" s="3">
        <v>128</v>
      </c>
      <c r="J26" s="3">
        <v>128</v>
      </c>
      <c r="K26" s="4">
        <f t="shared" si="0"/>
        <v>256</v>
      </c>
      <c r="L26" s="2" t="s">
        <v>31</v>
      </c>
      <c r="M26" s="2" t="s">
        <v>168</v>
      </c>
      <c r="N26" s="2" t="s">
        <v>594</v>
      </c>
    </row>
    <row r="27" spans="1:14" x14ac:dyDescent="0.3">
      <c r="A27" s="2" t="s">
        <v>160</v>
      </c>
      <c r="B27" s="2" t="s">
        <v>658</v>
      </c>
      <c r="C27" s="2" t="s">
        <v>348</v>
      </c>
      <c r="D27" s="2" t="s">
        <v>133</v>
      </c>
      <c r="E27" s="2" t="s">
        <v>29</v>
      </c>
      <c r="F27" s="2"/>
      <c r="G27" s="2" t="s">
        <v>658</v>
      </c>
      <c r="H27" s="2" t="s">
        <v>659</v>
      </c>
      <c r="I27" s="3">
        <v>120</v>
      </c>
      <c r="J27" s="3">
        <v>120</v>
      </c>
      <c r="K27" s="4">
        <f t="shared" si="0"/>
        <v>240</v>
      </c>
      <c r="L27" s="2" t="s">
        <v>31</v>
      </c>
      <c r="M27" s="2" t="s">
        <v>168</v>
      </c>
      <c r="N27" s="2" t="s">
        <v>594</v>
      </c>
    </row>
    <row r="28" spans="1:14" x14ac:dyDescent="0.3">
      <c r="A28" s="2" t="s">
        <v>160</v>
      </c>
      <c r="B28" s="2" t="s">
        <v>352</v>
      </c>
      <c r="C28" s="2" t="s">
        <v>353</v>
      </c>
      <c r="D28" s="2" t="s">
        <v>133</v>
      </c>
      <c r="E28" s="2" t="s">
        <v>29</v>
      </c>
      <c r="F28" s="2"/>
      <c r="G28" s="2" t="s">
        <v>352</v>
      </c>
      <c r="H28" s="2" t="s">
        <v>664</v>
      </c>
      <c r="I28" s="3">
        <v>114</v>
      </c>
      <c r="J28" s="3">
        <v>114</v>
      </c>
      <c r="K28" s="4">
        <f t="shared" si="0"/>
        <v>228</v>
      </c>
      <c r="L28" s="2" t="s">
        <v>31</v>
      </c>
      <c r="M28" s="2" t="s">
        <v>168</v>
      </c>
      <c r="N28" s="2" t="s">
        <v>594</v>
      </c>
    </row>
    <row r="29" spans="1:14" x14ac:dyDescent="0.3">
      <c r="A29" s="2" t="s">
        <v>160</v>
      </c>
      <c r="B29" s="2" t="s">
        <v>347</v>
      </c>
      <c r="C29" s="2" t="s">
        <v>348</v>
      </c>
      <c r="D29" s="2" t="s">
        <v>133</v>
      </c>
      <c r="E29" s="2" t="s">
        <v>29</v>
      </c>
      <c r="F29" s="2"/>
      <c r="G29" s="2" t="s">
        <v>347</v>
      </c>
      <c r="H29" s="2" t="s">
        <v>656</v>
      </c>
      <c r="I29" s="3">
        <v>110</v>
      </c>
      <c r="J29" s="3">
        <v>110</v>
      </c>
      <c r="K29" s="4">
        <f t="shared" si="0"/>
        <v>220</v>
      </c>
      <c r="L29" s="2" t="s">
        <v>31</v>
      </c>
      <c r="M29" s="2" t="s">
        <v>168</v>
      </c>
      <c r="N29" s="2" t="s">
        <v>594</v>
      </c>
    </row>
    <row r="30" spans="1:14" x14ac:dyDescent="0.3">
      <c r="A30" s="2" t="s">
        <v>160</v>
      </c>
      <c r="B30" s="2" t="s">
        <v>670</v>
      </c>
      <c r="C30" s="2" t="s">
        <v>161</v>
      </c>
      <c r="D30" s="2" t="s">
        <v>133</v>
      </c>
      <c r="E30" s="2" t="s">
        <v>127</v>
      </c>
      <c r="F30" s="2" t="s">
        <v>128</v>
      </c>
      <c r="G30" s="2" t="s">
        <v>670</v>
      </c>
      <c r="H30" s="2" t="s">
        <v>671</v>
      </c>
      <c r="I30" s="3">
        <v>95</v>
      </c>
      <c r="J30" s="3">
        <v>95</v>
      </c>
      <c r="K30" s="4">
        <f t="shared" si="0"/>
        <v>190</v>
      </c>
      <c r="L30" s="2" t="s">
        <v>31</v>
      </c>
      <c r="M30" s="2" t="s">
        <v>168</v>
      </c>
      <c r="N30" s="2" t="s">
        <v>594</v>
      </c>
    </row>
    <row r="31" spans="1:14" x14ac:dyDescent="0.3">
      <c r="A31" s="2" t="s">
        <v>160</v>
      </c>
      <c r="B31" s="2" t="s">
        <v>672</v>
      </c>
      <c r="C31" s="2" t="s">
        <v>161</v>
      </c>
      <c r="D31" s="2" t="s">
        <v>133</v>
      </c>
      <c r="E31" s="2" t="s">
        <v>127</v>
      </c>
      <c r="F31" s="2" t="s">
        <v>128</v>
      </c>
      <c r="G31" s="2" t="s">
        <v>672</v>
      </c>
      <c r="H31" s="2" t="s">
        <v>673</v>
      </c>
      <c r="I31" s="3">
        <v>95</v>
      </c>
      <c r="J31" s="3">
        <v>95</v>
      </c>
      <c r="K31" s="4">
        <f t="shared" si="0"/>
        <v>190</v>
      </c>
      <c r="L31" s="2" t="s">
        <v>31</v>
      </c>
      <c r="M31" s="2" t="s">
        <v>168</v>
      </c>
      <c r="N31" s="2" t="s">
        <v>594</v>
      </c>
    </row>
    <row r="32" spans="1:14" x14ac:dyDescent="0.3">
      <c r="A32" s="2" t="s">
        <v>160</v>
      </c>
      <c r="B32" s="2" t="s">
        <v>668</v>
      </c>
      <c r="C32" s="2" t="s">
        <v>348</v>
      </c>
      <c r="D32" s="2" t="s">
        <v>133</v>
      </c>
      <c r="E32" s="2" t="s">
        <v>29</v>
      </c>
      <c r="F32" s="2"/>
      <c r="G32" s="2" t="s">
        <v>668</v>
      </c>
      <c r="H32" s="2" t="s">
        <v>669</v>
      </c>
      <c r="I32" s="3">
        <v>83</v>
      </c>
      <c r="J32" s="3">
        <v>83</v>
      </c>
      <c r="K32" s="4">
        <f t="shared" si="0"/>
        <v>166</v>
      </c>
      <c r="L32" s="2" t="s">
        <v>31</v>
      </c>
      <c r="M32" s="2" t="s">
        <v>168</v>
      </c>
      <c r="N32" s="2" t="s">
        <v>594</v>
      </c>
    </row>
    <row r="33" spans="1:14" x14ac:dyDescent="0.3">
      <c r="A33" s="2" t="s">
        <v>160</v>
      </c>
      <c r="B33" s="2" t="s">
        <v>676</v>
      </c>
      <c r="C33" s="2" t="s">
        <v>161</v>
      </c>
      <c r="D33" s="2" t="s">
        <v>133</v>
      </c>
      <c r="E33" s="2" t="s">
        <v>127</v>
      </c>
      <c r="F33" s="2" t="s">
        <v>128</v>
      </c>
      <c r="G33" s="2" t="s">
        <v>676</v>
      </c>
      <c r="H33" s="2" t="s">
        <v>677</v>
      </c>
      <c r="I33" s="3">
        <v>69</v>
      </c>
      <c r="J33" s="3">
        <v>69</v>
      </c>
      <c r="K33" s="4">
        <f t="shared" si="0"/>
        <v>138</v>
      </c>
      <c r="L33" s="2" t="s">
        <v>31</v>
      </c>
      <c r="M33" s="2" t="s">
        <v>168</v>
      </c>
      <c r="N33" s="2" t="s">
        <v>594</v>
      </c>
    </row>
    <row r="34" spans="1:14" x14ac:dyDescent="0.3">
      <c r="A34" s="2" t="s">
        <v>160</v>
      </c>
      <c r="B34" s="2" t="s">
        <v>674</v>
      </c>
      <c r="C34" s="2" t="s">
        <v>161</v>
      </c>
      <c r="D34" s="2" t="s">
        <v>133</v>
      </c>
      <c r="E34" s="2" t="s">
        <v>127</v>
      </c>
      <c r="F34" s="2" t="s">
        <v>128</v>
      </c>
      <c r="G34" s="2" t="s">
        <v>674</v>
      </c>
      <c r="H34" s="2" t="s">
        <v>675</v>
      </c>
      <c r="I34" s="3">
        <v>60</v>
      </c>
      <c r="J34" s="3">
        <v>60</v>
      </c>
      <c r="K34" s="4">
        <f t="shared" ref="K34:K65" si="1">IF(I34="","",I34+J34)</f>
        <v>120</v>
      </c>
      <c r="L34" s="2" t="s">
        <v>31</v>
      </c>
      <c r="M34" s="2" t="s">
        <v>168</v>
      </c>
      <c r="N34" s="2" t="s">
        <v>594</v>
      </c>
    </row>
    <row r="35" spans="1:14" x14ac:dyDescent="0.3">
      <c r="A35" s="2" t="s">
        <v>160</v>
      </c>
      <c r="B35" s="2" t="s">
        <v>681</v>
      </c>
      <c r="C35" s="2" t="s">
        <v>161</v>
      </c>
      <c r="D35" s="2" t="s">
        <v>133</v>
      </c>
      <c r="E35" s="2" t="s">
        <v>127</v>
      </c>
      <c r="F35" s="2" t="s">
        <v>128</v>
      </c>
      <c r="G35" s="2" t="s">
        <v>681</v>
      </c>
      <c r="H35" s="2" t="s">
        <v>682</v>
      </c>
      <c r="I35" s="3">
        <v>53</v>
      </c>
      <c r="J35" s="3">
        <v>53</v>
      </c>
      <c r="K35" s="4">
        <f t="shared" si="1"/>
        <v>106</v>
      </c>
      <c r="L35" s="2" t="s">
        <v>31</v>
      </c>
      <c r="M35" s="2" t="s">
        <v>168</v>
      </c>
      <c r="N35" s="2" t="s">
        <v>594</v>
      </c>
    </row>
    <row r="36" spans="1:14" x14ac:dyDescent="0.3">
      <c r="A36" s="2" t="s">
        <v>160</v>
      </c>
      <c r="B36" s="2" t="s">
        <v>377</v>
      </c>
      <c r="C36" s="2" t="s">
        <v>161</v>
      </c>
      <c r="D36" s="2" t="s">
        <v>133</v>
      </c>
      <c r="E36" s="2" t="s">
        <v>127</v>
      </c>
      <c r="F36" s="2" t="s">
        <v>128</v>
      </c>
      <c r="G36" s="2" t="s">
        <v>377</v>
      </c>
      <c r="H36" s="2" t="s">
        <v>685</v>
      </c>
      <c r="I36" s="3">
        <v>53</v>
      </c>
      <c r="J36" s="3">
        <v>53</v>
      </c>
      <c r="K36" s="4">
        <f t="shared" si="1"/>
        <v>106</v>
      </c>
      <c r="L36" s="2" t="s">
        <v>31</v>
      </c>
      <c r="M36" s="2" t="s">
        <v>168</v>
      </c>
      <c r="N36" s="2" t="s">
        <v>594</v>
      </c>
    </row>
    <row r="37" spans="1:14" x14ac:dyDescent="0.3">
      <c r="A37" s="2" t="s">
        <v>160</v>
      </c>
      <c r="B37" s="2" t="s">
        <v>686</v>
      </c>
      <c r="C37" s="2" t="s">
        <v>161</v>
      </c>
      <c r="D37" s="2" t="s">
        <v>133</v>
      </c>
      <c r="E37" s="2" t="s">
        <v>127</v>
      </c>
      <c r="F37" s="2" t="s">
        <v>687</v>
      </c>
      <c r="G37" s="2" t="s">
        <v>686</v>
      </c>
      <c r="H37" s="2" t="s">
        <v>688</v>
      </c>
      <c r="I37" s="3">
        <v>34</v>
      </c>
      <c r="J37" s="3">
        <v>34</v>
      </c>
      <c r="K37" s="4">
        <f t="shared" si="1"/>
        <v>68</v>
      </c>
      <c r="L37" s="2" t="s">
        <v>31</v>
      </c>
      <c r="M37" s="2" t="s">
        <v>168</v>
      </c>
      <c r="N37" s="2" t="s">
        <v>594</v>
      </c>
    </row>
    <row r="38" spans="1:14" x14ac:dyDescent="0.3">
      <c r="A38" s="2" t="s">
        <v>160</v>
      </c>
      <c r="B38" s="2" t="s">
        <v>689</v>
      </c>
      <c r="C38" s="2" t="s">
        <v>161</v>
      </c>
      <c r="D38" s="2" t="s">
        <v>133</v>
      </c>
      <c r="E38" s="2" t="s">
        <v>127</v>
      </c>
      <c r="F38" s="2" t="s">
        <v>687</v>
      </c>
      <c r="G38" s="2" t="s">
        <v>689</v>
      </c>
      <c r="H38" s="2" t="s">
        <v>690</v>
      </c>
      <c r="I38" s="3">
        <v>31</v>
      </c>
      <c r="J38" s="3">
        <v>31</v>
      </c>
      <c r="K38" s="4">
        <f t="shared" si="1"/>
        <v>62</v>
      </c>
      <c r="L38" s="2" t="s">
        <v>31</v>
      </c>
      <c r="M38" s="2" t="s">
        <v>168</v>
      </c>
      <c r="N38" s="2" t="s">
        <v>594</v>
      </c>
    </row>
    <row r="39" spans="1:14" x14ac:dyDescent="0.3">
      <c r="A39" s="2" t="s">
        <v>160</v>
      </c>
      <c r="B39" s="2" t="s">
        <v>691</v>
      </c>
      <c r="C39" s="2" t="s">
        <v>161</v>
      </c>
      <c r="D39" s="2" t="s">
        <v>133</v>
      </c>
      <c r="E39" s="2" t="s">
        <v>127</v>
      </c>
      <c r="F39" s="2" t="s">
        <v>692</v>
      </c>
      <c r="G39" s="2" t="s">
        <v>691</v>
      </c>
      <c r="H39" s="2" t="s">
        <v>693</v>
      </c>
      <c r="I39" s="3">
        <v>26</v>
      </c>
      <c r="J39" s="3">
        <v>26</v>
      </c>
      <c r="K39" s="4">
        <f t="shared" si="1"/>
        <v>52</v>
      </c>
      <c r="L39" s="2" t="s">
        <v>31</v>
      </c>
      <c r="M39" s="2" t="s">
        <v>168</v>
      </c>
      <c r="N39" s="2" t="s">
        <v>594</v>
      </c>
    </row>
    <row r="40" spans="1:14" x14ac:dyDescent="0.3">
      <c r="A40" s="2" t="s">
        <v>160</v>
      </c>
      <c r="B40" s="2" t="s">
        <v>697</v>
      </c>
      <c r="C40" s="2" t="s">
        <v>161</v>
      </c>
      <c r="D40" s="2" t="s">
        <v>133</v>
      </c>
      <c r="E40" s="2" t="s">
        <v>127</v>
      </c>
      <c r="F40" s="2" t="s">
        <v>692</v>
      </c>
      <c r="G40" s="2" t="s">
        <v>697</v>
      </c>
      <c r="H40" s="2" t="s">
        <v>698</v>
      </c>
      <c r="I40" s="3">
        <v>22</v>
      </c>
      <c r="J40" s="3">
        <v>22</v>
      </c>
      <c r="K40" s="4">
        <f t="shared" si="1"/>
        <v>44</v>
      </c>
      <c r="L40" s="2" t="s">
        <v>31</v>
      </c>
      <c r="M40" s="2" t="s">
        <v>168</v>
      </c>
      <c r="N40" s="2" t="s">
        <v>594</v>
      </c>
    </row>
    <row r="41" spans="1:14" x14ac:dyDescent="0.3">
      <c r="A41" s="2" t="s">
        <v>160</v>
      </c>
      <c r="B41" s="2" t="s">
        <v>694</v>
      </c>
      <c r="C41" s="2" t="s">
        <v>161</v>
      </c>
      <c r="D41" s="2" t="s">
        <v>133</v>
      </c>
      <c r="E41" s="2" t="s">
        <v>127</v>
      </c>
      <c r="F41" s="2" t="s">
        <v>695</v>
      </c>
      <c r="G41" s="2" t="s">
        <v>694</v>
      </c>
      <c r="H41" s="2" t="s">
        <v>696</v>
      </c>
      <c r="I41" s="3">
        <v>21</v>
      </c>
      <c r="J41" s="3">
        <v>21</v>
      </c>
      <c r="K41" s="4">
        <f t="shared" si="1"/>
        <v>42</v>
      </c>
      <c r="L41" s="2" t="s">
        <v>31</v>
      </c>
      <c r="M41" s="2" t="s">
        <v>168</v>
      </c>
      <c r="N41" s="2" t="s">
        <v>594</v>
      </c>
    </row>
    <row r="42" spans="1:14" x14ac:dyDescent="0.3">
      <c r="A42" s="2" t="s">
        <v>160</v>
      </c>
      <c r="B42" s="2" t="s">
        <v>687</v>
      </c>
      <c r="C42" s="2" t="s">
        <v>161</v>
      </c>
      <c r="D42" s="2" t="s">
        <v>133</v>
      </c>
      <c r="E42" s="2" t="s">
        <v>127</v>
      </c>
      <c r="F42" s="2" t="s">
        <v>687</v>
      </c>
      <c r="G42" s="2" t="s">
        <v>704</v>
      </c>
      <c r="H42" s="2" t="s">
        <v>705</v>
      </c>
      <c r="I42" s="3">
        <v>19</v>
      </c>
      <c r="J42" s="3">
        <v>19</v>
      </c>
      <c r="K42" s="4">
        <f t="shared" si="1"/>
        <v>38</v>
      </c>
      <c r="L42" s="2" t="s">
        <v>31</v>
      </c>
      <c r="M42" s="2" t="s">
        <v>168</v>
      </c>
      <c r="N42" s="2" t="s">
        <v>594</v>
      </c>
    </row>
    <row r="43" spans="1:14" x14ac:dyDescent="0.3">
      <c r="A43" s="2" t="s">
        <v>160</v>
      </c>
      <c r="B43" s="2" t="s">
        <v>699</v>
      </c>
      <c r="C43" s="2" t="s">
        <v>161</v>
      </c>
      <c r="D43" s="2" t="s">
        <v>133</v>
      </c>
      <c r="E43" s="2" t="s">
        <v>127</v>
      </c>
      <c r="F43" s="2" t="s">
        <v>695</v>
      </c>
      <c r="G43" s="2" t="s">
        <v>699</v>
      </c>
      <c r="H43" s="2" t="s">
        <v>700</v>
      </c>
      <c r="I43" s="3">
        <v>16</v>
      </c>
      <c r="J43" s="3">
        <v>16</v>
      </c>
      <c r="K43" s="4">
        <f t="shared" si="1"/>
        <v>32</v>
      </c>
      <c r="L43" s="2" t="s">
        <v>31</v>
      </c>
      <c r="M43" s="2" t="s">
        <v>168</v>
      </c>
      <c r="N43" s="2" t="s">
        <v>594</v>
      </c>
    </row>
    <row r="44" spans="1:14" x14ac:dyDescent="0.3">
      <c r="A44" s="2" t="s">
        <v>160</v>
      </c>
      <c r="B44" s="2" t="s">
        <v>701</v>
      </c>
      <c r="C44" s="2" t="s">
        <v>161</v>
      </c>
      <c r="D44" s="2" t="s">
        <v>133</v>
      </c>
      <c r="E44" s="2" t="s">
        <v>127</v>
      </c>
      <c r="F44" s="2" t="s">
        <v>128</v>
      </c>
      <c r="G44" s="2" t="s">
        <v>701</v>
      </c>
      <c r="H44" s="2" t="s">
        <v>702</v>
      </c>
      <c r="I44" s="3">
        <v>14</v>
      </c>
      <c r="J44" s="3">
        <v>14</v>
      </c>
      <c r="K44" s="4">
        <f t="shared" si="1"/>
        <v>28</v>
      </c>
      <c r="L44" s="2" t="s">
        <v>31</v>
      </c>
      <c r="M44" s="2" t="s">
        <v>168</v>
      </c>
      <c r="N44" s="2" t="s">
        <v>594</v>
      </c>
    </row>
    <row r="45" spans="1:14" x14ac:dyDescent="0.3">
      <c r="A45" s="2" t="s">
        <v>160</v>
      </c>
      <c r="B45" s="2" t="s">
        <v>711</v>
      </c>
      <c r="C45" s="2" t="s">
        <v>161</v>
      </c>
      <c r="D45" s="2" t="s">
        <v>133</v>
      </c>
      <c r="E45" s="2" t="s">
        <v>127</v>
      </c>
      <c r="F45" s="2" t="s">
        <v>692</v>
      </c>
      <c r="G45" s="2" t="s">
        <v>711</v>
      </c>
      <c r="H45" s="2" t="s">
        <v>712</v>
      </c>
      <c r="I45" s="3">
        <v>14</v>
      </c>
      <c r="J45" s="3">
        <v>14</v>
      </c>
      <c r="K45" s="4">
        <f t="shared" si="1"/>
        <v>28</v>
      </c>
      <c r="L45" s="2" t="s">
        <v>31</v>
      </c>
      <c r="M45" s="2" t="s">
        <v>168</v>
      </c>
      <c r="N45" s="2" t="s">
        <v>594</v>
      </c>
    </row>
    <row r="46" spans="1:14" x14ac:dyDescent="0.3">
      <c r="A46" s="2" t="s">
        <v>160</v>
      </c>
      <c r="B46" s="2" t="s">
        <v>706</v>
      </c>
      <c r="C46" s="2" t="s">
        <v>161</v>
      </c>
      <c r="D46" s="2" t="s">
        <v>133</v>
      </c>
      <c r="E46" s="2" t="s">
        <v>127</v>
      </c>
      <c r="F46" s="2" t="s">
        <v>695</v>
      </c>
      <c r="G46" s="2" t="s">
        <v>706</v>
      </c>
      <c r="H46" s="2" t="s">
        <v>707</v>
      </c>
      <c r="I46" s="3">
        <v>12</v>
      </c>
      <c r="J46" s="3">
        <v>12</v>
      </c>
      <c r="K46" s="4">
        <f t="shared" si="1"/>
        <v>24</v>
      </c>
      <c r="L46" s="2" t="s">
        <v>31</v>
      </c>
      <c r="M46" s="2" t="s">
        <v>168</v>
      </c>
      <c r="N46" s="2" t="s">
        <v>594</v>
      </c>
    </row>
    <row r="47" spans="1:14" x14ac:dyDescent="0.3">
      <c r="A47" s="2" t="s">
        <v>160</v>
      </c>
      <c r="B47" s="2" t="s">
        <v>708</v>
      </c>
      <c r="C47" s="2" t="s">
        <v>161</v>
      </c>
      <c r="D47" s="2" t="s">
        <v>133</v>
      </c>
      <c r="E47" s="2" t="s">
        <v>127</v>
      </c>
      <c r="F47" s="2" t="s">
        <v>709</v>
      </c>
      <c r="G47" s="2" t="s">
        <v>708</v>
      </c>
      <c r="H47" s="2" t="s">
        <v>710</v>
      </c>
      <c r="I47" s="3">
        <v>7</v>
      </c>
      <c r="J47" s="3">
        <v>7</v>
      </c>
      <c r="K47" s="4">
        <f t="shared" si="1"/>
        <v>14</v>
      </c>
      <c r="L47" s="2" t="s">
        <v>31</v>
      </c>
      <c r="M47" s="2" t="s">
        <v>168</v>
      </c>
      <c r="N47" s="2" t="s">
        <v>594</v>
      </c>
    </row>
    <row r="48" spans="1:14" x14ac:dyDescent="0.3">
      <c r="A48" s="2" t="s">
        <v>160</v>
      </c>
      <c r="B48" s="2" t="s">
        <v>715</v>
      </c>
      <c r="C48" s="2" t="s">
        <v>161</v>
      </c>
      <c r="D48" s="2" t="s">
        <v>133</v>
      </c>
      <c r="E48" s="2" t="s">
        <v>127</v>
      </c>
      <c r="F48" s="2" t="s">
        <v>709</v>
      </c>
      <c r="G48" s="2" t="s">
        <v>715</v>
      </c>
      <c r="H48" s="2" t="s">
        <v>716</v>
      </c>
      <c r="I48" s="3">
        <v>5</v>
      </c>
      <c r="J48" s="3">
        <v>5</v>
      </c>
      <c r="K48" s="4">
        <f t="shared" si="1"/>
        <v>10</v>
      </c>
      <c r="L48" s="2" t="s">
        <v>31</v>
      </c>
      <c r="M48" s="2" t="s">
        <v>168</v>
      </c>
      <c r="N48" s="2" t="s">
        <v>594</v>
      </c>
    </row>
    <row r="49" spans="1:14" x14ac:dyDescent="0.3">
      <c r="A49" s="2" t="s">
        <v>160</v>
      </c>
      <c r="B49" s="2" t="s">
        <v>713</v>
      </c>
      <c r="C49" s="2" t="s">
        <v>161</v>
      </c>
      <c r="D49" s="2" t="s">
        <v>133</v>
      </c>
      <c r="E49" s="2" t="s">
        <v>127</v>
      </c>
      <c r="F49" s="2" t="s">
        <v>709</v>
      </c>
      <c r="G49" s="2" t="s">
        <v>713</v>
      </c>
      <c r="H49" s="2" t="s">
        <v>714</v>
      </c>
      <c r="I49" s="3">
        <v>3</v>
      </c>
      <c r="J49" s="3">
        <v>3</v>
      </c>
      <c r="K49" s="4">
        <f t="shared" si="1"/>
        <v>6</v>
      </c>
      <c r="L49" s="2" t="s">
        <v>31</v>
      </c>
      <c r="M49" s="2" t="s">
        <v>168</v>
      </c>
      <c r="N49" s="2" t="s">
        <v>594</v>
      </c>
    </row>
    <row r="50" spans="1:14" x14ac:dyDescent="0.3">
      <c r="A50" s="2" t="s">
        <v>160</v>
      </c>
      <c r="B50" s="2" t="s">
        <v>717</v>
      </c>
      <c r="C50" s="2" t="s">
        <v>161</v>
      </c>
      <c r="D50" s="2" t="s">
        <v>133</v>
      </c>
      <c r="E50" s="2" t="s">
        <v>127</v>
      </c>
      <c r="F50" s="2" t="s">
        <v>709</v>
      </c>
      <c r="G50" s="2" t="s">
        <v>718</v>
      </c>
      <c r="H50" s="2" t="s">
        <v>719</v>
      </c>
      <c r="I50" s="3">
        <v>3</v>
      </c>
      <c r="J50" s="3">
        <v>3</v>
      </c>
      <c r="K50" s="4">
        <f t="shared" si="1"/>
        <v>6</v>
      </c>
      <c r="L50" s="2" t="s">
        <v>31</v>
      </c>
      <c r="M50" s="2" t="s">
        <v>168</v>
      </c>
      <c r="N50" s="2" t="s">
        <v>594</v>
      </c>
    </row>
    <row r="51" spans="1:14" x14ac:dyDescent="0.3">
      <c r="A51" s="2" t="s">
        <v>160</v>
      </c>
      <c r="B51" s="2" t="s">
        <v>360</v>
      </c>
      <c r="C51" s="2" t="s">
        <v>358</v>
      </c>
      <c r="D51" s="2" t="s">
        <v>137</v>
      </c>
      <c r="E51" s="2" t="s">
        <v>29</v>
      </c>
      <c r="F51" s="2"/>
      <c r="G51" s="2" t="s">
        <v>360</v>
      </c>
      <c r="H51" s="2" t="s">
        <v>607</v>
      </c>
      <c r="I51" s="3">
        <v>300</v>
      </c>
      <c r="J51" s="3">
        <v>300</v>
      </c>
      <c r="K51" s="4">
        <f t="shared" si="1"/>
        <v>600</v>
      </c>
      <c r="L51" s="2" t="s">
        <v>31</v>
      </c>
      <c r="M51" s="2" t="s">
        <v>168</v>
      </c>
      <c r="N51" s="2" t="s">
        <v>594</v>
      </c>
    </row>
    <row r="52" spans="1:14" x14ac:dyDescent="0.3">
      <c r="A52" s="2" t="s">
        <v>160</v>
      </c>
      <c r="B52" s="2" t="s">
        <v>609</v>
      </c>
      <c r="C52" s="2" t="s">
        <v>146</v>
      </c>
      <c r="D52" s="2" t="s">
        <v>137</v>
      </c>
      <c r="E52" s="2" t="s">
        <v>29</v>
      </c>
      <c r="F52" s="2"/>
      <c r="G52" s="2" t="s">
        <v>145</v>
      </c>
      <c r="H52" s="2" t="s">
        <v>610</v>
      </c>
      <c r="I52" s="3">
        <v>266</v>
      </c>
      <c r="J52" s="3">
        <v>266</v>
      </c>
      <c r="K52" s="4">
        <f t="shared" si="1"/>
        <v>532</v>
      </c>
      <c r="L52" s="2" t="s">
        <v>31</v>
      </c>
      <c r="M52" s="2" t="s">
        <v>168</v>
      </c>
      <c r="N52" s="2" t="s">
        <v>594</v>
      </c>
    </row>
    <row r="53" spans="1:14" x14ac:dyDescent="0.3">
      <c r="A53" s="2" t="s">
        <v>160</v>
      </c>
      <c r="B53" s="2" t="s">
        <v>358</v>
      </c>
      <c r="C53" s="2" t="s">
        <v>358</v>
      </c>
      <c r="D53" s="2" t="s">
        <v>137</v>
      </c>
      <c r="E53" s="2" t="s">
        <v>29</v>
      </c>
      <c r="F53" s="2"/>
      <c r="G53" s="2" t="s">
        <v>358</v>
      </c>
      <c r="H53" s="2" t="s">
        <v>614</v>
      </c>
      <c r="I53" s="3">
        <v>246</v>
      </c>
      <c r="J53" s="3">
        <v>246</v>
      </c>
      <c r="K53" s="4">
        <f t="shared" si="1"/>
        <v>492</v>
      </c>
      <c r="L53" s="2" t="s">
        <v>31</v>
      </c>
      <c r="M53" s="2" t="s">
        <v>168</v>
      </c>
      <c r="N53" s="2" t="s">
        <v>594</v>
      </c>
    </row>
    <row r="54" spans="1:14" x14ac:dyDescent="0.3">
      <c r="A54" s="2" t="s">
        <v>160</v>
      </c>
      <c r="B54" s="2" t="s">
        <v>627</v>
      </c>
      <c r="C54" s="2" t="s">
        <v>358</v>
      </c>
      <c r="D54" s="2" t="s">
        <v>137</v>
      </c>
      <c r="E54" s="2" t="s">
        <v>29</v>
      </c>
      <c r="F54" s="2"/>
      <c r="G54" s="2" t="s">
        <v>627</v>
      </c>
      <c r="H54" s="2" t="s">
        <v>628</v>
      </c>
      <c r="I54" s="3">
        <v>212</v>
      </c>
      <c r="J54" s="3">
        <v>212</v>
      </c>
      <c r="K54" s="4">
        <f t="shared" si="1"/>
        <v>424</v>
      </c>
      <c r="L54" s="2" t="s">
        <v>31</v>
      </c>
      <c r="M54" s="2" t="s">
        <v>168</v>
      </c>
      <c r="N54" s="2" t="s">
        <v>594</v>
      </c>
    </row>
    <row r="55" spans="1:14" x14ac:dyDescent="0.3">
      <c r="A55" s="2" t="s">
        <v>160</v>
      </c>
      <c r="B55" s="2" t="s">
        <v>619</v>
      </c>
      <c r="C55" s="2" t="s">
        <v>143</v>
      </c>
      <c r="D55" s="2" t="s">
        <v>137</v>
      </c>
      <c r="E55" s="2" t="s">
        <v>29</v>
      </c>
      <c r="F55" s="2"/>
      <c r="G55" s="2" t="s">
        <v>371</v>
      </c>
      <c r="H55" s="2" t="s">
        <v>620</v>
      </c>
      <c r="I55" s="3">
        <v>202</v>
      </c>
      <c r="J55" s="3">
        <v>202</v>
      </c>
      <c r="K55" s="4">
        <f t="shared" si="1"/>
        <v>404</v>
      </c>
      <c r="L55" s="2" t="s">
        <v>31</v>
      </c>
      <c r="M55" s="2" t="s">
        <v>168</v>
      </c>
      <c r="N55" s="2" t="s">
        <v>594</v>
      </c>
    </row>
    <row r="56" spans="1:14" x14ac:dyDescent="0.3">
      <c r="A56" s="2" t="s">
        <v>160</v>
      </c>
      <c r="B56" s="2" t="s">
        <v>142</v>
      </c>
      <c r="C56" s="2" t="s">
        <v>143</v>
      </c>
      <c r="D56" s="2" t="s">
        <v>137</v>
      </c>
      <c r="E56" s="2" t="s">
        <v>29</v>
      </c>
      <c r="F56" s="2"/>
      <c r="G56" s="2" t="s">
        <v>142</v>
      </c>
      <c r="H56" s="2" t="s">
        <v>633</v>
      </c>
      <c r="I56" s="3">
        <v>196</v>
      </c>
      <c r="J56" s="3">
        <v>196</v>
      </c>
      <c r="K56" s="4">
        <f t="shared" si="1"/>
        <v>392</v>
      </c>
      <c r="L56" s="2" t="s">
        <v>31</v>
      </c>
      <c r="M56" s="2" t="s">
        <v>168</v>
      </c>
      <c r="N56" s="2" t="s">
        <v>594</v>
      </c>
    </row>
    <row r="57" spans="1:14" x14ac:dyDescent="0.3">
      <c r="A57" s="2" t="s">
        <v>160</v>
      </c>
      <c r="B57" s="2" t="s">
        <v>596</v>
      </c>
      <c r="C57" s="2" t="s">
        <v>143</v>
      </c>
      <c r="D57" s="2" t="s">
        <v>137</v>
      </c>
      <c r="E57" s="2" t="s">
        <v>29</v>
      </c>
      <c r="F57" s="2"/>
      <c r="G57" s="2" t="s">
        <v>597</v>
      </c>
      <c r="H57" s="2" t="s">
        <v>598</v>
      </c>
      <c r="I57" s="3">
        <v>191</v>
      </c>
      <c r="J57" s="3">
        <v>191</v>
      </c>
      <c r="K57" s="4">
        <f t="shared" si="1"/>
        <v>382</v>
      </c>
      <c r="L57" s="2" t="s">
        <v>31</v>
      </c>
      <c r="M57" s="2" t="s">
        <v>168</v>
      </c>
      <c r="N57" s="2" t="s">
        <v>594</v>
      </c>
    </row>
    <row r="58" spans="1:14" x14ac:dyDescent="0.3">
      <c r="A58" s="2" t="s">
        <v>160</v>
      </c>
      <c r="B58" s="2" t="s">
        <v>634</v>
      </c>
      <c r="C58" s="2" t="s">
        <v>143</v>
      </c>
      <c r="D58" s="2" t="s">
        <v>137</v>
      </c>
      <c r="E58" s="2" t="s">
        <v>29</v>
      </c>
      <c r="F58" s="2"/>
      <c r="G58" s="2" t="s">
        <v>634</v>
      </c>
      <c r="H58" s="2" t="s">
        <v>635</v>
      </c>
      <c r="I58" s="3">
        <v>175</v>
      </c>
      <c r="J58" s="3">
        <v>175</v>
      </c>
      <c r="K58" s="4">
        <f t="shared" si="1"/>
        <v>350</v>
      </c>
      <c r="L58" s="2" t="s">
        <v>31</v>
      </c>
      <c r="M58" s="2" t="s">
        <v>168</v>
      </c>
      <c r="N58" s="2" t="s">
        <v>594</v>
      </c>
    </row>
    <row r="59" spans="1:14" x14ac:dyDescent="0.3">
      <c r="A59" s="2" t="s">
        <v>160</v>
      </c>
      <c r="B59" s="2" t="s">
        <v>636</v>
      </c>
      <c r="C59" s="2" t="s">
        <v>363</v>
      </c>
      <c r="D59" s="2" t="s">
        <v>137</v>
      </c>
      <c r="E59" s="2" t="s">
        <v>29</v>
      </c>
      <c r="F59" s="2"/>
      <c r="G59" s="2" t="s">
        <v>636</v>
      </c>
      <c r="H59" s="2" t="s">
        <v>637</v>
      </c>
      <c r="I59" s="3">
        <v>165</v>
      </c>
      <c r="J59" s="3">
        <v>165</v>
      </c>
      <c r="K59" s="4">
        <f t="shared" si="1"/>
        <v>330</v>
      </c>
      <c r="L59" s="2" t="s">
        <v>31</v>
      </c>
      <c r="M59" s="2" t="s">
        <v>168</v>
      </c>
      <c r="N59" s="2" t="s">
        <v>594</v>
      </c>
    </row>
    <row r="60" spans="1:14" x14ac:dyDescent="0.3">
      <c r="A60" s="2" t="s">
        <v>160</v>
      </c>
      <c r="B60" s="2" t="s">
        <v>640</v>
      </c>
      <c r="C60" s="2" t="s">
        <v>136</v>
      </c>
      <c r="D60" s="2" t="s">
        <v>137</v>
      </c>
      <c r="E60" s="2" t="s">
        <v>29</v>
      </c>
      <c r="F60" s="2"/>
      <c r="G60" s="2" t="s">
        <v>640</v>
      </c>
      <c r="H60" s="2" t="s">
        <v>641</v>
      </c>
      <c r="I60" s="3">
        <v>162</v>
      </c>
      <c r="J60" s="3">
        <v>162</v>
      </c>
      <c r="K60" s="4">
        <f t="shared" si="1"/>
        <v>324</v>
      </c>
      <c r="L60" s="2" t="s">
        <v>31</v>
      </c>
      <c r="M60" s="2" t="s">
        <v>168</v>
      </c>
      <c r="N60" s="2" t="s">
        <v>594</v>
      </c>
    </row>
    <row r="61" spans="1:14" x14ac:dyDescent="0.3">
      <c r="A61" s="2" t="s">
        <v>160</v>
      </c>
      <c r="B61" s="2" t="s">
        <v>644</v>
      </c>
      <c r="C61" s="2" t="s">
        <v>136</v>
      </c>
      <c r="D61" s="2" t="s">
        <v>137</v>
      </c>
      <c r="E61" s="2" t="s">
        <v>29</v>
      </c>
      <c r="F61" s="2"/>
      <c r="G61" s="2" t="s">
        <v>644</v>
      </c>
      <c r="H61" s="2" t="s">
        <v>645</v>
      </c>
      <c r="I61" s="3">
        <v>156</v>
      </c>
      <c r="J61" s="3">
        <v>156</v>
      </c>
      <c r="K61" s="4">
        <f t="shared" si="1"/>
        <v>312</v>
      </c>
      <c r="L61" s="2" t="s">
        <v>31</v>
      </c>
      <c r="M61" s="2" t="s">
        <v>168</v>
      </c>
      <c r="N61" s="2" t="s">
        <v>594</v>
      </c>
    </row>
    <row r="62" spans="1:14" x14ac:dyDescent="0.3">
      <c r="A62" s="2" t="s">
        <v>160</v>
      </c>
      <c r="B62" s="2" t="s">
        <v>651</v>
      </c>
      <c r="C62" s="2" t="s">
        <v>363</v>
      </c>
      <c r="D62" s="2" t="s">
        <v>137</v>
      </c>
      <c r="E62" s="2" t="s">
        <v>29</v>
      </c>
      <c r="F62" s="2"/>
      <c r="G62" s="2" t="s">
        <v>651</v>
      </c>
      <c r="H62" s="2" t="s">
        <v>652</v>
      </c>
      <c r="I62" s="3">
        <v>153</v>
      </c>
      <c r="J62" s="3">
        <v>153</v>
      </c>
      <c r="K62" s="4">
        <f t="shared" si="1"/>
        <v>306</v>
      </c>
      <c r="L62" s="2" t="s">
        <v>31</v>
      </c>
      <c r="M62" s="2" t="s">
        <v>168</v>
      </c>
      <c r="N62" s="2" t="s">
        <v>594</v>
      </c>
    </row>
    <row r="63" spans="1:14" x14ac:dyDescent="0.3">
      <c r="A63" s="2" t="s">
        <v>160</v>
      </c>
      <c r="B63" s="2" t="s">
        <v>631</v>
      </c>
      <c r="C63" s="2" t="s">
        <v>136</v>
      </c>
      <c r="D63" s="2" t="s">
        <v>137</v>
      </c>
      <c r="E63" s="2" t="s">
        <v>29</v>
      </c>
      <c r="F63" s="2"/>
      <c r="G63" s="2" t="s">
        <v>631</v>
      </c>
      <c r="H63" s="2" t="s">
        <v>632</v>
      </c>
      <c r="I63" s="3">
        <v>150</v>
      </c>
      <c r="J63" s="3">
        <v>150</v>
      </c>
      <c r="K63" s="4">
        <f t="shared" si="1"/>
        <v>300</v>
      </c>
      <c r="L63" s="2" t="s">
        <v>31</v>
      </c>
      <c r="M63" s="2" t="s">
        <v>168</v>
      </c>
      <c r="N63" s="2" t="s">
        <v>594</v>
      </c>
    </row>
    <row r="64" spans="1:14" x14ac:dyDescent="0.3">
      <c r="A64" s="2" t="s">
        <v>160</v>
      </c>
      <c r="B64" s="2" t="s">
        <v>649</v>
      </c>
      <c r="C64" s="2" t="s">
        <v>363</v>
      </c>
      <c r="D64" s="2" t="s">
        <v>137</v>
      </c>
      <c r="E64" s="2" t="s">
        <v>29</v>
      </c>
      <c r="F64" s="2"/>
      <c r="G64" s="2" t="s">
        <v>649</v>
      </c>
      <c r="H64" s="2" t="s">
        <v>650</v>
      </c>
      <c r="I64" s="3">
        <v>134</v>
      </c>
      <c r="J64" s="3">
        <v>134</v>
      </c>
      <c r="K64" s="4">
        <f t="shared" si="1"/>
        <v>268</v>
      </c>
      <c r="L64" s="2" t="s">
        <v>31</v>
      </c>
      <c r="M64" s="2" t="s">
        <v>168</v>
      </c>
      <c r="N64" s="2" t="s">
        <v>594</v>
      </c>
    </row>
    <row r="65" spans="1:14" x14ac:dyDescent="0.3">
      <c r="A65" s="2" t="s">
        <v>160</v>
      </c>
      <c r="B65" s="2" t="s">
        <v>503</v>
      </c>
      <c r="C65" s="2" t="s">
        <v>136</v>
      </c>
      <c r="D65" s="2" t="s">
        <v>137</v>
      </c>
      <c r="E65" s="2" t="s">
        <v>29</v>
      </c>
      <c r="F65" s="2"/>
      <c r="G65" s="2" t="s">
        <v>503</v>
      </c>
      <c r="H65" s="2" t="s">
        <v>666</v>
      </c>
      <c r="I65" s="3">
        <v>121</v>
      </c>
      <c r="J65" s="3">
        <v>121</v>
      </c>
      <c r="K65" s="4">
        <f t="shared" si="1"/>
        <v>242</v>
      </c>
      <c r="L65" s="2" t="s">
        <v>31</v>
      </c>
      <c r="M65" s="2" t="s">
        <v>168</v>
      </c>
      <c r="N65" s="2" t="s">
        <v>594</v>
      </c>
    </row>
    <row r="66" spans="1:14" x14ac:dyDescent="0.3">
      <c r="A66" s="2" t="s">
        <v>160</v>
      </c>
      <c r="B66" s="2" t="s">
        <v>679</v>
      </c>
      <c r="C66" s="2" t="s">
        <v>363</v>
      </c>
      <c r="D66" s="2" t="s">
        <v>137</v>
      </c>
      <c r="E66" s="2" t="s">
        <v>29</v>
      </c>
      <c r="F66" s="2"/>
      <c r="G66" s="2" t="s">
        <v>679</v>
      </c>
      <c r="H66" s="2" t="s">
        <v>680</v>
      </c>
      <c r="I66" s="3">
        <v>99</v>
      </c>
      <c r="J66" s="3">
        <v>99</v>
      </c>
      <c r="K66" s="4">
        <f t="shared" ref="K66:K97" si="2">IF(I66="","",I66+J66)</f>
        <v>198</v>
      </c>
      <c r="L66" s="2" t="s">
        <v>31</v>
      </c>
      <c r="M66" s="2" t="s">
        <v>168</v>
      </c>
      <c r="N66" s="2" t="s">
        <v>594</v>
      </c>
    </row>
    <row r="67" spans="1:14" x14ac:dyDescent="0.3">
      <c r="A67" s="2" t="s">
        <v>160</v>
      </c>
      <c r="B67" s="2" t="s">
        <v>662</v>
      </c>
      <c r="C67" s="2" t="s">
        <v>363</v>
      </c>
      <c r="D67" s="2" t="s">
        <v>137</v>
      </c>
      <c r="E67" s="2" t="s">
        <v>29</v>
      </c>
      <c r="F67" s="2"/>
      <c r="G67" s="2" t="s">
        <v>362</v>
      </c>
      <c r="H67" s="2" t="s">
        <v>663</v>
      </c>
      <c r="I67" s="3">
        <v>97</v>
      </c>
      <c r="J67" s="3">
        <v>97</v>
      </c>
      <c r="K67" s="4">
        <f t="shared" si="2"/>
        <v>194</v>
      </c>
      <c r="L67" s="2" t="s">
        <v>31</v>
      </c>
      <c r="M67" s="2" t="s">
        <v>168</v>
      </c>
      <c r="N67" s="2" t="s">
        <v>594</v>
      </c>
    </row>
    <row r="68" spans="1:14" x14ac:dyDescent="0.3">
      <c r="A68" s="2" t="s">
        <v>160</v>
      </c>
      <c r="B68" s="2" t="s">
        <v>135</v>
      </c>
      <c r="C68" s="2" t="s">
        <v>136</v>
      </c>
      <c r="D68" s="2" t="s">
        <v>137</v>
      </c>
      <c r="E68" s="2" t="s">
        <v>29</v>
      </c>
      <c r="F68" s="2"/>
      <c r="G68" s="2" t="s">
        <v>135</v>
      </c>
      <c r="H68" s="2" t="s">
        <v>678</v>
      </c>
      <c r="I68" s="3">
        <v>62</v>
      </c>
      <c r="J68" s="3">
        <v>62</v>
      </c>
      <c r="K68" s="4">
        <f t="shared" si="2"/>
        <v>124</v>
      </c>
      <c r="L68" s="2" t="s">
        <v>31</v>
      </c>
      <c r="M68" s="2" t="s">
        <v>168</v>
      </c>
      <c r="N68" s="2" t="s">
        <v>594</v>
      </c>
    </row>
    <row r="69" spans="1:14" x14ac:dyDescent="0.3">
      <c r="A69" s="2" t="s">
        <v>160</v>
      </c>
      <c r="B69" s="2" t="s">
        <v>81</v>
      </c>
      <c r="C69" s="2" t="s">
        <v>82</v>
      </c>
      <c r="D69" s="2" t="s">
        <v>45</v>
      </c>
      <c r="E69" s="2" t="s">
        <v>29</v>
      </c>
      <c r="F69" s="2"/>
      <c r="G69" s="2" t="s">
        <v>81</v>
      </c>
      <c r="H69" s="2" t="s">
        <v>595</v>
      </c>
      <c r="I69" s="3">
        <v>483</v>
      </c>
      <c r="J69" s="3">
        <v>483</v>
      </c>
      <c r="K69" s="4">
        <f t="shared" si="2"/>
        <v>966</v>
      </c>
      <c r="L69" s="2" t="s">
        <v>31</v>
      </c>
      <c r="M69" s="2" t="s">
        <v>168</v>
      </c>
      <c r="N69" s="2" t="s">
        <v>594</v>
      </c>
    </row>
    <row r="70" spans="1:14" x14ac:dyDescent="0.3">
      <c r="A70" s="2" t="s">
        <v>160</v>
      </c>
      <c r="B70" s="2" t="s">
        <v>148</v>
      </c>
      <c r="C70" s="2" t="s">
        <v>82</v>
      </c>
      <c r="D70" s="2" t="s">
        <v>45</v>
      </c>
      <c r="E70" s="2" t="s">
        <v>29</v>
      </c>
      <c r="F70" s="2"/>
      <c r="G70" s="2" t="s">
        <v>148</v>
      </c>
      <c r="H70" s="2" t="s">
        <v>601</v>
      </c>
      <c r="I70" s="3">
        <v>386</v>
      </c>
      <c r="J70" s="3">
        <v>386</v>
      </c>
      <c r="K70" s="4">
        <f t="shared" si="2"/>
        <v>772</v>
      </c>
      <c r="L70" s="2" t="s">
        <v>31</v>
      </c>
      <c r="M70" s="2" t="s">
        <v>168</v>
      </c>
      <c r="N70" s="2" t="s">
        <v>594</v>
      </c>
    </row>
    <row r="71" spans="1:14" x14ac:dyDescent="0.3">
      <c r="A71" s="2" t="s">
        <v>160</v>
      </c>
      <c r="B71" s="2" t="s">
        <v>605</v>
      </c>
      <c r="C71" s="2" t="s">
        <v>82</v>
      </c>
      <c r="D71" s="2" t="s">
        <v>45</v>
      </c>
      <c r="E71" s="2" t="s">
        <v>29</v>
      </c>
      <c r="F71" s="2"/>
      <c r="G71" s="2" t="s">
        <v>605</v>
      </c>
      <c r="H71" s="2" t="s">
        <v>606</v>
      </c>
      <c r="I71" s="3">
        <v>349</v>
      </c>
      <c r="J71" s="3">
        <v>349</v>
      </c>
      <c r="K71" s="4">
        <f t="shared" si="2"/>
        <v>698</v>
      </c>
      <c r="L71" s="2" t="s">
        <v>31</v>
      </c>
      <c r="M71" s="2" t="s">
        <v>168</v>
      </c>
      <c r="N71" s="2" t="s">
        <v>594</v>
      </c>
    </row>
  </sheetData>
  <autoFilter ref="A1:N71" xr:uid="{00000000-0009-0000-0000-000003000000}"/>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0"/>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16" customWidth="1"/>
    <col min="2" max="2" width="34" customWidth="1"/>
    <col min="3" max="3" width="14" customWidth="1"/>
    <col min="4" max="4" width="15" customWidth="1"/>
    <col min="5" max="5" width="17" customWidth="1"/>
    <col min="6" max="6" width="18" customWidth="1"/>
    <col min="7" max="7" width="40" customWidth="1"/>
    <col min="8" max="8" width="60" customWidth="1"/>
    <col min="9" max="10" width="11" customWidth="1"/>
    <col min="11" max="11" width="12" customWidth="1"/>
    <col min="12" max="12" width="20" customWidth="1"/>
    <col min="13" max="13" width="30" customWidth="1"/>
    <col min="14" max="14" width="55" customWidth="1"/>
  </cols>
  <sheetData>
    <row r="1" spans="1:14" ht="33.75" customHeight="1" x14ac:dyDescent="0.3">
      <c r="A1" s="1" t="s">
        <v>6</v>
      </c>
      <c r="B1" s="1" t="s">
        <v>903</v>
      </c>
      <c r="C1" s="1" t="s">
        <v>9</v>
      </c>
      <c r="D1" s="1" t="s">
        <v>904</v>
      </c>
      <c r="E1" s="1" t="s">
        <v>11</v>
      </c>
      <c r="F1" s="1" t="s">
        <v>12</v>
      </c>
      <c r="G1" s="1" t="s">
        <v>13</v>
      </c>
      <c r="H1" s="1" t="s">
        <v>14</v>
      </c>
      <c r="I1" s="1" t="s">
        <v>15</v>
      </c>
      <c r="J1" s="1" t="s">
        <v>16</v>
      </c>
      <c r="K1" s="1" t="s">
        <v>17</v>
      </c>
      <c r="L1" s="1" t="s">
        <v>18</v>
      </c>
      <c r="M1" s="1" t="s">
        <v>905</v>
      </c>
      <c r="N1" s="1" t="s">
        <v>19</v>
      </c>
    </row>
    <row r="2" spans="1:14" x14ac:dyDescent="0.3">
      <c r="A2" s="2" t="s">
        <v>43</v>
      </c>
      <c r="B2" s="2" t="s">
        <v>727</v>
      </c>
      <c r="C2" s="2" t="s">
        <v>152</v>
      </c>
      <c r="D2" s="2" t="s">
        <v>38</v>
      </c>
      <c r="E2" s="2" t="s">
        <v>29</v>
      </c>
      <c r="F2" s="2" t="s">
        <v>188</v>
      </c>
      <c r="G2" s="2" t="s">
        <v>727</v>
      </c>
      <c r="H2" s="2" t="s">
        <v>728</v>
      </c>
      <c r="I2" s="3">
        <v>740</v>
      </c>
      <c r="J2" s="3">
        <v>740</v>
      </c>
      <c r="K2" s="4">
        <f t="shared" ref="K2:K33" si="0">IF(I2="","",I2+J2)</f>
        <v>1480</v>
      </c>
      <c r="L2" s="2" t="s">
        <v>40</v>
      </c>
      <c r="M2" s="2" t="s">
        <v>168</v>
      </c>
      <c r="N2" s="2" t="s">
        <v>721</v>
      </c>
    </row>
    <row r="3" spans="1:14" x14ac:dyDescent="0.3">
      <c r="A3" s="2" t="s">
        <v>43</v>
      </c>
      <c r="B3" s="2" t="s">
        <v>292</v>
      </c>
      <c r="C3" s="2" t="s">
        <v>37</v>
      </c>
      <c r="D3" s="2" t="s">
        <v>38</v>
      </c>
      <c r="E3" s="2" t="s">
        <v>29</v>
      </c>
      <c r="F3" s="2"/>
      <c r="G3" s="2" t="s">
        <v>292</v>
      </c>
      <c r="H3" s="2" t="s">
        <v>730</v>
      </c>
      <c r="I3" s="3">
        <v>703</v>
      </c>
      <c r="J3" s="3">
        <v>703</v>
      </c>
      <c r="K3" s="4">
        <f t="shared" si="0"/>
        <v>1406</v>
      </c>
      <c r="L3" s="2" t="s">
        <v>31</v>
      </c>
      <c r="M3" s="2" t="s">
        <v>168</v>
      </c>
      <c r="N3" s="2" t="s">
        <v>721</v>
      </c>
    </row>
    <row r="4" spans="1:14" x14ac:dyDescent="0.3">
      <c r="A4" s="2" t="s">
        <v>43</v>
      </c>
      <c r="B4" s="2" t="s">
        <v>25</v>
      </c>
      <c r="C4" s="2" t="s">
        <v>26</v>
      </c>
      <c r="D4" s="2" t="s">
        <v>38</v>
      </c>
      <c r="E4" s="2" t="s">
        <v>29</v>
      </c>
      <c r="F4" s="2"/>
      <c r="G4" s="2" t="s">
        <v>25</v>
      </c>
      <c r="H4" s="2" t="s">
        <v>735</v>
      </c>
      <c r="I4" s="3">
        <v>612</v>
      </c>
      <c r="J4" s="3">
        <v>612</v>
      </c>
      <c r="K4" s="4">
        <f t="shared" si="0"/>
        <v>1224</v>
      </c>
      <c r="L4" s="2" t="s">
        <v>31</v>
      </c>
      <c r="M4" s="2" t="s">
        <v>168</v>
      </c>
      <c r="N4" s="2" t="s">
        <v>721</v>
      </c>
    </row>
    <row r="5" spans="1:14" x14ac:dyDescent="0.3">
      <c r="A5" s="2" t="s">
        <v>43</v>
      </c>
      <c r="B5" s="2" t="s">
        <v>160</v>
      </c>
      <c r="C5" s="2" t="s">
        <v>161</v>
      </c>
      <c r="D5" s="2" t="s">
        <v>133</v>
      </c>
      <c r="E5" s="2" t="s">
        <v>29</v>
      </c>
      <c r="F5" s="2"/>
      <c r="G5" s="2" t="s">
        <v>160</v>
      </c>
      <c r="H5" s="2" t="s">
        <v>729</v>
      </c>
      <c r="I5" s="3">
        <v>631</v>
      </c>
      <c r="J5" s="3">
        <v>631</v>
      </c>
      <c r="K5" s="4">
        <f t="shared" si="0"/>
        <v>1262</v>
      </c>
      <c r="L5" s="2" t="s">
        <v>31</v>
      </c>
      <c r="M5" s="2" t="s">
        <v>168</v>
      </c>
      <c r="N5" s="2" t="s">
        <v>721</v>
      </c>
    </row>
    <row r="6" spans="1:14" x14ac:dyDescent="0.3">
      <c r="A6" s="2" t="s">
        <v>43</v>
      </c>
      <c r="B6" s="2" t="s">
        <v>174</v>
      </c>
      <c r="C6" s="2" t="s">
        <v>140</v>
      </c>
      <c r="D6" s="2" t="s">
        <v>133</v>
      </c>
      <c r="E6" s="2" t="s">
        <v>29</v>
      </c>
      <c r="F6" s="2"/>
      <c r="G6" s="2" t="s">
        <v>174</v>
      </c>
      <c r="H6" s="2" t="s">
        <v>734</v>
      </c>
      <c r="I6" s="3">
        <v>583</v>
      </c>
      <c r="J6" s="3">
        <v>583</v>
      </c>
      <c r="K6" s="4">
        <f t="shared" si="0"/>
        <v>1166</v>
      </c>
      <c r="L6" s="2" t="s">
        <v>31</v>
      </c>
      <c r="M6" s="2" t="s">
        <v>168</v>
      </c>
      <c r="N6" s="2" t="s">
        <v>721</v>
      </c>
    </row>
    <row r="7" spans="1:14" x14ac:dyDescent="0.3">
      <c r="A7" s="2" t="s">
        <v>43</v>
      </c>
      <c r="B7" s="2" t="s">
        <v>246</v>
      </c>
      <c r="C7" s="2" t="s">
        <v>132</v>
      </c>
      <c r="D7" s="2" t="s">
        <v>133</v>
      </c>
      <c r="E7" s="2" t="s">
        <v>29</v>
      </c>
      <c r="F7" s="2"/>
      <c r="G7" s="2" t="s">
        <v>246</v>
      </c>
      <c r="H7" s="2" t="s">
        <v>739</v>
      </c>
      <c r="I7" s="3">
        <v>487</v>
      </c>
      <c r="J7" s="3">
        <v>487</v>
      </c>
      <c r="K7" s="4">
        <f t="shared" si="0"/>
        <v>974</v>
      </c>
      <c r="L7" s="2" t="s">
        <v>31</v>
      </c>
      <c r="M7" s="2" t="s">
        <v>168</v>
      </c>
      <c r="N7" s="2" t="s">
        <v>721</v>
      </c>
    </row>
    <row r="8" spans="1:14" x14ac:dyDescent="0.3">
      <c r="A8" s="2" t="s">
        <v>43</v>
      </c>
      <c r="B8" s="2" t="s">
        <v>108</v>
      </c>
      <c r="C8" s="2" t="s">
        <v>82</v>
      </c>
      <c r="D8" s="2" t="s">
        <v>45</v>
      </c>
      <c r="E8" s="2" t="s">
        <v>29</v>
      </c>
      <c r="F8" s="2"/>
      <c r="G8" s="2" t="s">
        <v>108</v>
      </c>
      <c r="H8" s="2" t="s">
        <v>742</v>
      </c>
      <c r="I8" s="3">
        <v>338</v>
      </c>
      <c r="J8" s="3">
        <v>338</v>
      </c>
      <c r="K8" s="4">
        <f t="shared" si="0"/>
        <v>676</v>
      </c>
      <c r="L8" s="2" t="s">
        <v>31</v>
      </c>
      <c r="M8" s="2" t="s">
        <v>168</v>
      </c>
      <c r="N8" s="2" t="s">
        <v>721</v>
      </c>
    </row>
    <row r="9" spans="1:14" x14ac:dyDescent="0.3">
      <c r="A9" s="2" t="s">
        <v>43</v>
      </c>
      <c r="B9" s="2" t="s">
        <v>89</v>
      </c>
      <c r="C9" s="2" t="s">
        <v>90</v>
      </c>
      <c r="D9" s="2" t="s">
        <v>45</v>
      </c>
      <c r="E9" s="2" t="s">
        <v>29</v>
      </c>
      <c r="F9" s="2"/>
      <c r="G9" s="2" t="s">
        <v>89</v>
      </c>
      <c r="H9" s="2" t="s">
        <v>745</v>
      </c>
      <c r="I9" s="3">
        <v>302</v>
      </c>
      <c r="J9" s="3">
        <v>302</v>
      </c>
      <c r="K9" s="4">
        <f t="shared" si="0"/>
        <v>604</v>
      </c>
      <c r="L9" s="2" t="s">
        <v>31</v>
      </c>
      <c r="M9" s="2" t="s">
        <v>168</v>
      </c>
      <c r="N9" s="2" t="s">
        <v>721</v>
      </c>
    </row>
    <row r="10" spans="1:14" x14ac:dyDescent="0.3">
      <c r="A10" s="2" t="s">
        <v>43</v>
      </c>
      <c r="B10" s="2" t="s">
        <v>148</v>
      </c>
      <c r="C10" s="2" t="s">
        <v>82</v>
      </c>
      <c r="D10" s="2" t="s">
        <v>45</v>
      </c>
      <c r="E10" s="2" t="s">
        <v>29</v>
      </c>
      <c r="F10" s="2"/>
      <c r="G10" s="2" t="s">
        <v>148</v>
      </c>
      <c r="H10" s="2" t="s">
        <v>747</v>
      </c>
      <c r="I10" s="3">
        <v>285</v>
      </c>
      <c r="J10" s="3">
        <v>285</v>
      </c>
      <c r="K10" s="4">
        <f t="shared" si="0"/>
        <v>570</v>
      </c>
      <c r="L10" s="2" t="s">
        <v>31</v>
      </c>
      <c r="M10" s="2" t="s">
        <v>168</v>
      </c>
      <c r="N10" s="2" t="s">
        <v>721</v>
      </c>
    </row>
    <row r="11" spans="1:14" x14ac:dyDescent="0.3">
      <c r="A11" s="2" t="s">
        <v>43</v>
      </c>
      <c r="B11" s="2" t="s">
        <v>390</v>
      </c>
      <c r="C11" s="2" t="s">
        <v>90</v>
      </c>
      <c r="D11" s="2" t="s">
        <v>45</v>
      </c>
      <c r="E11" s="2" t="s">
        <v>29</v>
      </c>
      <c r="F11" s="2"/>
      <c r="G11" s="2" t="s">
        <v>390</v>
      </c>
      <c r="H11" s="2" t="s">
        <v>748</v>
      </c>
      <c r="I11" s="3">
        <v>283</v>
      </c>
      <c r="J11" s="3">
        <v>283</v>
      </c>
      <c r="K11" s="4">
        <f t="shared" si="0"/>
        <v>566</v>
      </c>
      <c r="L11" s="2" t="s">
        <v>31</v>
      </c>
      <c r="M11" s="2" t="s">
        <v>168</v>
      </c>
      <c r="N11" s="2" t="s">
        <v>721</v>
      </c>
    </row>
    <row r="12" spans="1:14" x14ac:dyDescent="0.3">
      <c r="A12" s="2" t="s">
        <v>43</v>
      </c>
      <c r="B12" s="2" t="s">
        <v>81</v>
      </c>
      <c r="C12" s="2" t="s">
        <v>82</v>
      </c>
      <c r="D12" s="2" t="s">
        <v>45</v>
      </c>
      <c r="E12" s="2" t="s">
        <v>29</v>
      </c>
      <c r="F12" s="2"/>
      <c r="G12" s="2" t="s">
        <v>81</v>
      </c>
      <c r="H12" s="2" t="s">
        <v>746</v>
      </c>
      <c r="I12" s="3">
        <v>241</v>
      </c>
      <c r="J12" s="3">
        <v>241</v>
      </c>
      <c r="K12" s="4">
        <f t="shared" si="0"/>
        <v>482</v>
      </c>
      <c r="L12" s="2" t="s">
        <v>31</v>
      </c>
      <c r="M12" s="2" t="s">
        <v>168</v>
      </c>
      <c r="N12" s="2" t="s">
        <v>721</v>
      </c>
    </row>
    <row r="13" spans="1:14" x14ac:dyDescent="0.3">
      <c r="A13" s="2" t="s">
        <v>43</v>
      </c>
      <c r="B13" s="2" t="s">
        <v>743</v>
      </c>
      <c r="C13" s="2" t="s">
        <v>90</v>
      </c>
      <c r="D13" s="2" t="s">
        <v>45</v>
      </c>
      <c r="E13" s="2" t="s">
        <v>29</v>
      </c>
      <c r="F13" s="2"/>
      <c r="G13" s="2" t="s">
        <v>743</v>
      </c>
      <c r="H13" s="2" t="s">
        <v>744</v>
      </c>
      <c r="I13" s="3">
        <v>240</v>
      </c>
      <c r="J13" s="3">
        <v>240</v>
      </c>
      <c r="K13" s="4">
        <f t="shared" si="0"/>
        <v>480</v>
      </c>
      <c r="L13" s="2" t="s">
        <v>31</v>
      </c>
      <c r="M13" s="2" t="s">
        <v>168</v>
      </c>
      <c r="N13" s="2" t="s">
        <v>721</v>
      </c>
    </row>
    <row r="14" spans="1:14" x14ac:dyDescent="0.3">
      <c r="A14" s="2" t="s">
        <v>43</v>
      </c>
      <c r="B14" s="2" t="s">
        <v>76</v>
      </c>
      <c r="C14" s="2" t="s">
        <v>77</v>
      </c>
      <c r="D14" s="2" t="s">
        <v>45</v>
      </c>
      <c r="E14" s="2" t="s">
        <v>29</v>
      </c>
      <c r="F14" s="2"/>
      <c r="G14" s="2" t="s">
        <v>76</v>
      </c>
      <c r="H14" s="2" t="s">
        <v>749</v>
      </c>
      <c r="I14" s="3">
        <v>229</v>
      </c>
      <c r="J14" s="3">
        <v>229</v>
      </c>
      <c r="K14" s="4">
        <f t="shared" si="0"/>
        <v>458</v>
      </c>
      <c r="L14" s="2" t="s">
        <v>31</v>
      </c>
      <c r="M14" s="2" t="s">
        <v>168</v>
      </c>
      <c r="N14" s="2" t="s">
        <v>721</v>
      </c>
    </row>
    <row r="15" spans="1:14" x14ac:dyDescent="0.3">
      <c r="A15" s="2" t="s">
        <v>43</v>
      </c>
      <c r="B15" s="2" t="s">
        <v>750</v>
      </c>
      <c r="C15" s="2" t="s">
        <v>90</v>
      </c>
      <c r="D15" s="2" t="s">
        <v>45</v>
      </c>
      <c r="E15" s="2" t="s">
        <v>29</v>
      </c>
      <c r="F15" s="2"/>
      <c r="G15" s="2" t="s">
        <v>750</v>
      </c>
      <c r="H15" s="2" t="s">
        <v>751</v>
      </c>
      <c r="I15" s="3">
        <v>224</v>
      </c>
      <c r="J15" s="3">
        <v>224</v>
      </c>
      <c r="K15" s="4">
        <f t="shared" si="0"/>
        <v>448</v>
      </c>
      <c r="L15" s="2" t="s">
        <v>31</v>
      </c>
      <c r="M15" s="2" t="s">
        <v>168</v>
      </c>
      <c r="N15" s="2" t="s">
        <v>721</v>
      </c>
    </row>
    <row r="16" spans="1:14" x14ac:dyDescent="0.3">
      <c r="A16" s="2" t="s">
        <v>43</v>
      </c>
      <c r="B16" s="2" t="s">
        <v>99</v>
      </c>
      <c r="C16" s="2" t="s">
        <v>90</v>
      </c>
      <c r="D16" s="2" t="s">
        <v>45</v>
      </c>
      <c r="E16" s="2" t="s">
        <v>29</v>
      </c>
      <c r="F16" s="2"/>
      <c r="G16" s="2" t="s">
        <v>99</v>
      </c>
      <c r="H16" s="2" t="s">
        <v>752</v>
      </c>
      <c r="I16" s="3">
        <v>211</v>
      </c>
      <c r="J16" s="3">
        <v>211</v>
      </c>
      <c r="K16" s="4">
        <f t="shared" si="0"/>
        <v>422</v>
      </c>
      <c r="L16" s="2" t="s">
        <v>31</v>
      </c>
      <c r="M16" s="2" t="s">
        <v>168</v>
      </c>
      <c r="N16" s="2" t="s">
        <v>721</v>
      </c>
    </row>
    <row r="17" spans="1:14" x14ac:dyDescent="0.3">
      <c r="A17" s="2" t="s">
        <v>43</v>
      </c>
      <c r="B17" s="2" t="s">
        <v>87</v>
      </c>
      <c r="C17" s="2" t="s">
        <v>48</v>
      </c>
      <c r="D17" s="2" t="s">
        <v>45</v>
      </c>
      <c r="E17" s="2" t="s">
        <v>29</v>
      </c>
      <c r="F17" s="2"/>
      <c r="G17" s="2" t="s">
        <v>87</v>
      </c>
      <c r="H17" s="2" t="s">
        <v>805</v>
      </c>
      <c r="I17" s="3">
        <v>211</v>
      </c>
      <c r="J17" s="3">
        <v>211</v>
      </c>
      <c r="K17" s="4">
        <f t="shared" si="0"/>
        <v>422</v>
      </c>
      <c r="L17" s="2" t="s">
        <v>31</v>
      </c>
      <c r="M17" s="2" t="s">
        <v>168</v>
      </c>
      <c r="N17" s="2" t="s">
        <v>721</v>
      </c>
    </row>
    <row r="18" spans="1:14" x14ac:dyDescent="0.3">
      <c r="A18" s="2" t="s">
        <v>43</v>
      </c>
      <c r="B18" s="2" t="s">
        <v>84</v>
      </c>
      <c r="C18" s="2" t="s">
        <v>35</v>
      </c>
      <c r="D18" s="2" t="s">
        <v>45</v>
      </c>
      <c r="E18" s="2" t="s">
        <v>29</v>
      </c>
      <c r="F18" s="2"/>
      <c r="G18" s="2" t="s">
        <v>84</v>
      </c>
      <c r="H18" s="2" t="s">
        <v>754</v>
      </c>
      <c r="I18" s="3">
        <v>167</v>
      </c>
      <c r="J18" s="3">
        <v>167</v>
      </c>
      <c r="K18" s="4">
        <f t="shared" si="0"/>
        <v>334</v>
      </c>
      <c r="L18" s="2" t="s">
        <v>31</v>
      </c>
      <c r="M18" s="2" t="s">
        <v>168</v>
      </c>
      <c r="N18" s="2" t="s">
        <v>721</v>
      </c>
    </row>
    <row r="19" spans="1:14" x14ac:dyDescent="0.3">
      <c r="A19" s="2" t="s">
        <v>43</v>
      </c>
      <c r="B19" s="2" t="s">
        <v>62</v>
      </c>
      <c r="C19" s="2" t="s">
        <v>48</v>
      </c>
      <c r="D19" s="2" t="s">
        <v>45</v>
      </c>
      <c r="E19" s="2" t="s">
        <v>29</v>
      </c>
      <c r="F19" s="2"/>
      <c r="G19" s="2" t="s">
        <v>62</v>
      </c>
      <c r="H19" s="2" t="s">
        <v>755</v>
      </c>
      <c r="I19" s="3">
        <v>157</v>
      </c>
      <c r="J19" s="3">
        <v>157</v>
      </c>
      <c r="K19" s="4">
        <f t="shared" si="0"/>
        <v>314</v>
      </c>
      <c r="L19" s="2" t="s">
        <v>31</v>
      </c>
      <c r="M19" s="2" t="s">
        <v>168</v>
      </c>
      <c r="N19" s="2" t="s">
        <v>721</v>
      </c>
    </row>
    <row r="20" spans="1:14" x14ac:dyDescent="0.3">
      <c r="A20" s="2" t="s">
        <v>43</v>
      </c>
      <c r="B20" s="2" t="s">
        <v>34</v>
      </c>
      <c r="C20" s="2" t="s">
        <v>35</v>
      </c>
      <c r="D20" s="2" t="s">
        <v>45</v>
      </c>
      <c r="E20" s="2" t="s">
        <v>29</v>
      </c>
      <c r="F20" s="2"/>
      <c r="G20" s="2" t="s">
        <v>34</v>
      </c>
      <c r="H20" s="2" t="s">
        <v>756</v>
      </c>
      <c r="I20" s="3">
        <v>62</v>
      </c>
      <c r="J20" s="3">
        <v>62</v>
      </c>
      <c r="K20" s="4">
        <f t="shared" si="0"/>
        <v>124</v>
      </c>
      <c r="L20" s="2" t="s">
        <v>31</v>
      </c>
      <c r="M20" s="2" t="s">
        <v>168</v>
      </c>
      <c r="N20" s="2" t="s">
        <v>721</v>
      </c>
    </row>
    <row r="21" spans="1:14" x14ac:dyDescent="0.3">
      <c r="A21" s="2" t="s">
        <v>43</v>
      </c>
      <c r="B21" s="2" t="s">
        <v>758</v>
      </c>
      <c r="C21" s="2" t="s">
        <v>44</v>
      </c>
      <c r="D21" s="2" t="s">
        <v>45</v>
      </c>
      <c r="E21" s="2" t="s">
        <v>127</v>
      </c>
      <c r="F21" s="2" t="s">
        <v>128</v>
      </c>
      <c r="G21" s="2" t="s">
        <v>758</v>
      </c>
      <c r="H21" s="2" t="s">
        <v>759</v>
      </c>
      <c r="I21" s="3">
        <v>61</v>
      </c>
      <c r="J21" s="3">
        <v>61</v>
      </c>
      <c r="K21" s="4">
        <f t="shared" si="0"/>
        <v>122</v>
      </c>
      <c r="L21" s="2" t="s">
        <v>31</v>
      </c>
      <c r="M21" s="2" t="s">
        <v>168</v>
      </c>
      <c r="N21" s="2" t="s">
        <v>721</v>
      </c>
    </row>
    <row r="22" spans="1:14" x14ac:dyDescent="0.3">
      <c r="A22" s="2" t="s">
        <v>43</v>
      </c>
      <c r="B22" s="2" t="s">
        <v>47</v>
      </c>
      <c r="C22" s="2" t="s">
        <v>48</v>
      </c>
      <c r="D22" s="2" t="s">
        <v>45</v>
      </c>
      <c r="E22" s="2" t="s">
        <v>29</v>
      </c>
      <c r="F22" s="2"/>
      <c r="G22" s="2" t="s">
        <v>47</v>
      </c>
      <c r="H22" s="2" t="s">
        <v>757</v>
      </c>
      <c r="I22" s="3">
        <v>51</v>
      </c>
      <c r="J22" s="3">
        <v>51</v>
      </c>
      <c r="K22" s="4">
        <f t="shared" si="0"/>
        <v>102</v>
      </c>
      <c r="L22" s="2" t="s">
        <v>31</v>
      </c>
      <c r="M22" s="2" t="s">
        <v>168</v>
      </c>
      <c r="N22" s="2" t="s">
        <v>721</v>
      </c>
    </row>
    <row r="23" spans="1:14" x14ac:dyDescent="0.3">
      <c r="A23" s="2" t="s">
        <v>43</v>
      </c>
      <c r="B23" s="2" t="s">
        <v>768</v>
      </c>
      <c r="C23" s="2" t="s">
        <v>44</v>
      </c>
      <c r="D23" s="2" t="s">
        <v>45</v>
      </c>
      <c r="E23" s="2" t="s">
        <v>127</v>
      </c>
      <c r="F23" s="2" t="s">
        <v>769</v>
      </c>
      <c r="G23" s="2" t="s">
        <v>768</v>
      </c>
      <c r="H23" s="2" t="s">
        <v>770</v>
      </c>
      <c r="I23" s="3">
        <v>49</v>
      </c>
      <c r="J23" s="3">
        <v>49</v>
      </c>
      <c r="K23" s="4">
        <f t="shared" si="0"/>
        <v>98</v>
      </c>
      <c r="L23" s="2" t="s">
        <v>31</v>
      </c>
      <c r="M23" s="2" t="s">
        <v>168</v>
      </c>
      <c r="N23" s="2" t="s">
        <v>721</v>
      </c>
    </row>
    <row r="24" spans="1:14" x14ac:dyDescent="0.3">
      <c r="A24" s="2" t="s">
        <v>43</v>
      </c>
      <c r="B24" s="2" t="s">
        <v>763</v>
      </c>
      <c r="C24" s="2" t="s">
        <v>44</v>
      </c>
      <c r="D24" s="2" t="s">
        <v>45</v>
      </c>
      <c r="E24" s="2" t="s">
        <v>127</v>
      </c>
      <c r="F24" s="2" t="s">
        <v>764</v>
      </c>
      <c r="G24" s="2" t="s">
        <v>763</v>
      </c>
      <c r="H24" s="2" t="s">
        <v>765</v>
      </c>
      <c r="I24" s="3">
        <v>43</v>
      </c>
      <c r="J24" s="3">
        <v>43</v>
      </c>
      <c r="K24" s="4">
        <f t="shared" si="0"/>
        <v>86</v>
      </c>
      <c r="L24" s="2" t="s">
        <v>31</v>
      </c>
      <c r="M24" s="2" t="s">
        <v>168</v>
      </c>
      <c r="N24" s="2" t="s">
        <v>721</v>
      </c>
    </row>
    <row r="25" spans="1:14" x14ac:dyDescent="0.3">
      <c r="A25" s="2" t="s">
        <v>43</v>
      </c>
      <c r="B25" s="2" t="s">
        <v>766</v>
      </c>
      <c r="C25" s="2" t="s">
        <v>44</v>
      </c>
      <c r="D25" s="2" t="s">
        <v>45</v>
      </c>
      <c r="E25" s="2" t="s">
        <v>127</v>
      </c>
      <c r="F25" s="2" t="s">
        <v>764</v>
      </c>
      <c r="G25" s="2" t="s">
        <v>766</v>
      </c>
      <c r="H25" s="2" t="s">
        <v>767</v>
      </c>
      <c r="I25" s="3">
        <v>38</v>
      </c>
      <c r="J25" s="3">
        <v>38</v>
      </c>
      <c r="K25" s="4">
        <f t="shared" si="0"/>
        <v>76</v>
      </c>
      <c r="L25" s="2" t="s">
        <v>31</v>
      </c>
      <c r="M25" s="2" t="s">
        <v>168</v>
      </c>
      <c r="N25" s="2" t="s">
        <v>721</v>
      </c>
    </row>
    <row r="26" spans="1:14" x14ac:dyDescent="0.3">
      <c r="A26" s="2" t="s">
        <v>43</v>
      </c>
      <c r="B26" s="2" t="s">
        <v>760</v>
      </c>
      <c r="C26" s="2" t="s">
        <v>44</v>
      </c>
      <c r="D26" s="2" t="s">
        <v>45</v>
      </c>
      <c r="E26" s="2" t="s">
        <v>127</v>
      </c>
      <c r="F26" s="2" t="s">
        <v>761</v>
      </c>
      <c r="G26" s="2" t="s">
        <v>760</v>
      </c>
      <c r="H26" s="2" t="s">
        <v>762</v>
      </c>
      <c r="I26" s="3">
        <v>36</v>
      </c>
      <c r="J26" s="3">
        <v>36</v>
      </c>
      <c r="K26" s="4">
        <f t="shared" si="0"/>
        <v>72</v>
      </c>
      <c r="L26" s="2" t="s">
        <v>31</v>
      </c>
      <c r="M26" s="2" t="s">
        <v>168</v>
      </c>
      <c r="N26" s="2" t="s">
        <v>721</v>
      </c>
    </row>
    <row r="27" spans="1:14" x14ac:dyDescent="0.3">
      <c r="A27" s="2" t="s">
        <v>43</v>
      </c>
      <c r="B27" s="2" t="s">
        <v>828</v>
      </c>
      <c r="C27" s="2" t="s">
        <v>44</v>
      </c>
      <c r="D27" s="2" t="s">
        <v>45</v>
      </c>
      <c r="E27" s="2" t="s">
        <v>127</v>
      </c>
      <c r="F27" s="2" t="s">
        <v>764</v>
      </c>
      <c r="G27" s="2" t="s">
        <v>829</v>
      </c>
      <c r="H27" s="2" t="s">
        <v>830</v>
      </c>
      <c r="I27" s="3">
        <v>32</v>
      </c>
      <c r="J27" s="3">
        <v>32</v>
      </c>
      <c r="K27" s="4">
        <f t="shared" si="0"/>
        <v>64</v>
      </c>
      <c r="L27" s="2" t="s">
        <v>31</v>
      </c>
      <c r="M27" s="2" t="s">
        <v>168</v>
      </c>
      <c r="N27" s="2" t="s">
        <v>721</v>
      </c>
    </row>
    <row r="28" spans="1:14" x14ac:dyDescent="0.3">
      <c r="A28" s="2" t="s">
        <v>43</v>
      </c>
      <c r="B28" s="2" t="s">
        <v>773</v>
      </c>
      <c r="C28" s="2" t="s">
        <v>44</v>
      </c>
      <c r="D28" s="2" t="s">
        <v>45</v>
      </c>
      <c r="E28" s="2" t="s">
        <v>127</v>
      </c>
      <c r="F28" s="2" t="s">
        <v>764</v>
      </c>
      <c r="G28" s="2" t="s">
        <v>773</v>
      </c>
      <c r="H28" s="2" t="s">
        <v>774</v>
      </c>
      <c r="I28" s="3">
        <v>28</v>
      </c>
      <c r="J28" s="3">
        <v>28</v>
      </c>
      <c r="K28" s="4">
        <f t="shared" si="0"/>
        <v>56</v>
      </c>
      <c r="L28" s="2" t="s">
        <v>31</v>
      </c>
      <c r="M28" s="2" t="s">
        <v>168</v>
      </c>
      <c r="N28" s="2" t="s">
        <v>721</v>
      </c>
    </row>
    <row r="29" spans="1:14" x14ac:dyDescent="0.3">
      <c r="A29" s="2" t="s">
        <v>43</v>
      </c>
      <c r="B29" s="2" t="s">
        <v>789</v>
      </c>
      <c r="C29" s="2" t="s">
        <v>44</v>
      </c>
      <c r="D29" s="2" t="s">
        <v>45</v>
      </c>
      <c r="E29" s="2" t="s">
        <v>127</v>
      </c>
      <c r="F29" s="2" t="s">
        <v>769</v>
      </c>
      <c r="G29" s="2" t="s">
        <v>789</v>
      </c>
      <c r="H29" s="2" t="s">
        <v>790</v>
      </c>
      <c r="I29" s="3">
        <v>22</v>
      </c>
      <c r="J29" s="3">
        <v>22</v>
      </c>
      <c r="K29" s="4">
        <f t="shared" si="0"/>
        <v>44</v>
      </c>
      <c r="L29" s="2" t="s">
        <v>31</v>
      </c>
      <c r="M29" s="2" t="s">
        <v>168</v>
      </c>
      <c r="N29" s="2" t="s">
        <v>721</v>
      </c>
    </row>
    <row r="30" spans="1:14" x14ac:dyDescent="0.3">
      <c r="A30" s="2" t="s">
        <v>43</v>
      </c>
      <c r="B30" s="2" t="s">
        <v>785</v>
      </c>
      <c r="C30" s="2" t="s">
        <v>44</v>
      </c>
      <c r="D30" s="2" t="s">
        <v>45</v>
      </c>
      <c r="E30" s="2" t="s">
        <v>127</v>
      </c>
      <c r="F30" s="2" t="s">
        <v>764</v>
      </c>
      <c r="G30" s="2" t="s">
        <v>785</v>
      </c>
      <c r="H30" s="2" t="s">
        <v>786</v>
      </c>
      <c r="I30" s="3">
        <v>21</v>
      </c>
      <c r="J30" s="3">
        <v>21</v>
      </c>
      <c r="K30" s="4">
        <f t="shared" si="0"/>
        <v>42</v>
      </c>
      <c r="L30" s="2" t="s">
        <v>31</v>
      </c>
      <c r="M30" s="2" t="s">
        <v>168</v>
      </c>
      <c r="N30" s="2" t="s">
        <v>721</v>
      </c>
    </row>
    <row r="31" spans="1:14" x14ac:dyDescent="0.3">
      <c r="A31" s="2" t="s">
        <v>43</v>
      </c>
      <c r="B31" s="2" t="s">
        <v>795</v>
      </c>
      <c r="C31" s="2" t="s">
        <v>44</v>
      </c>
      <c r="D31" s="2" t="s">
        <v>45</v>
      </c>
      <c r="E31" s="2" t="s">
        <v>127</v>
      </c>
      <c r="F31" s="2" t="s">
        <v>769</v>
      </c>
      <c r="G31" s="2" t="s">
        <v>795</v>
      </c>
      <c r="H31" s="2" t="s">
        <v>796</v>
      </c>
      <c r="I31" s="3">
        <v>21</v>
      </c>
      <c r="J31" s="3">
        <v>21</v>
      </c>
      <c r="K31" s="4">
        <f t="shared" si="0"/>
        <v>42</v>
      </c>
      <c r="L31" s="2" t="s">
        <v>31</v>
      </c>
      <c r="M31" s="2" t="s">
        <v>168</v>
      </c>
      <c r="N31" s="2" t="s">
        <v>721</v>
      </c>
    </row>
    <row r="32" spans="1:14" x14ac:dyDescent="0.3">
      <c r="A32" s="2" t="s">
        <v>43</v>
      </c>
      <c r="B32" s="2" t="s">
        <v>687</v>
      </c>
      <c r="C32" s="2" t="s">
        <v>44</v>
      </c>
      <c r="D32" s="2" t="s">
        <v>45</v>
      </c>
      <c r="E32" s="2" t="s">
        <v>127</v>
      </c>
      <c r="F32" s="2" t="s">
        <v>769</v>
      </c>
      <c r="G32" s="2" t="s">
        <v>791</v>
      </c>
      <c r="H32" s="2" t="s">
        <v>792</v>
      </c>
      <c r="I32" s="3">
        <v>18</v>
      </c>
      <c r="J32" s="3">
        <v>18</v>
      </c>
      <c r="K32" s="4">
        <f t="shared" si="0"/>
        <v>36</v>
      </c>
      <c r="L32" s="2" t="s">
        <v>31</v>
      </c>
      <c r="M32" s="2" t="s">
        <v>168</v>
      </c>
      <c r="N32" s="2" t="s">
        <v>721</v>
      </c>
    </row>
    <row r="33" spans="1:14" x14ac:dyDescent="0.3">
      <c r="A33" s="2" t="s">
        <v>43</v>
      </c>
      <c r="B33" s="2" t="s">
        <v>793</v>
      </c>
      <c r="C33" s="2" t="s">
        <v>44</v>
      </c>
      <c r="D33" s="2" t="s">
        <v>45</v>
      </c>
      <c r="E33" s="2" t="s">
        <v>127</v>
      </c>
      <c r="F33" s="2" t="s">
        <v>764</v>
      </c>
      <c r="G33" s="2" t="s">
        <v>793</v>
      </c>
      <c r="H33" s="2" t="s">
        <v>794</v>
      </c>
      <c r="I33" s="3">
        <v>18</v>
      </c>
      <c r="J33" s="3">
        <v>18</v>
      </c>
      <c r="K33" s="4">
        <f t="shared" si="0"/>
        <v>36</v>
      </c>
      <c r="L33" s="2" t="s">
        <v>31</v>
      </c>
      <c r="M33" s="2" t="s">
        <v>168</v>
      </c>
      <c r="N33" s="2" t="s">
        <v>721</v>
      </c>
    </row>
    <row r="34" spans="1:14" x14ac:dyDescent="0.3">
      <c r="A34" s="2" t="s">
        <v>43</v>
      </c>
      <c r="B34" s="2" t="s">
        <v>771</v>
      </c>
      <c r="C34" s="2" t="s">
        <v>44</v>
      </c>
      <c r="D34" s="2" t="s">
        <v>45</v>
      </c>
      <c r="E34" s="2" t="s">
        <v>127</v>
      </c>
      <c r="F34" s="2" t="s">
        <v>761</v>
      </c>
      <c r="G34" s="2" t="s">
        <v>771</v>
      </c>
      <c r="H34" s="2" t="s">
        <v>772</v>
      </c>
      <c r="I34" s="3">
        <v>17</v>
      </c>
      <c r="J34" s="3">
        <v>17</v>
      </c>
      <c r="K34" s="4">
        <f t="shared" ref="K34:K65" si="1">IF(I34="","",I34+J34)</f>
        <v>34</v>
      </c>
      <c r="L34" s="2" t="s">
        <v>31</v>
      </c>
      <c r="M34" s="2" t="s">
        <v>168</v>
      </c>
      <c r="N34" s="2" t="s">
        <v>721</v>
      </c>
    </row>
    <row r="35" spans="1:14" x14ac:dyDescent="0.3">
      <c r="A35" s="2" t="s">
        <v>43</v>
      </c>
      <c r="B35" s="2" t="s">
        <v>777</v>
      </c>
      <c r="C35" s="2" t="s">
        <v>35</v>
      </c>
      <c r="D35" s="2" t="s">
        <v>45</v>
      </c>
      <c r="E35" s="2" t="s">
        <v>29</v>
      </c>
      <c r="F35" s="2" t="s">
        <v>761</v>
      </c>
      <c r="G35" s="2" t="s">
        <v>777</v>
      </c>
      <c r="H35" s="2" t="s">
        <v>778</v>
      </c>
      <c r="I35" s="3">
        <v>17</v>
      </c>
      <c r="J35" s="3">
        <v>17</v>
      </c>
      <c r="K35" s="4">
        <f t="shared" si="1"/>
        <v>34</v>
      </c>
      <c r="L35" s="2" t="s">
        <v>31</v>
      </c>
      <c r="M35" s="2" t="s">
        <v>168</v>
      </c>
      <c r="N35" s="2" t="s">
        <v>721</v>
      </c>
    </row>
    <row r="36" spans="1:14" x14ac:dyDescent="0.3">
      <c r="A36" s="2" t="s">
        <v>43</v>
      </c>
      <c r="B36" s="2" t="s">
        <v>810</v>
      </c>
      <c r="C36" s="2" t="s">
        <v>44</v>
      </c>
      <c r="D36" s="2" t="s">
        <v>45</v>
      </c>
      <c r="E36" s="2" t="s">
        <v>127</v>
      </c>
      <c r="F36" s="2" t="s">
        <v>811</v>
      </c>
      <c r="G36" s="2" t="s">
        <v>810</v>
      </c>
      <c r="H36" s="2" t="s">
        <v>812</v>
      </c>
      <c r="I36" s="3">
        <v>16</v>
      </c>
      <c r="J36" s="3">
        <v>16</v>
      </c>
      <c r="K36" s="4">
        <f t="shared" si="1"/>
        <v>32</v>
      </c>
      <c r="L36" s="2" t="s">
        <v>31</v>
      </c>
      <c r="M36" s="2" t="s">
        <v>168</v>
      </c>
      <c r="N36" s="2" t="s">
        <v>721</v>
      </c>
    </row>
    <row r="37" spans="1:14" x14ac:dyDescent="0.3">
      <c r="A37" s="2" t="s">
        <v>43</v>
      </c>
      <c r="B37" s="2" t="s">
        <v>837</v>
      </c>
      <c r="C37" s="2" t="s">
        <v>44</v>
      </c>
      <c r="D37" s="2" t="s">
        <v>45</v>
      </c>
      <c r="E37" s="2" t="s">
        <v>127</v>
      </c>
      <c r="F37" s="2" t="s">
        <v>811</v>
      </c>
      <c r="G37" s="2" t="s">
        <v>837</v>
      </c>
      <c r="H37" s="2" t="s">
        <v>838</v>
      </c>
      <c r="I37" s="3">
        <v>16</v>
      </c>
      <c r="J37" s="3">
        <v>16</v>
      </c>
      <c r="K37" s="4">
        <f t="shared" si="1"/>
        <v>32</v>
      </c>
      <c r="L37" s="2" t="s">
        <v>31</v>
      </c>
      <c r="M37" s="2" t="s">
        <v>168</v>
      </c>
      <c r="N37" s="2" t="s">
        <v>721</v>
      </c>
    </row>
    <row r="38" spans="1:14" x14ac:dyDescent="0.3">
      <c r="A38" s="2" t="s">
        <v>43</v>
      </c>
      <c r="B38" s="2" t="s">
        <v>781</v>
      </c>
      <c r="C38" s="2" t="s">
        <v>44</v>
      </c>
      <c r="D38" s="2" t="s">
        <v>45</v>
      </c>
      <c r="E38" s="2" t="s">
        <v>127</v>
      </c>
      <c r="F38" s="2" t="s">
        <v>761</v>
      </c>
      <c r="G38" s="2" t="s">
        <v>781</v>
      </c>
      <c r="H38" s="2" t="s">
        <v>782</v>
      </c>
      <c r="I38" s="3">
        <v>15</v>
      </c>
      <c r="J38" s="3">
        <v>15</v>
      </c>
      <c r="K38" s="4">
        <f t="shared" si="1"/>
        <v>30</v>
      </c>
      <c r="L38" s="2" t="s">
        <v>31</v>
      </c>
      <c r="M38" s="2" t="s">
        <v>168</v>
      </c>
      <c r="N38" s="2" t="s">
        <v>721</v>
      </c>
    </row>
    <row r="39" spans="1:14" x14ac:dyDescent="0.3">
      <c r="A39" s="2" t="s">
        <v>43</v>
      </c>
      <c r="B39" s="2" t="s">
        <v>806</v>
      </c>
      <c r="C39" s="2" t="s">
        <v>44</v>
      </c>
      <c r="D39" s="2" t="s">
        <v>45</v>
      </c>
      <c r="E39" s="2" t="s">
        <v>127</v>
      </c>
      <c r="F39" s="2" t="s">
        <v>798</v>
      </c>
      <c r="G39" s="2" t="s">
        <v>806</v>
      </c>
      <c r="H39" s="2" t="s">
        <v>807</v>
      </c>
      <c r="I39" s="3">
        <v>15</v>
      </c>
      <c r="J39" s="3">
        <v>15</v>
      </c>
      <c r="K39" s="4">
        <f t="shared" si="1"/>
        <v>30</v>
      </c>
      <c r="L39" s="2" t="s">
        <v>31</v>
      </c>
      <c r="M39" s="2" t="s">
        <v>168</v>
      </c>
      <c r="N39" s="2" t="s">
        <v>721</v>
      </c>
    </row>
    <row r="40" spans="1:14" x14ac:dyDescent="0.3">
      <c r="A40" s="2" t="s">
        <v>43</v>
      </c>
      <c r="B40" s="2" t="s">
        <v>821</v>
      </c>
      <c r="C40" s="2" t="s">
        <v>44</v>
      </c>
      <c r="D40" s="2" t="s">
        <v>45</v>
      </c>
      <c r="E40" s="2" t="s">
        <v>127</v>
      </c>
      <c r="F40" s="2" t="s">
        <v>798</v>
      </c>
      <c r="G40" s="2" t="s">
        <v>821</v>
      </c>
      <c r="H40" s="2" t="s">
        <v>822</v>
      </c>
      <c r="I40" s="3">
        <v>15</v>
      </c>
      <c r="J40" s="3">
        <v>15</v>
      </c>
      <c r="K40" s="4">
        <f t="shared" si="1"/>
        <v>30</v>
      </c>
      <c r="L40" s="2" t="s">
        <v>31</v>
      </c>
      <c r="M40" s="2" t="s">
        <v>168</v>
      </c>
      <c r="N40" s="2" t="s">
        <v>721</v>
      </c>
    </row>
    <row r="41" spans="1:14" x14ac:dyDescent="0.3">
      <c r="A41" s="2" t="s">
        <v>43</v>
      </c>
      <c r="B41" s="2" t="s">
        <v>779</v>
      </c>
      <c r="C41" s="2" t="s">
        <v>44</v>
      </c>
      <c r="D41" s="2" t="s">
        <v>45</v>
      </c>
      <c r="E41" s="2" t="s">
        <v>127</v>
      </c>
      <c r="F41" s="2" t="s">
        <v>761</v>
      </c>
      <c r="G41" s="2" t="s">
        <v>779</v>
      </c>
      <c r="H41" s="2" t="s">
        <v>780</v>
      </c>
      <c r="I41" s="3">
        <v>14</v>
      </c>
      <c r="J41" s="3">
        <v>14</v>
      </c>
      <c r="K41" s="4">
        <f t="shared" si="1"/>
        <v>28</v>
      </c>
      <c r="L41" s="2" t="s">
        <v>31</v>
      </c>
      <c r="M41" s="2" t="s">
        <v>168</v>
      </c>
      <c r="N41" s="2" t="s">
        <v>721</v>
      </c>
    </row>
    <row r="42" spans="1:14" x14ac:dyDescent="0.3">
      <c r="A42" s="2" t="s">
        <v>43</v>
      </c>
      <c r="B42" s="2" t="s">
        <v>787</v>
      </c>
      <c r="C42" s="2" t="s">
        <v>44</v>
      </c>
      <c r="D42" s="2" t="s">
        <v>45</v>
      </c>
      <c r="E42" s="2" t="s">
        <v>127</v>
      </c>
      <c r="F42" s="2" t="s">
        <v>769</v>
      </c>
      <c r="G42" s="2" t="s">
        <v>787</v>
      </c>
      <c r="H42" s="2" t="s">
        <v>788</v>
      </c>
      <c r="I42" s="3">
        <v>14</v>
      </c>
      <c r="J42" s="3">
        <v>14</v>
      </c>
      <c r="K42" s="4">
        <f t="shared" si="1"/>
        <v>28</v>
      </c>
      <c r="L42" s="2" t="s">
        <v>31</v>
      </c>
      <c r="M42" s="2" t="s">
        <v>168</v>
      </c>
      <c r="N42" s="2" t="s">
        <v>721</v>
      </c>
    </row>
    <row r="43" spans="1:14" x14ac:dyDescent="0.3">
      <c r="A43" s="2" t="s">
        <v>43</v>
      </c>
      <c r="B43" s="2" t="s">
        <v>841</v>
      </c>
      <c r="C43" s="2" t="s">
        <v>44</v>
      </c>
      <c r="D43" s="2" t="s">
        <v>45</v>
      </c>
      <c r="E43" s="2" t="s">
        <v>127</v>
      </c>
      <c r="F43" s="2" t="s">
        <v>798</v>
      </c>
      <c r="G43" s="2" t="s">
        <v>842</v>
      </c>
      <c r="H43" s="2" t="s">
        <v>843</v>
      </c>
      <c r="I43" s="3">
        <v>14</v>
      </c>
      <c r="J43" s="3">
        <v>8</v>
      </c>
      <c r="K43" s="4">
        <f t="shared" si="1"/>
        <v>22</v>
      </c>
      <c r="L43" s="2" t="s">
        <v>31</v>
      </c>
      <c r="M43" s="2" t="s">
        <v>168</v>
      </c>
      <c r="N43" s="2" t="s">
        <v>844</v>
      </c>
    </row>
    <row r="44" spans="1:14" x14ac:dyDescent="0.3">
      <c r="A44" s="2" t="s">
        <v>43</v>
      </c>
      <c r="B44" s="2" t="s">
        <v>783</v>
      </c>
      <c r="C44" s="2" t="s">
        <v>44</v>
      </c>
      <c r="D44" s="2" t="s">
        <v>45</v>
      </c>
      <c r="E44" s="2" t="s">
        <v>127</v>
      </c>
      <c r="F44" s="2" t="s">
        <v>761</v>
      </c>
      <c r="G44" s="2" t="s">
        <v>783</v>
      </c>
      <c r="H44" s="2" t="s">
        <v>784</v>
      </c>
      <c r="I44" s="3">
        <v>13</v>
      </c>
      <c r="J44" s="3">
        <v>13</v>
      </c>
      <c r="K44" s="4">
        <f t="shared" si="1"/>
        <v>26</v>
      </c>
      <c r="L44" s="2" t="s">
        <v>31</v>
      </c>
      <c r="M44" s="2" t="s">
        <v>168</v>
      </c>
      <c r="N44" s="2" t="s">
        <v>721</v>
      </c>
    </row>
    <row r="45" spans="1:14" x14ac:dyDescent="0.3">
      <c r="A45" s="2" t="s">
        <v>43</v>
      </c>
      <c r="B45" s="2" t="s">
        <v>817</v>
      </c>
      <c r="C45" s="2" t="s">
        <v>44</v>
      </c>
      <c r="D45" s="2" t="s">
        <v>45</v>
      </c>
      <c r="E45" s="2" t="s">
        <v>127</v>
      </c>
      <c r="F45" s="2" t="s">
        <v>798</v>
      </c>
      <c r="G45" s="2" t="s">
        <v>817</v>
      </c>
      <c r="H45" s="2" t="s">
        <v>818</v>
      </c>
      <c r="I45" s="3">
        <v>13</v>
      </c>
      <c r="J45" s="3">
        <v>13</v>
      </c>
      <c r="K45" s="4">
        <f t="shared" si="1"/>
        <v>26</v>
      </c>
      <c r="L45" s="2" t="s">
        <v>31</v>
      </c>
      <c r="M45" s="2" t="s">
        <v>168</v>
      </c>
      <c r="N45" s="2" t="s">
        <v>721</v>
      </c>
    </row>
    <row r="46" spans="1:14" x14ac:dyDescent="0.3">
      <c r="A46" s="2" t="s">
        <v>43</v>
      </c>
      <c r="B46" s="2" t="s">
        <v>797</v>
      </c>
      <c r="C46" s="2" t="s">
        <v>44</v>
      </c>
      <c r="D46" s="2" t="s">
        <v>45</v>
      </c>
      <c r="E46" s="2" t="s">
        <v>127</v>
      </c>
      <c r="F46" s="2" t="s">
        <v>798</v>
      </c>
      <c r="G46" s="2" t="s">
        <v>797</v>
      </c>
      <c r="H46" s="2" t="s">
        <v>799</v>
      </c>
      <c r="I46" s="3">
        <v>12</v>
      </c>
      <c r="J46" s="3">
        <v>12</v>
      </c>
      <c r="K46" s="4">
        <f t="shared" si="1"/>
        <v>24</v>
      </c>
      <c r="L46" s="2" t="s">
        <v>31</v>
      </c>
      <c r="M46" s="2" t="s">
        <v>168</v>
      </c>
      <c r="N46" s="2" t="s">
        <v>721</v>
      </c>
    </row>
    <row r="47" spans="1:14" x14ac:dyDescent="0.3">
      <c r="A47" s="2" t="s">
        <v>43</v>
      </c>
      <c r="B47" s="2" t="s">
        <v>826</v>
      </c>
      <c r="C47" s="2" t="s">
        <v>44</v>
      </c>
      <c r="D47" s="2" t="s">
        <v>45</v>
      </c>
      <c r="E47" s="2" t="s">
        <v>127</v>
      </c>
      <c r="F47" s="2" t="s">
        <v>798</v>
      </c>
      <c r="G47" s="2" t="s">
        <v>826</v>
      </c>
      <c r="H47" s="2" t="s">
        <v>827</v>
      </c>
      <c r="I47" s="3">
        <v>12</v>
      </c>
      <c r="J47" s="3">
        <v>12</v>
      </c>
      <c r="K47" s="4">
        <f t="shared" si="1"/>
        <v>24</v>
      </c>
      <c r="L47" s="2" t="s">
        <v>31</v>
      </c>
      <c r="M47" s="2" t="s">
        <v>168</v>
      </c>
      <c r="N47" s="2" t="s">
        <v>721</v>
      </c>
    </row>
    <row r="48" spans="1:14" x14ac:dyDescent="0.3">
      <c r="A48" s="2" t="s">
        <v>43</v>
      </c>
      <c r="B48" s="2" t="s">
        <v>833</v>
      </c>
      <c r="C48" s="2" t="s">
        <v>44</v>
      </c>
      <c r="D48" s="2" t="s">
        <v>45</v>
      </c>
      <c r="E48" s="2" t="s">
        <v>127</v>
      </c>
      <c r="F48" s="2" t="s">
        <v>811</v>
      </c>
      <c r="G48" s="2" t="s">
        <v>833</v>
      </c>
      <c r="H48" s="2" t="s">
        <v>834</v>
      </c>
      <c r="I48" s="3">
        <v>12</v>
      </c>
      <c r="J48" s="3">
        <v>12</v>
      </c>
      <c r="K48" s="4">
        <f t="shared" si="1"/>
        <v>24</v>
      </c>
      <c r="L48" s="2" t="s">
        <v>31</v>
      </c>
      <c r="M48" s="2" t="s">
        <v>168</v>
      </c>
      <c r="N48" s="2" t="s">
        <v>721</v>
      </c>
    </row>
    <row r="49" spans="1:14" x14ac:dyDescent="0.3">
      <c r="A49" s="2" t="s">
        <v>43</v>
      </c>
      <c r="B49" s="2" t="s">
        <v>847</v>
      </c>
      <c r="C49" s="2" t="s">
        <v>44</v>
      </c>
      <c r="D49" s="2" t="s">
        <v>45</v>
      </c>
      <c r="E49" s="2" t="s">
        <v>127</v>
      </c>
      <c r="F49" s="2" t="s">
        <v>811</v>
      </c>
      <c r="G49" s="2" t="s">
        <v>847</v>
      </c>
      <c r="H49" s="2" t="s">
        <v>848</v>
      </c>
      <c r="I49" s="3">
        <v>12</v>
      </c>
      <c r="J49" s="3">
        <v>12</v>
      </c>
      <c r="K49" s="4">
        <f t="shared" si="1"/>
        <v>24</v>
      </c>
      <c r="L49" s="2" t="s">
        <v>31</v>
      </c>
      <c r="M49" s="2" t="s">
        <v>168</v>
      </c>
      <c r="N49" s="2" t="s">
        <v>721</v>
      </c>
    </row>
    <row r="50" spans="1:14" x14ac:dyDescent="0.3">
      <c r="A50" s="2" t="s">
        <v>43</v>
      </c>
      <c r="B50" s="2" t="s">
        <v>859</v>
      </c>
      <c r="C50" s="2" t="s">
        <v>44</v>
      </c>
      <c r="D50" s="2" t="s">
        <v>45</v>
      </c>
      <c r="E50" s="2" t="s">
        <v>127</v>
      </c>
      <c r="F50" s="2" t="s">
        <v>811</v>
      </c>
      <c r="G50" s="2" t="s">
        <v>859</v>
      </c>
      <c r="H50" s="2" t="s">
        <v>860</v>
      </c>
      <c r="I50" s="3">
        <v>12</v>
      </c>
      <c r="J50" s="3">
        <v>12</v>
      </c>
      <c r="K50" s="4">
        <f t="shared" si="1"/>
        <v>24</v>
      </c>
      <c r="L50" s="2" t="s">
        <v>31</v>
      </c>
      <c r="M50" s="2" t="s">
        <v>168</v>
      </c>
      <c r="N50" s="2" t="s">
        <v>721</v>
      </c>
    </row>
    <row r="51" spans="1:14" x14ac:dyDescent="0.3">
      <c r="A51" s="2" t="s">
        <v>43</v>
      </c>
      <c r="B51" s="2" t="s">
        <v>803</v>
      </c>
      <c r="C51" s="2" t="s">
        <v>44</v>
      </c>
      <c r="D51" s="2" t="s">
        <v>45</v>
      </c>
      <c r="E51" s="2" t="s">
        <v>127</v>
      </c>
      <c r="F51" s="2" t="s">
        <v>798</v>
      </c>
      <c r="G51" s="2" t="s">
        <v>803</v>
      </c>
      <c r="H51" s="2" t="s">
        <v>804</v>
      </c>
      <c r="I51" s="3">
        <v>11</v>
      </c>
      <c r="J51" s="3">
        <v>11</v>
      </c>
      <c r="K51" s="4">
        <f t="shared" si="1"/>
        <v>22</v>
      </c>
      <c r="L51" s="2" t="s">
        <v>31</v>
      </c>
      <c r="M51" s="2" t="s">
        <v>168</v>
      </c>
      <c r="N51" s="2" t="s">
        <v>721</v>
      </c>
    </row>
    <row r="52" spans="1:14" x14ac:dyDescent="0.3">
      <c r="A52" s="2" t="s">
        <v>43</v>
      </c>
      <c r="B52" s="2" t="s">
        <v>851</v>
      </c>
      <c r="C52" s="2" t="s">
        <v>44</v>
      </c>
      <c r="D52" s="2" t="s">
        <v>45</v>
      </c>
      <c r="E52" s="2" t="s">
        <v>127</v>
      </c>
      <c r="F52" s="2" t="s">
        <v>811</v>
      </c>
      <c r="G52" s="2" t="s">
        <v>851</v>
      </c>
      <c r="H52" s="2" t="s">
        <v>852</v>
      </c>
      <c r="I52" s="3">
        <v>11</v>
      </c>
      <c r="J52" s="3">
        <v>11</v>
      </c>
      <c r="K52" s="4">
        <f t="shared" si="1"/>
        <v>22</v>
      </c>
      <c r="L52" s="2" t="s">
        <v>31</v>
      </c>
      <c r="M52" s="2" t="s">
        <v>168</v>
      </c>
      <c r="N52" s="2" t="s">
        <v>721</v>
      </c>
    </row>
    <row r="53" spans="1:14" x14ac:dyDescent="0.3">
      <c r="A53" s="2" t="s">
        <v>43</v>
      </c>
      <c r="B53" s="2" t="s">
        <v>813</v>
      </c>
      <c r="C53" s="2" t="s">
        <v>44</v>
      </c>
      <c r="D53" s="2" t="s">
        <v>45</v>
      </c>
      <c r="E53" s="2" t="s">
        <v>127</v>
      </c>
      <c r="F53" s="2" t="s">
        <v>811</v>
      </c>
      <c r="G53" s="2" t="s">
        <v>813</v>
      </c>
      <c r="H53" s="2" t="s">
        <v>814</v>
      </c>
      <c r="I53" s="3">
        <v>10</v>
      </c>
      <c r="J53" s="3">
        <v>10</v>
      </c>
      <c r="K53" s="4">
        <f t="shared" si="1"/>
        <v>20</v>
      </c>
      <c r="L53" s="2" t="s">
        <v>31</v>
      </c>
      <c r="M53" s="2" t="s">
        <v>168</v>
      </c>
      <c r="N53" s="2" t="s">
        <v>721</v>
      </c>
    </row>
    <row r="54" spans="1:14" x14ac:dyDescent="0.3">
      <c r="A54" s="2" t="s">
        <v>43</v>
      </c>
      <c r="B54" s="2" t="s">
        <v>849</v>
      </c>
      <c r="C54" s="2" t="s">
        <v>44</v>
      </c>
      <c r="D54" s="2" t="s">
        <v>45</v>
      </c>
      <c r="E54" s="2" t="s">
        <v>127</v>
      </c>
      <c r="F54" s="2" t="s">
        <v>811</v>
      </c>
      <c r="G54" s="2" t="s">
        <v>849</v>
      </c>
      <c r="H54" s="2" t="s">
        <v>850</v>
      </c>
      <c r="I54" s="3">
        <v>10</v>
      </c>
      <c r="J54" s="3">
        <v>10</v>
      </c>
      <c r="K54" s="4">
        <f t="shared" si="1"/>
        <v>20</v>
      </c>
      <c r="L54" s="2" t="s">
        <v>31</v>
      </c>
      <c r="M54" s="2" t="s">
        <v>168</v>
      </c>
      <c r="N54" s="2" t="s">
        <v>721</v>
      </c>
    </row>
    <row r="55" spans="1:14" x14ac:dyDescent="0.3">
      <c r="A55" s="2" t="s">
        <v>43</v>
      </c>
      <c r="B55" s="2" t="s">
        <v>831</v>
      </c>
      <c r="C55" s="2" t="s">
        <v>44</v>
      </c>
      <c r="D55" s="2" t="s">
        <v>45</v>
      </c>
      <c r="E55" s="2" t="s">
        <v>127</v>
      </c>
      <c r="F55" s="2" t="s">
        <v>798</v>
      </c>
      <c r="G55" s="2" t="s">
        <v>831</v>
      </c>
      <c r="H55" s="2" t="s">
        <v>832</v>
      </c>
      <c r="I55" s="3">
        <v>9</v>
      </c>
      <c r="J55" s="3">
        <v>9</v>
      </c>
      <c r="K55" s="4">
        <f t="shared" si="1"/>
        <v>18</v>
      </c>
      <c r="L55" s="2" t="s">
        <v>31</v>
      </c>
      <c r="M55" s="2" t="s">
        <v>168</v>
      </c>
      <c r="N55" s="2" t="s">
        <v>721</v>
      </c>
    </row>
    <row r="56" spans="1:14" x14ac:dyDescent="0.3">
      <c r="A56" s="2" t="s">
        <v>43</v>
      </c>
      <c r="B56" s="2" t="s">
        <v>839</v>
      </c>
      <c r="C56" s="2" t="s">
        <v>44</v>
      </c>
      <c r="D56" s="2" t="s">
        <v>45</v>
      </c>
      <c r="E56" s="2" t="s">
        <v>127</v>
      </c>
      <c r="F56" s="2" t="s">
        <v>798</v>
      </c>
      <c r="G56" s="2" t="s">
        <v>839</v>
      </c>
      <c r="H56" s="2" t="s">
        <v>840</v>
      </c>
      <c r="I56" s="3">
        <v>9</v>
      </c>
      <c r="J56" s="3">
        <v>9</v>
      </c>
      <c r="K56" s="4">
        <f t="shared" si="1"/>
        <v>18</v>
      </c>
      <c r="L56" s="2" t="s">
        <v>31</v>
      </c>
      <c r="M56" s="2" t="s">
        <v>168</v>
      </c>
      <c r="N56" s="2" t="s">
        <v>721</v>
      </c>
    </row>
    <row r="57" spans="1:14" x14ac:dyDescent="0.3">
      <c r="A57" s="2" t="s">
        <v>43</v>
      </c>
      <c r="B57" s="2" t="s">
        <v>815</v>
      </c>
      <c r="C57" s="2" t="s">
        <v>44</v>
      </c>
      <c r="D57" s="2" t="s">
        <v>45</v>
      </c>
      <c r="E57" s="2" t="s">
        <v>127</v>
      </c>
      <c r="F57" s="2" t="s">
        <v>801</v>
      </c>
      <c r="G57" s="2" t="s">
        <v>815</v>
      </c>
      <c r="H57" s="2" t="s">
        <v>816</v>
      </c>
      <c r="I57" s="3">
        <v>8</v>
      </c>
      <c r="J57" s="3">
        <v>8</v>
      </c>
      <c r="K57" s="4">
        <f t="shared" si="1"/>
        <v>16</v>
      </c>
      <c r="L57" s="2" t="s">
        <v>31</v>
      </c>
      <c r="M57" s="2" t="s">
        <v>168</v>
      </c>
      <c r="N57" s="2" t="s">
        <v>721</v>
      </c>
    </row>
    <row r="58" spans="1:14" x14ac:dyDescent="0.3">
      <c r="A58" s="2" t="s">
        <v>43</v>
      </c>
      <c r="B58" s="2" t="s">
        <v>835</v>
      </c>
      <c r="C58" s="2" t="s">
        <v>44</v>
      </c>
      <c r="D58" s="2" t="s">
        <v>45</v>
      </c>
      <c r="E58" s="2" t="s">
        <v>127</v>
      </c>
      <c r="F58" s="2" t="s">
        <v>798</v>
      </c>
      <c r="G58" s="2" t="s">
        <v>835</v>
      </c>
      <c r="H58" s="2" t="s">
        <v>836</v>
      </c>
      <c r="I58" s="3">
        <v>8</v>
      </c>
      <c r="J58" s="3">
        <v>8</v>
      </c>
      <c r="K58" s="4">
        <f t="shared" si="1"/>
        <v>16</v>
      </c>
      <c r="L58" s="2" t="s">
        <v>31</v>
      </c>
      <c r="M58" s="2" t="s">
        <v>168</v>
      </c>
      <c r="N58" s="2" t="s">
        <v>721</v>
      </c>
    </row>
    <row r="59" spans="1:14" x14ac:dyDescent="0.3">
      <c r="A59" s="2" t="s">
        <v>43</v>
      </c>
      <c r="B59" s="2" t="s">
        <v>863</v>
      </c>
      <c r="C59" s="2" t="s">
        <v>44</v>
      </c>
      <c r="D59" s="2" t="s">
        <v>45</v>
      </c>
      <c r="E59" s="2" t="s">
        <v>127</v>
      </c>
      <c r="F59" s="2" t="s">
        <v>811</v>
      </c>
      <c r="G59" s="2" t="s">
        <v>863</v>
      </c>
      <c r="H59" s="2" t="s">
        <v>864</v>
      </c>
      <c r="I59" s="3">
        <v>8</v>
      </c>
      <c r="J59" s="3">
        <v>8</v>
      </c>
      <c r="K59" s="4">
        <f t="shared" si="1"/>
        <v>16</v>
      </c>
      <c r="L59" s="2" t="s">
        <v>31</v>
      </c>
      <c r="M59" s="2" t="s">
        <v>168</v>
      </c>
      <c r="N59" s="2" t="s">
        <v>721</v>
      </c>
    </row>
    <row r="60" spans="1:14" x14ac:dyDescent="0.3">
      <c r="A60" s="2" t="s">
        <v>43</v>
      </c>
      <c r="B60" s="2" t="s">
        <v>853</v>
      </c>
      <c r="C60" s="2" t="s">
        <v>44</v>
      </c>
      <c r="D60" s="2" t="s">
        <v>45</v>
      </c>
      <c r="E60" s="2" t="s">
        <v>127</v>
      </c>
      <c r="F60" s="2" t="s">
        <v>798</v>
      </c>
      <c r="G60" s="2" t="s">
        <v>853</v>
      </c>
      <c r="H60" s="2" t="s">
        <v>854</v>
      </c>
      <c r="I60" s="3">
        <v>7</v>
      </c>
      <c r="J60" s="3">
        <v>7</v>
      </c>
      <c r="K60" s="4">
        <f t="shared" si="1"/>
        <v>14</v>
      </c>
      <c r="L60" s="2" t="s">
        <v>31</v>
      </c>
      <c r="M60" s="2" t="s">
        <v>168</v>
      </c>
      <c r="N60" s="2" t="s">
        <v>721</v>
      </c>
    </row>
    <row r="61" spans="1:14" x14ac:dyDescent="0.3">
      <c r="A61" s="2" t="s">
        <v>43</v>
      </c>
      <c r="B61" s="2" t="s">
        <v>800</v>
      </c>
      <c r="C61" s="2" t="s">
        <v>44</v>
      </c>
      <c r="D61" s="2" t="s">
        <v>45</v>
      </c>
      <c r="E61" s="2" t="s">
        <v>127</v>
      </c>
      <c r="F61" s="2" t="s">
        <v>801</v>
      </c>
      <c r="G61" s="2" t="s">
        <v>800</v>
      </c>
      <c r="H61" s="2" t="s">
        <v>802</v>
      </c>
      <c r="I61" s="3">
        <v>6</v>
      </c>
      <c r="J61" s="3">
        <v>6</v>
      </c>
      <c r="K61" s="4">
        <f t="shared" si="1"/>
        <v>12</v>
      </c>
      <c r="L61" s="2" t="s">
        <v>31</v>
      </c>
      <c r="M61" s="2" t="s">
        <v>168</v>
      </c>
      <c r="N61" s="2" t="s">
        <v>721</v>
      </c>
    </row>
    <row r="62" spans="1:14" x14ac:dyDescent="0.3">
      <c r="A62" s="2" t="s">
        <v>43</v>
      </c>
      <c r="B62" s="2" t="s">
        <v>808</v>
      </c>
      <c r="C62" s="2" t="s">
        <v>44</v>
      </c>
      <c r="D62" s="2" t="s">
        <v>45</v>
      </c>
      <c r="E62" s="2" t="s">
        <v>127</v>
      </c>
      <c r="F62" s="2" t="s">
        <v>801</v>
      </c>
      <c r="G62" s="2" t="s">
        <v>808</v>
      </c>
      <c r="H62" s="2" t="s">
        <v>809</v>
      </c>
      <c r="I62" s="3">
        <v>5</v>
      </c>
      <c r="J62" s="3">
        <v>5</v>
      </c>
      <c r="K62" s="4">
        <f t="shared" si="1"/>
        <v>10</v>
      </c>
      <c r="L62" s="2" t="s">
        <v>31</v>
      </c>
      <c r="M62" s="2" t="s">
        <v>168</v>
      </c>
      <c r="N62" s="2" t="s">
        <v>721</v>
      </c>
    </row>
    <row r="63" spans="1:14" x14ac:dyDescent="0.3">
      <c r="A63" s="2" t="s">
        <v>43</v>
      </c>
      <c r="B63" s="2" t="s">
        <v>845</v>
      </c>
      <c r="C63" s="2" t="s">
        <v>44</v>
      </c>
      <c r="D63" s="2" t="s">
        <v>45</v>
      </c>
      <c r="E63" s="2" t="s">
        <v>127</v>
      </c>
      <c r="F63" s="2" t="s">
        <v>801</v>
      </c>
      <c r="G63" s="2" t="s">
        <v>845</v>
      </c>
      <c r="H63" s="2" t="s">
        <v>846</v>
      </c>
      <c r="I63" s="3">
        <v>5</v>
      </c>
      <c r="J63" s="3">
        <v>5</v>
      </c>
      <c r="K63" s="4">
        <f t="shared" si="1"/>
        <v>10</v>
      </c>
      <c r="L63" s="2" t="s">
        <v>31</v>
      </c>
      <c r="M63" s="2" t="s">
        <v>168</v>
      </c>
      <c r="N63" s="2" t="s">
        <v>721</v>
      </c>
    </row>
    <row r="64" spans="1:14" x14ac:dyDescent="0.3">
      <c r="A64" s="2" t="s">
        <v>43</v>
      </c>
      <c r="B64" s="2" t="s">
        <v>857</v>
      </c>
      <c r="C64" s="2" t="s">
        <v>44</v>
      </c>
      <c r="D64" s="2" t="s">
        <v>45</v>
      </c>
      <c r="E64" s="2" t="s">
        <v>127</v>
      </c>
      <c r="F64" s="2" t="s">
        <v>801</v>
      </c>
      <c r="G64" s="2" t="s">
        <v>857</v>
      </c>
      <c r="H64" s="2" t="s">
        <v>858</v>
      </c>
      <c r="I64" s="3">
        <v>5</v>
      </c>
      <c r="J64" s="3">
        <v>5</v>
      </c>
      <c r="K64" s="4">
        <f t="shared" si="1"/>
        <v>10</v>
      </c>
      <c r="L64" s="2" t="s">
        <v>31</v>
      </c>
      <c r="M64" s="2" t="s">
        <v>168</v>
      </c>
      <c r="N64" s="2" t="s">
        <v>721</v>
      </c>
    </row>
    <row r="65" spans="1:14" x14ac:dyDescent="0.3">
      <c r="A65" s="2" t="s">
        <v>43</v>
      </c>
      <c r="B65" s="2" t="s">
        <v>819</v>
      </c>
      <c r="C65" s="2" t="s">
        <v>44</v>
      </c>
      <c r="D65" s="2" t="s">
        <v>45</v>
      </c>
      <c r="E65" s="2" t="s">
        <v>127</v>
      </c>
      <c r="F65" s="2" t="s">
        <v>801</v>
      </c>
      <c r="G65" s="2" t="s">
        <v>819</v>
      </c>
      <c r="H65" s="2" t="s">
        <v>820</v>
      </c>
      <c r="I65" s="3">
        <v>4</v>
      </c>
      <c r="J65" s="3">
        <v>4</v>
      </c>
      <c r="K65" s="4">
        <f t="shared" si="1"/>
        <v>8</v>
      </c>
      <c r="L65" s="2" t="s">
        <v>31</v>
      </c>
      <c r="M65" s="2" t="s">
        <v>168</v>
      </c>
      <c r="N65" s="2" t="s">
        <v>721</v>
      </c>
    </row>
    <row r="66" spans="1:14" x14ac:dyDescent="0.3">
      <c r="A66" s="2" t="s">
        <v>43</v>
      </c>
      <c r="B66" s="2" t="s">
        <v>855</v>
      </c>
      <c r="C66" s="2" t="s">
        <v>44</v>
      </c>
      <c r="D66" s="2" t="s">
        <v>45</v>
      </c>
      <c r="E66" s="2" t="s">
        <v>127</v>
      </c>
      <c r="F66" s="2" t="s">
        <v>801</v>
      </c>
      <c r="G66" s="2" t="s">
        <v>855</v>
      </c>
      <c r="H66" s="2" t="s">
        <v>856</v>
      </c>
      <c r="I66" s="3">
        <v>4</v>
      </c>
      <c r="J66" s="3">
        <v>4</v>
      </c>
      <c r="K66" s="4">
        <f t="shared" ref="K66:K97" si="2">IF(I66="","",I66+J66)</f>
        <v>8</v>
      </c>
      <c r="L66" s="2" t="s">
        <v>31</v>
      </c>
      <c r="M66" s="2" t="s">
        <v>168</v>
      </c>
      <c r="N66" s="2" t="s">
        <v>721</v>
      </c>
    </row>
    <row r="67" spans="1:14" x14ac:dyDescent="0.3">
      <c r="A67" s="2" t="s">
        <v>43</v>
      </c>
      <c r="B67" s="2" t="s">
        <v>823</v>
      </c>
      <c r="C67" s="2" t="s">
        <v>44</v>
      </c>
      <c r="D67" s="2" t="s">
        <v>45</v>
      </c>
      <c r="E67" s="2" t="s">
        <v>127</v>
      </c>
      <c r="F67" s="2" t="s">
        <v>801</v>
      </c>
      <c r="G67" s="2" t="s">
        <v>824</v>
      </c>
      <c r="H67" s="2" t="s">
        <v>825</v>
      </c>
      <c r="I67" s="3">
        <v>3</v>
      </c>
      <c r="J67" s="3">
        <v>3</v>
      </c>
      <c r="K67" s="4">
        <f t="shared" si="2"/>
        <v>6</v>
      </c>
      <c r="L67" s="2" t="s">
        <v>31</v>
      </c>
      <c r="M67" s="2" t="s">
        <v>168</v>
      </c>
      <c r="N67" s="2" t="s">
        <v>721</v>
      </c>
    </row>
    <row r="68" spans="1:14" x14ac:dyDescent="0.3">
      <c r="A68" s="2" t="s">
        <v>43</v>
      </c>
      <c r="B68" s="2" t="s">
        <v>119</v>
      </c>
      <c r="C68" s="2" t="s">
        <v>120</v>
      </c>
      <c r="D68" s="2" t="s">
        <v>54</v>
      </c>
      <c r="E68" s="2" t="s">
        <v>29</v>
      </c>
      <c r="F68" s="2"/>
      <c r="G68" s="2" t="s">
        <v>119</v>
      </c>
      <c r="H68" s="2" t="s">
        <v>722</v>
      </c>
      <c r="I68" s="3">
        <v>921</v>
      </c>
      <c r="J68" s="3">
        <v>921</v>
      </c>
      <c r="K68" s="4">
        <f t="shared" si="2"/>
        <v>1842</v>
      </c>
      <c r="L68" s="2" t="s">
        <v>31</v>
      </c>
      <c r="M68" s="2" t="s">
        <v>168</v>
      </c>
      <c r="N68" s="2" t="s">
        <v>721</v>
      </c>
    </row>
    <row r="69" spans="1:14" x14ac:dyDescent="0.3">
      <c r="A69" s="2" t="s">
        <v>43</v>
      </c>
      <c r="B69" s="2" t="s">
        <v>113</v>
      </c>
      <c r="C69" s="2" t="s">
        <v>73</v>
      </c>
      <c r="D69" s="2" t="s">
        <v>54</v>
      </c>
      <c r="E69" s="2" t="s">
        <v>29</v>
      </c>
      <c r="F69" s="2"/>
      <c r="G69" s="2" t="s">
        <v>113</v>
      </c>
      <c r="H69" s="2" t="s">
        <v>720</v>
      </c>
      <c r="I69" s="3">
        <v>860</v>
      </c>
      <c r="J69" s="3">
        <v>860</v>
      </c>
      <c r="K69" s="4">
        <f t="shared" si="2"/>
        <v>1720</v>
      </c>
      <c r="L69" s="2" t="s">
        <v>31</v>
      </c>
      <c r="M69" s="2" t="s">
        <v>168</v>
      </c>
      <c r="N69" s="2" t="s">
        <v>721</v>
      </c>
    </row>
    <row r="70" spans="1:14" x14ac:dyDescent="0.3">
      <c r="A70" s="2" t="s">
        <v>43</v>
      </c>
      <c r="B70" s="2" t="s">
        <v>724</v>
      </c>
      <c r="C70" s="2" t="s">
        <v>111</v>
      </c>
      <c r="D70" s="2" t="s">
        <v>54</v>
      </c>
      <c r="E70" s="2" t="s">
        <v>29</v>
      </c>
      <c r="F70" s="2"/>
      <c r="G70" s="2" t="s">
        <v>725</v>
      </c>
      <c r="H70" s="2" t="s">
        <v>726</v>
      </c>
      <c r="I70" s="3">
        <v>762</v>
      </c>
      <c r="J70" s="3">
        <v>762</v>
      </c>
      <c r="K70" s="4">
        <f t="shared" si="2"/>
        <v>1524</v>
      </c>
      <c r="L70" s="2" t="s">
        <v>31</v>
      </c>
      <c r="M70" s="2" t="s">
        <v>168</v>
      </c>
      <c r="N70" s="2" t="s">
        <v>721</v>
      </c>
    </row>
    <row r="71" spans="1:14" x14ac:dyDescent="0.3">
      <c r="A71" s="2" t="s">
        <v>43</v>
      </c>
      <c r="B71" s="2" t="s">
        <v>72</v>
      </c>
      <c r="C71" s="2" t="s">
        <v>73</v>
      </c>
      <c r="D71" s="2" t="s">
        <v>54</v>
      </c>
      <c r="E71" s="2" t="s">
        <v>29</v>
      </c>
      <c r="F71" s="2"/>
      <c r="G71" s="2" t="s">
        <v>72</v>
      </c>
      <c r="H71" s="2" t="s">
        <v>723</v>
      </c>
      <c r="I71" s="3">
        <v>730</v>
      </c>
      <c r="J71" s="3">
        <v>730</v>
      </c>
      <c r="K71" s="4">
        <f t="shared" si="2"/>
        <v>1460</v>
      </c>
      <c r="L71" s="2" t="s">
        <v>31</v>
      </c>
      <c r="M71" s="2" t="s">
        <v>168</v>
      </c>
      <c r="N71" s="2" t="s">
        <v>721</v>
      </c>
    </row>
    <row r="72" spans="1:14" x14ac:dyDescent="0.3">
      <c r="A72" s="2" t="s">
        <v>43</v>
      </c>
      <c r="B72" s="2" t="s">
        <v>56</v>
      </c>
      <c r="C72" s="2" t="s">
        <v>53</v>
      </c>
      <c r="D72" s="2" t="s">
        <v>54</v>
      </c>
      <c r="E72" s="2" t="s">
        <v>29</v>
      </c>
      <c r="F72" s="2"/>
      <c r="G72" s="2" t="s">
        <v>56</v>
      </c>
      <c r="H72" s="2" t="s">
        <v>733</v>
      </c>
      <c r="I72" s="3">
        <v>565</v>
      </c>
      <c r="J72" s="3">
        <v>565</v>
      </c>
      <c r="K72" s="4">
        <f t="shared" si="2"/>
        <v>1130</v>
      </c>
      <c r="L72" s="2" t="s">
        <v>31</v>
      </c>
      <c r="M72" s="2" t="s">
        <v>168</v>
      </c>
      <c r="N72" s="2" t="s">
        <v>721</v>
      </c>
    </row>
    <row r="73" spans="1:14" x14ac:dyDescent="0.3">
      <c r="A73" s="2" t="s">
        <v>43</v>
      </c>
      <c r="B73" s="2" t="s">
        <v>60</v>
      </c>
      <c r="C73" s="2" t="s">
        <v>60</v>
      </c>
      <c r="D73" s="2" t="s">
        <v>54</v>
      </c>
      <c r="E73" s="2" t="s">
        <v>29</v>
      </c>
      <c r="F73" s="2"/>
      <c r="G73" s="2" t="s">
        <v>60</v>
      </c>
      <c r="H73" s="2" t="s">
        <v>736</v>
      </c>
      <c r="I73" s="3">
        <v>565</v>
      </c>
      <c r="J73" s="3">
        <v>565</v>
      </c>
      <c r="K73" s="4">
        <f t="shared" si="2"/>
        <v>1130</v>
      </c>
      <c r="L73" s="2" t="s">
        <v>31</v>
      </c>
      <c r="M73" s="2" t="s">
        <v>168</v>
      </c>
      <c r="N73" s="2" t="s">
        <v>721</v>
      </c>
    </row>
    <row r="74" spans="1:14" x14ac:dyDescent="0.3">
      <c r="A74" s="2" t="s">
        <v>43</v>
      </c>
      <c r="B74" s="2" t="s">
        <v>70</v>
      </c>
      <c r="C74" s="2" t="s">
        <v>70</v>
      </c>
      <c r="D74" s="2" t="s">
        <v>54</v>
      </c>
      <c r="E74" s="2" t="s">
        <v>29</v>
      </c>
      <c r="F74" s="2"/>
      <c r="G74" s="2" t="s">
        <v>70</v>
      </c>
      <c r="H74" s="2" t="s">
        <v>741</v>
      </c>
      <c r="I74" s="3">
        <v>389</v>
      </c>
      <c r="J74" s="3">
        <v>389</v>
      </c>
      <c r="K74" s="4">
        <f t="shared" si="2"/>
        <v>778</v>
      </c>
      <c r="L74" s="2" t="s">
        <v>31</v>
      </c>
      <c r="M74" s="2" t="s">
        <v>168</v>
      </c>
      <c r="N74" s="2" t="s">
        <v>721</v>
      </c>
    </row>
    <row r="75" spans="1:14" x14ac:dyDescent="0.3">
      <c r="A75" s="2" t="s">
        <v>43</v>
      </c>
      <c r="B75" s="2" t="s">
        <v>401</v>
      </c>
      <c r="C75" s="2" t="s">
        <v>104</v>
      </c>
      <c r="D75" s="2" t="s">
        <v>28</v>
      </c>
      <c r="E75" s="2" t="s">
        <v>29</v>
      </c>
      <c r="F75" s="2"/>
      <c r="G75" s="2" t="s">
        <v>401</v>
      </c>
      <c r="H75" s="2" t="s">
        <v>731</v>
      </c>
      <c r="I75" s="3">
        <v>694</v>
      </c>
      <c r="J75" s="3">
        <v>694</v>
      </c>
      <c r="K75" s="4">
        <f t="shared" si="2"/>
        <v>1388</v>
      </c>
      <c r="L75" s="2" t="s">
        <v>31</v>
      </c>
      <c r="M75" s="2" t="s">
        <v>168</v>
      </c>
      <c r="N75" s="2" t="s">
        <v>721</v>
      </c>
    </row>
    <row r="76" spans="1:14" x14ac:dyDescent="0.3">
      <c r="A76" s="2" t="s">
        <v>43</v>
      </c>
      <c r="B76" s="2" t="s">
        <v>50</v>
      </c>
      <c r="C76" s="2" t="s">
        <v>50</v>
      </c>
      <c r="D76" s="2" t="s">
        <v>28</v>
      </c>
      <c r="E76" s="2" t="s">
        <v>29</v>
      </c>
      <c r="F76" s="2"/>
      <c r="G76" s="2" t="s">
        <v>50</v>
      </c>
      <c r="H76" s="2" t="s">
        <v>732</v>
      </c>
      <c r="I76" s="3">
        <v>676</v>
      </c>
      <c r="J76" s="3">
        <v>676</v>
      </c>
      <c r="K76" s="4">
        <f t="shared" si="2"/>
        <v>1352</v>
      </c>
      <c r="L76" s="2" t="s">
        <v>31</v>
      </c>
      <c r="M76" s="2" t="s">
        <v>168</v>
      </c>
      <c r="N76" s="2" t="s">
        <v>721</v>
      </c>
    </row>
    <row r="77" spans="1:14" x14ac:dyDescent="0.3">
      <c r="A77" s="2" t="s">
        <v>43</v>
      </c>
      <c r="B77" s="2" t="s">
        <v>737</v>
      </c>
      <c r="C77" s="2" t="s">
        <v>93</v>
      </c>
      <c r="D77" s="2" t="s">
        <v>28</v>
      </c>
      <c r="E77" s="2" t="s">
        <v>29</v>
      </c>
      <c r="F77" s="2"/>
      <c r="G77" s="2" t="s">
        <v>92</v>
      </c>
      <c r="H77" s="2" t="s">
        <v>738</v>
      </c>
      <c r="I77" s="3">
        <v>476</v>
      </c>
      <c r="J77" s="3">
        <v>476</v>
      </c>
      <c r="K77" s="4">
        <f t="shared" si="2"/>
        <v>952</v>
      </c>
      <c r="L77" s="2" t="s">
        <v>31</v>
      </c>
      <c r="M77" s="2" t="s">
        <v>168</v>
      </c>
      <c r="N77" s="2" t="s">
        <v>721</v>
      </c>
    </row>
    <row r="78" spans="1:14" x14ac:dyDescent="0.3">
      <c r="A78" s="2" t="s">
        <v>43</v>
      </c>
      <c r="B78" s="2" t="s">
        <v>27</v>
      </c>
      <c r="C78" s="2" t="s">
        <v>27</v>
      </c>
      <c r="D78" s="2" t="s">
        <v>28</v>
      </c>
      <c r="E78" s="2" t="s">
        <v>29</v>
      </c>
      <c r="F78" s="2"/>
      <c r="G78" s="2" t="s">
        <v>27</v>
      </c>
      <c r="H78" s="2" t="s">
        <v>740</v>
      </c>
      <c r="I78" s="3">
        <v>460</v>
      </c>
      <c r="J78" s="3">
        <v>460</v>
      </c>
      <c r="K78" s="4">
        <f t="shared" si="2"/>
        <v>920</v>
      </c>
      <c r="L78" s="2" t="s">
        <v>31</v>
      </c>
      <c r="M78" s="2" t="s">
        <v>168</v>
      </c>
      <c r="N78" s="2" t="s">
        <v>721</v>
      </c>
    </row>
    <row r="79" spans="1:14" x14ac:dyDescent="0.3">
      <c r="A79" s="2" t="s">
        <v>43</v>
      </c>
      <c r="B79" s="2" t="s">
        <v>65</v>
      </c>
      <c r="C79" s="2" t="s">
        <v>65</v>
      </c>
      <c r="D79" s="2" t="s">
        <v>28</v>
      </c>
      <c r="E79" s="2" t="s">
        <v>29</v>
      </c>
      <c r="F79" s="2"/>
      <c r="G79" s="2" t="s">
        <v>65</v>
      </c>
      <c r="H79" s="2" t="s">
        <v>753</v>
      </c>
      <c r="I79" s="3">
        <v>212</v>
      </c>
      <c r="J79" s="3">
        <v>212</v>
      </c>
      <c r="K79" s="4">
        <f t="shared" si="2"/>
        <v>424</v>
      </c>
      <c r="L79" s="2" t="s">
        <v>31</v>
      </c>
      <c r="M79" s="2" t="s">
        <v>168</v>
      </c>
      <c r="N79" s="2" t="s">
        <v>721</v>
      </c>
    </row>
    <row r="80" spans="1:14" x14ac:dyDescent="0.3">
      <c r="A80" s="5" t="s">
        <v>43</v>
      </c>
      <c r="B80" s="5" t="s">
        <v>775</v>
      </c>
      <c r="C80" s="5"/>
      <c r="D80" s="5"/>
      <c r="E80" s="5"/>
      <c r="F80" s="5"/>
      <c r="G80" s="5" t="s">
        <v>269</v>
      </c>
      <c r="H80" s="5"/>
      <c r="I80" s="6"/>
      <c r="J80" s="6"/>
      <c r="K80" s="7" t="str">
        <f t="shared" si="2"/>
        <v/>
      </c>
      <c r="L80" s="5"/>
      <c r="M80" s="5" t="s">
        <v>168</v>
      </c>
      <c r="N80" s="5" t="s">
        <v>776</v>
      </c>
    </row>
  </sheetData>
  <autoFilter ref="A1:N80" xr:uid="{00000000-0009-0000-0000-000004000000}"/>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16" customWidth="1"/>
    <col min="2" max="2" width="34" customWidth="1"/>
    <col min="3" max="3" width="14" customWidth="1"/>
    <col min="4" max="4" width="15" customWidth="1"/>
    <col min="5" max="5" width="17" customWidth="1"/>
    <col min="6" max="6" width="18" customWidth="1"/>
    <col min="7" max="7" width="40" customWidth="1"/>
    <col min="8" max="8" width="60" customWidth="1"/>
    <col min="9" max="10" width="11" customWidth="1"/>
    <col min="11" max="11" width="12" customWidth="1"/>
    <col min="12" max="12" width="20" customWidth="1"/>
    <col min="13" max="13" width="30" customWidth="1"/>
    <col min="14" max="14" width="55" customWidth="1"/>
  </cols>
  <sheetData>
    <row r="1" spans="1:14" ht="33.75" customHeight="1" x14ac:dyDescent="0.3">
      <c r="A1" s="1" t="s">
        <v>6</v>
      </c>
      <c r="B1" s="1" t="s">
        <v>903</v>
      </c>
      <c r="C1" s="1" t="s">
        <v>9</v>
      </c>
      <c r="D1" s="1" t="s">
        <v>904</v>
      </c>
      <c r="E1" s="1" t="s">
        <v>11</v>
      </c>
      <c r="F1" s="1" t="s">
        <v>12</v>
      </c>
      <c r="G1" s="1" t="s">
        <v>13</v>
      </c>
      <c r="H1" s="1" t="s">
        <v>14</v>
      </c>
      <c r="I1" s="1" t="s">
        <v>15</v>
      </c>
      <c r="J1" s="1" t="s">
        <v>16</v>
      </c>
      <c r="K1" s="1" t="s">
        <v>17</v>
      </c>
      <c r="L1" s="1" t="s">
        <v>18</v>
      </c>
      <c r="M1" s="1" t="s">
        <v>905</v>
      </c>
      <c r="N1" s="1" t="s">
        <v>19</v>
      </c>
    </row>
    <row r="2" spans="1:14" x14ac:dyDescent="0.3">
      <c r="A2" s="2" t="s">
        <v>34</v>
      </c>
      <c r="B2" s="2" t="s">
        <v>36</v>
      </c>
      <c r="C2" s="2" t="s">
        <v>37</v>
      </c>
      <c r="D2" s="2" t="s">
        <v>38</v>
      </c>
      <c r="E2" s="2" t="s">
        <v>29</v>
      </c>
      <c r="F2" s="2"/>
      <c r="G2" s="2" t="s">
        <v>36</v>
      </c>
      <c r="H2" s="2" t="s">
        <v>39</v>
      </c>
      <c r="I2" s="3">
        <v>728</v>
      </c>
      <c r="J2" s="3">
        <v>728</v>
      </c>
      <c r="K2" s="4">
        <f>IF(I2="","",I2+J2)</f>
        <v>1456</v>
      </c>
      <c r="L2" s="2" t="s">
        <v>40</v>
      </c>
      <c r="M2" s="2" t="s">
        <v>33</v>
      </c>
      <c r="N2" s="2"/>
    </row>
    <row r="3" spans="1:14" x14ac:dyDescent="0.3">
      <c r="A3" s="2" t="s">
        <v>34</v>
      </c>
      <c r="B3" s="2" t="s">
        <v>84</v>
      </c>
      <c r="C3" s="2" t="s">
        <v>35</v>
      </c>
      <c r="D3" s="2" t="s">
        <v>45</v>
      </c>
      <c r="E3" s="2" t="s">
        <v>127</v>
      </c>
      <c r="F3" s="2" t="s">
        <v>128</v>
      </c>
      <c r="G3" s="2" t="s">
        <v>84</v>
      </c>
      <c r="H3" s="2" t="s">
        <v>464</v>
      </c>
      <c r="I3" s="3">
        <v>127</v>
      </c>
      <c r="J3" s="3">
        <v>127</v>
      </c>
      <c r="K3" s="4">
        <f>IF(I3="","",I3+J3)</f>
        <v>254</v>
      </c>
      <c r="L3" s="2" t="s">
        <v>40</v>
      </c>
      <c r="M3" s="2" t="s">
        <v>33</v>
      </c>
      <c r="N3" s="2" t="s">
        <v>465</v>
      </c>
    </row>
  </sheetData>
  <autoFilter ref="A1:N3" xr:uid="{00000000-0009-0000-0000-000005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7"/>
  <sheetViews>
    <sheetView zoomScaleNormal="100" workbookViewId="0">
      <pane ySplit="1" topLeftCell="A2" activePane="bottomLeft" state="frozen"/>
      <selection pane="bottomLeft"/>
    </sheetView>
  </sheetViews>
  <sheetFormatPr defaultColWidth="8.6640625" defaultRowHeight="14.4" x14ac:dyDescent="0.3"/>
  <cols>
    <col min="1" max="1" width="9" customWidth="1"/>
    <col min="2" max="2" width="28" customWidth="1"/>
    <col min="3" max="3" width="22" customWidth="1"/>
    <col min="4" max="4" width="40" customWidth="1"/>
    <col min="5" max="5" width="9" customWidth="1"/>
    <col min="6" max="6" width="26" customWidth="1"/>
    <col min="7" max="8" width="11" customWidth="1"/>
    <col min="9" max="9" width="12" customWidth="1"/>
    <col min="10" max="10" width="18" customWidth="1"/>
    <col min="11" max="12" width="11" customWidth="1"/>
    <col min="13" max="13" width="12" customWidth="1"/>
    <col min="14" max="14" width="22" customWidth="1"/>
  </cols>
  <sheetData>
    <row r="1" spans="1:14" ht="33.75" customHeight="1" x14ac:dyDescent="0.3">
      <c r="A1" s="1" t="s">
        <v>921</v>
      </c>
      <c r="B1" s="1" t="s">
        <v>922</v>
      </c>
      <c r="C1" s="1" t="s">
        <v>923</v>
      </c>
      <c r="D1" s="1" t="s">
        <v>924</v>
      </c>
      <c r="E1" s="1" t="s">
        <v>925</v>
      </c>
      <c r="F1" s="1" t="s">
        <v>926</v>
      </c>
      <c r="G1" s="1" t="s">
        <v>927</v>
      </c>
      <c r="H1" s="1" t="s">
        <v>928</v>
      </c>
      <c r="I1" s="1" t="s">
        <v>929</v>
      </c>
      <c r="J1" s="1" t="s">
        <v>930</v>
      </c>
      <c r="K1" s="1" t="s">
        <v>931</v>
      </c>
      <c r="L1" s="1" t="s">
        <v>932</v>
      </c>
      <c r="M1" s="1" t="s">
        <v>933</v>
      </c>
      <c r="N1" s="1" t="s">
        <v>18</v>
      </c>
    </row>
    <row r="2" spans="1:14" x14ac:dyDescent="0.3">
      <c r="A2" s="2" t="s">
        <v>152</v>
      </c>
      <c r="B2" s="2" t="s">
        <v>159</v>
      </c>
      <c r="C2" s="2" t="s">
        <v>188</v>
      </c>
      <c r="D2" s="2" t="s">
        <v>934</v>
      </c>
      <c r="E2" s="2">
        <v>74</v>
      </c>
      <c r="F2" s="2" t="s">
        <v>221</v>
      </c>
      <c r="G2" s="3">
        <v>7</v>
      </c>
      <c r="H2" s="3">
        <v>7</v>
      </c>
      <c r="I2" s="4">
        <f t="shared" ref="I2:I47" si="0">G2+H2</f>
        <v>14</v>
      </c>
      <c r="J2" s="2" t="s">
        <v>935</v>
      </c>
      <c r="K2" s="3">
        <v>24</v>
      </c>
      <c r="L2" s="3">
        <v>24</v>
      </c>
      <c r="M2" s="4">
        <f t="shared" ref="M2:M47" si="1">K2+L2</f>
        <v>48</v>
      </c>
      <c r="N2" s="2" t="s">
        <v>31</v>
      </c>
    </row>
    <row r="3" spans="1:14" x14ac:dyDescent="0.3">
      <c r="A3" s="2" t="s">
        <v>152</v>
      </c>
      <c r="B3" s="2" t="s">
        <v>172</v>
      </c>
      <c r="C3" s="2" t="s">
        <v>188</v>
      </c>
      <c r="D3" s="2" t="s">
        <v>934</v>
      </c>
      <c r="E3" s="2">
        <v>74</v>
      </c>
      <c r="F3" s="2" t="s">
        <v>221</v>
      </c>
      <c r="G3" s="3">
        <v>17</v>
      </c>
      <c r="H3" s="3">
        <v>17</v>
      </c>
      <c r="I3" s="4">
        <f t="shared" si="0"/>
        <v>34</v>
      </c>
      <c r="J3" s="2" t="s">
        <v>935</v>
      </c>
      <c r="K3" s="3">
        <v>36</v>
      </c>
      <c r="L3" s="3">
        <v>36</v>
      </c>
      <c r="M3" s="4">
        <f t="shared" si="1"/>
        <v>72</v>
      </c>
      <c r="N3" s="2" t="s">
        <v>31</v>
      </c>
    </row>
    <row r="4" spans="1:14" x14ac:dyDescent="0.3">
      <c r="A4" s="2" t="s">
        <v>152</v>
      </c>
      <c r="B4" s="2" t="s">
        <v>240</v>
      </c>
      <c r="C4" s="2" t="s">
        <v>188</v>
      </c>
      <c r="D4" s="2" t="s">
        <v>934</v>
      </c>
      <c r="E4" s="2">
        <v>74</v>
      </c>
      <c r="F4" s="2" t="s">
        <v>221</v>
      </c>
      <c r="G4" s="3">
        <v>14</v>
      </c>
      <c r="H4" s="3">
        <v>14</v>
      </c>
      <c r="I4" s="4">
        <f t="shared" si="0"/>
        <v>28</v>
      </c>
      <c r="J4" s="2" t="s">
        <v>935</v>
      </c>
      <c r="K4" s="3">
        <v>31</v>
      </c>
      <c r="L4" s="3">
        <v>31</v>
      </c>
      <c r="M4" s="4">
        <f t="shared" si="1"/>
        <v>62</v>
      </c>
      <c r="N4" s="2" t="s">
        <v>31</v>
      </c>
    </row>
    <row r="5" spans="1:14" x14ac:dyDescent="0.3">
      <c r="A5" s="2" t="s">
        <v>152</v>
      </c>
      <c r="B5" s="2" t="s">
        <v>153</v>
      </c>
      <c r="C5" s="2" t="s">
        <v>188</v>
      </c>
      <c r="D5" s="2" t="s">
        <v>934</v>
      </c>
      <c r="E5" s="2">
        <v>74</v>
      </c>
      <c r="F5" s="2" t="s">
        <v>221</v>
      </c>
      <c r="G5" s="3">
        <v>15</v>
      </c>
      <c r="H5" s="3">
        <v>15</v>
      </c>
      <c r="I5" s="4">
        <f t="shared" si="0"/>
        <v>30</v>
      </c>
      <c r="J5" s="2" t="s">
        <v>935</v>
      </c>
      <c r="K5" s="3">
        <v>31</v>
      </c>
      <c r="L5" s="3">
        <v>31</v>
      </c>
      <c r="M5" s="4">
        <f t="shared" si="1"/>
        <v>62</v>
      </c>
      <c r="N5" s="2" t="s">
        <v>31</v>
      </c>
    </row>
    <row r="6" spans="1:14" x14ac:dyDescent="0.3">
      <c r="A6" s="2" t="s">
        <v>152</v>
      </c>
      <c r="B6" s="2" t="s">
        <v>190</v>
      </c>
      <c r="C6" s="2" t="s">
        <v>188</v>
      </c>
      <c r="D6" s="2" t="s">
        <v>934</v>
      </c>
      <c r="E6" s="2">
        <v>74</v>
      </c>
      <c r="F6" s="2" t="s">
        <v>221</v>
      </c>
      <c r="G6" s="3">
        <v>5</v>
      </c>
      <c r="H6" s="3">
        <v>5</v>
      </c>
      <c r="I6" s="4">
        <f t="shared" si="0"/>
        <v>10</v>
      </c>
      <c r="J6" s="2" t="s">
        <v>935</v>
      </c>
      <c r="K6" s="3">
        <v>21</v>
      </c>
      <c r="L6" s="3">
        <v>21</v>
      </c>
      <c r="M6" s="4">
        <f t="shared" si="1"/>
        <v>42</v>
      </c>
      <c r="N6" s="2" t="s">
        <v>31</v>
      </c>
    </row>
    <row r="7" spans="1:14" x14ac:dyDescent="0.3">
      <c r="A7" s="2" t="s">
        <v>152</v>
      </c>
      <c r="B7" s="2" t="s">
        <v>159</v>
      </c>
      <c r="C7" s="2" t="s">
        <v>225</v>
      </c>
      <c r="D7" s="2" t="s">
        <v>936</v>
      </c>
      <c r="E7" s="2">
        <v>17</v>
      </c>
      <c r="F7" s="2" t="s">
        <v>937</v>
      </c>
      <c r="G7" s="3">
        <v>17</v>
      </c>
      <c r="H7" s="3">
        <v>17</v>
      </c>
      <c r="I7" s="4">
        <f t="shared" si="0"/>
        <v>34</v>
      </c>
      <c r="J7" s="2" t="s">
        <v>938</v>
      </c>
      <c r="K7" s="3">
        <v>21</v>
      </c>
      <c r="L7" s="3">
        <v>21</v>
      </c>
      <c r="M7" s="4">
        <f t="shared" si="1"/>
        <v>42</v>
      </c>
      <c r="N7" s="2" t="s">
        <v>31</v>
      </c>
    </row>
    <row r="8" spans="1:14" x14ac:dyDescent="0.3">
      <c r="A8" s="2" t="s">
        <v>152</v>
      </c>
      <c r="B8" s="2" t="s">
        <v>172</v>
      </c>
      <c r="C8" s="2" t="s">
        <v>225</v>
      </c>
      <c r="D8" s="2" t="s">
        <v>936</v>
      </c>
      <c r="E8" s="2">
        <v>17</v>
      </c>
      <c r="F8" s="2" t="s">
        <v>937</v>
      </c>
      <c r="G8" s="3">
        <v>9</v>
      </c>
      <c r="H8" s="3">
        <v>9</v>
      </c>
      <c r="I8" s="4">
        <f t="shared" si="0"/>
        <v>18</v>
      </c>
      <c r="J8" s="2" t="s">
        <v>938</v>
      </c>
      <c r="K8" s="3">
        <v>16</v>
      </c>
      <c r="L8" s="3">
        <v>16</v>
      </c>
      <c r="M8" s="4">
        <f t="shared" si="1"/>
        <v>32</v>
      </c>
      <c r="N8" s="2" t="s">
        <v>31</v>
      </c>
    </row>
    <row r="9" spans="1:14" x14ac:dyDescent="0.3">
      <c r="A9" s="2" t="s">
        <v>152</v>
      </c>
      <c r="B9" s="2" t="s">
        <v>240</v>
      </c>
      <c r="C9" s="2" t="s">
        <v>225</v>
      </c>
      <c r="D9" s="2" t="s">
        <v>936</v>
      </c>
      <c r="E9" s="2">
        <v>17</v>
      </c>
      <c r="F9" s="2" t="s">
        <v>937</v>
      </c>
      <c r="G9" s="3">
        <v>16</v>
      </c>
      <c r="H9" s="3">
        <v>16</v>
      </c>
      <c r="I9" s="4">
        <f t="shared" si="0"/>
        <v>32</v>
      </c>
      <c r="J9" s="2" t="s">
        <v>938</v>
      </c>
      <c r="K9" s="3">
        <v>24</v>
      </c>
      <c r="L9" s="3">
        <v>24</v>
      </c>
      <c r="M9" s="4">
        <f t="shared" si="1"/>
        <v>48</v>
      </c>
      <c r="N9" s="2" t="s">
        <v>31</v>
      </c>
    </row>
    <row r="10" spans="1:14" x14ac:dyDescent="0.3">
      <c r="A10" s="2" t="s">
        <v>152</v>
      </c>
      <c r="B10" s="2" t="s">
        <v>153</v>
      </c>
      <c r="C10" s="2" t="s">
        <v>225</v>
      </c>
      <c r="D10" s="2" t="s">
        <v>936</v>
      </c>
      <c r="E10" s="2">
        <v>17</v>
      </c>
      <c r="F10" s="2" t="s">
        <v>937</v>
      </c>
      <c r="G10" s="3">
        <v>18</v>
      </c>
      <c r="H10" s="3">
        <v>18</v>
      </c>
      <c r="I10" s="4">
        <f t="shared" si="0"/>
        <v>36</v>
      </c>
      <c r="J10" s="2" t="s">
        <v>938</v>
      </c>
      <c r="K10" s="3">
        <v>26</v>
      </c>
      <c r="L10" s="3">
        <v>26</v>
      </c>
      <c r="M10" s="4">
        <f t="shared" si="1"/>
        <v>52</v>
      </c>
      <c r="N10" s="2" t="s">
        <v>31</v>
      </c>
    </row>
    <row r="11" spans="1:14" x14ac:dyDescent="0.3">
      <c r="A11" s="2" t="s">
        <v>152</v>
      </c>
      <c r="B11" s="2" t="s">
        <v>190</v>
      </c>
      <c r="C11" s="2" t="s">
        <v>225</v>
      </c>
      <c r="D11" s="2" t="s">
        <v>936</v>
      </c>
      <c r="E11" s="2">
        <v>17</v>
      </c>
      <c r="F11" s="2" t="s">
        <v>937</v>
      </c>
      <c r="G11" s="3">
        <v>20</v>
      </c>
      <c r="H11" s="3">
        <v>20</v>
      </c>
      <c r="I11" s="4">
        <f t="shared" si="0"/>
        <v>40</v>
      </c>
      <c r="J11" s="2" t="s">
        <v>938</v>
      </c>
      <c r="K11" s="3">
        <v>26</v>
      </c>
      <c r="L11" s="3">
        <v>26</v>
      </c>
      <c r="M11" s="4">
        <f t="shared" si="1"/>
        <v>52</v>
      </c>
      <c r="N11" s="2" t="s">
        <v>31</v>
      </c>
    </row>
    <row r="12" spans="1:14" x14ac:dyDescent="0.3">
      <c r="A12" s="2" t="s">
        <v>152</v>
      </c>
      <c r="B12" s="2" t="s">
        <v>159</v>
      </c>
      <c r="C12" s="2" t="s">
        <v>574</v>
      </c>
      <c r="D12" s="2" t="s">
        <v>939</v>
      </c>
      <c r="E12" s="2">
        <v>23</v>
      </c>
      <c r="F12" s="2" t="s">
        <v>573</v>
      </c>
      <c r="G12" s="3">
        <v>30</v>
      </c>
      <c r="H12" s="3">
        <v>30</v>
      </c>
      <c r="I12" s="4">
        <f t="shared" si="0"/>
        <v>60</v>
      </c>
      <c r="J12" s="2" t="s">
        <v>940</v>
      </c>
      <c r="K12" s="3">
        <v>46</v>
      </c>
      <c r="L12" s="3">
        <v>46</v>
      </c>
      <c r="M12" s="4">
        <f t="shared" si="1"/>
        <v>92</v>
      </c>
      <c r="N12" s="2" t="s">
        <v>31</v>
      </c>
    </row>
    <row r="13" spans="1:14" x14ac:dyDescent="0.3">
      <c r="A13" s="2" t="s">
        <v>152</v>
      </c>
      <c r="B13" s="2" t="s">
        <v>172</v>
      </c>
      <c r="C13" s="2" t="s">
        <v>574</v>
      </c>
      <c r="D13" s="2" t="s">
        <v>939</v>
      </c>
      <c r="E13" s="2">
        <v>23</v>
      </c>
      <c r="F13" s="2" t="s">
        <v>573</v>
      </c>
      <c r="G13" s="3">
        <v>31</v>
      </c>
      <c r="H13" s="3">
        <v>31</v>
      </c>
      <c r="I13" s="4">
        <f t="shared" si="0"/>
        <v>62</v>
      </c>
      <c r="J13" s="2" t="s">
        <v>940</v>
      </c>
      <c r="K13" s="3">
        <v>48</v>
      </c>
      <c r="L13" s="3">
        <v>48</v>
      </c>
      <c r="M13" s="4">
        <f t="shared" si="1"/>
        <v>96</v>
      </c>
      <c r="N13" s="2" t="s">
        <v>31</v>
      </c>
    </row>
    <row r="14" spans="1:14" x14ac:dyDescent="0.3">
      <c r="A14" s="2" t="s">
        <v>152</v>
      </c>
      <c r="B14" s="2" t="s">
        <v>240</v>
      </c>
      <c r="C14" s="2" t="s">
        <v>574</v>
      </c>
      <c r="D14" s="2" t="s">
        <v>939</v>
      </c>
      <c r="E14" s="2">
        <v>23</v>
      </c>
      <c r="F14" s="2" t="s">
        <v>573</v>
      </c>
      <c r="G14" s="3">
        <v>38</v>
      </c>
      <c r="H14" s="3">
        <v>38</v>
      </c>
      <c r="I14" s="4">
        <f t="shared" si="0"/>
        <v>76</v>
      </c>
      <c r="J14" s="2" t="s">
        <v>940</v>
      </c>
      <c r="K14" s="3">
        <v>52</v>
      </c>
      <c r="L14" s="3">
        <v>52</v>
      </c>
      <c r="M14" s="4">
        <f t="shared" si="1"/>
        <v>104</v>
      </c>
      <c r="N14" s="2" t="s">
        <v>31</v>
      </c>
    </row>
    <row r="15" spans="1:14" x14ac:dyDescent="0.3">
      <c r="A15" s="2" t="s">
        <v>152</v>
      </c>
      <c r="B15" s="2" t="s">
        <v>153</v>
      </c>
      <c r="C15" s="2" t="s">
        <v>574</v>
      </c>
      <c r="D15" s="2" t="s">
        <v>939</v>
      </c>
      <c r="E15" s="2">
        <v>23</v>
      </c>
      <c r="F15" s="2" t="s">
        <v>573</v>
      </c>
      <c r="G15" s="3">
        <v>41</v>
      </c>
      <c r="H15" s="3">
        <v>41</v>
      </c>
      <c r="I15" s="4">
        <f t="shared" si="0"/>
        <v>82</v>
      </c>
      <c r="J15" s="2" t="s">
        <v>940</v>
      </c>
      <c r="K15" s="3">
        <v>55</v>
      </c>
      <c r="L15" s="3">
        <v>55</v>
      </c>
      <c r="M15" s="4">
        <f t="shared" si="1"/>
        <v>110</v>
      </c>
      <c r="N15" s="2" t="s">
        <v>31</v>
      </c>
    </row>
    <row r="16" spans="1:14" x14ac:dyDescent="0.3">
      <c r="A16" s="2" t="s">
        <v>152</v>
      </c>
      <c r="B16" s="2" t="s">
        <v>190</v>
      </c>
      <c r="C16" s="2" t="s">
        <v>574</v>
      </c>
      <c r="D16" s="2" t="s">
        <v>939</v>
      </c>
      <c r="E16" s="2">
        <v>23</v>
      </c>
      <c r="F16" s="2" t="s">
        <v>573</v>
      </c>
      <c r="G16" s="3">
        <v>39</v>
      </c>
      <c r="H16" s="3">
        <v>39</v>
      </c>
      <c r="I16" s="4">
        <f t="shared" si="0"/>
        <v>78</v>
      </c>
      <c r="J16" s="2" t="s">
        <v>940</v>
      </c>
      <c r="K16" s="3">
        <v>52</v>
      </c>
      <c r="L16" s="3">
        <v>52</v>
      </c>
      <c r="M16" s="4">
        <f t="shared" si="1"/>
        <v>104</v>
      </c>
      <c r="N16" s="2" t="s">
        <v>31</v>
      </c>
    </row>
    <row r="17" spans="1:14" x14ac:dyDescent="0.3">
      <c r="A17" s="2" t="s">
        <v>152</v>
      </c>
      <c r="B17" s="2" t="s">
        <v>159</v>
      </c>
      <c r="C17" s="2" t="s">
        <v>550</v>
      </c>
      <c r="D17" s="2" t="s">
        <v>941</v>
      </c>
      <c r="E17" s="2">
        <v>19</v>
      </c>
      <c r="F17" s="2" t="s">
        <v>942</v>
      </c>
      <c r="G17" s="3">
        <v>20</v>
      </c>
      <c r="H17" s="3">
        <v>20</v>
      </c>
      <c r="I17" s="4">
        <f t="shared" si="0"/>
        <v>40</v>
      </c>
      <c r="J17" s="2" t="s">
        <v>943</v>
      </c>
      <c r="K17" s="3">
        <v>42</v>
      </c>
      <c r="L17" s="3">
        <v>42</v>
      </c>
      <c r="M17" s="4">
        <f t="shared" si="1"/>
        <v>84</v>
      </c>
      <c r="N17" s="2" t="s">
        <v>31</v>
      </c>
    </row>
    <row r="18" spans="1:14" x14ac:dyDescent="0.3">
      <c r="A18" s="2" t="s">
        <v>152</v>
      </c>
      <c r="B18" s="2" t="s">
        <v>172</v>
      </c>
      <c r="C18" s="2" t="s">
        <v>550</v>
      </c>
      <c r="D18" s="2" t="s">
        <v>941</v>
      </c>
      <c r="E18" s="2">
        <v>19</v>
      </c>
      <c r="F18" s="2" t="s">
        <v>942</v>
      </c>
      <c r="G18" s="3">
        <v>34</v>
      </c>
      <c r="H18" s="3">
        <v>34</v>
      </c>
      <c r="I18" s="4">
        <f t="shared" si="0"/>
        <v>68</v>
      </c>
      <c r="J18" s="2" t="s">
        <v>943</v>
      </c>
      <c r="K18" s="3">
        <v>53</v>
      </c>
      <c r="L18" s="3">
        <v>53</v>
      </c>
      <c r="M18" s="4">
        <f t="shared" si="1"/>
        <v>106</v>
      </c>
      <c r="N18" s="2" t="s">
        <v>31</v>
      </c>
    </row>
    <row r="19" spans="1:14" x14ac:dyDescent="0.3">
      <c r="A19" s="2" t="s">
        <v>152</v>
      </c>
      <c r="B19" s="2" t="s">
        <v>240</v>
      </c>
      <c r="C19" s="2" t="s">
        <v>550</v>
      </c>
      <c r="D19" s="2" t="s">
        <v>941</v>
      </c>
      <c r="E19" s="2">
        <v>19</v>
      </c>
      <c r="F19" s="2" t="s">
        <v>942</v>
      </c>
      <c r="G19" s="3">
        <v>37</v>
      </c>
      <c r="H19" s="3">
        <v>37</v>
      </c>
      <c r="I19" s="4">
        <f t="shared" si="0"/>
        <v>74</v>
      </c>
      <c r="J19" s="2" t="s">
        <v>943</v>
      </c>
      <c r="K19" s="3">
        <v>55</v>
      </c>
      <c r="L19" s="3">
        <v>55</v>
      </c>
      <c r="M19" s="4">
        <f t="shared" si="1"/>
        <v>110</v>
      </c>
      <c r="N19" s="2" t="s">
        <v>31</v>
      </c>
    </row>
    <row r="20" spans="1:14" x14ac:dyDescent="0.3">
      <c r="A20" s="2" t="s">
        <v>152</v>
      </c>
      <c r="B20" s="2" t="s">
        <v>153</v>
      </c>
      <c r="C20" s="2" t="s">
        <v>550</v>
      </c>
      <c r="D20" s="2" t="s">
        <v>941</v>
      </c>
      <c r="E20" s="2">
        <v>19</v>
      </c>
      <c r="F20" s="2" t="s">
        <v>942</v>
      </c>
      <c r="G20" s="3">
        <v>39</v>
      </c>
      <c r="H20" s="3">
        <v>39</v>
      </c>
      <c r="I20" s="4">
        <f t="shared" si="0"/>
        <v>78</v>
      </c>
      <c r="J20" s="2" t="s">
        <v>943</v>
      </c>
      <c r="K20" s="3">
        <v>57</v>
      </c>
      <c r="L20" s="3">
        <v>57</v>
      </c>
      <c r="M20" s="4">
        <f t="shared" si="1"/>
        <v>114</v>
      </c>
      <c r="N20" s="2" t="s">
        <v>31</v>
      </c>
    </row>
    <row r="21" spans="1:14" x14ac:dyDescent="0.3">
      <c r="A21" s="2" t="s">
        <v>152</v>
      </c>
      <c r="B21" s="2" t="s">
        <v>190</v>
      </c>
      <c r="C21" s="2" t="s">
        <v>550</v>
      </c>
      <c r="D21" s="2" t="s">
        <v>941</v>
      </c>
      <c r="E21" s="2">
        <v>19</v>
      </c>
      <c r="F21" s="2" t="s">
        <v>942</v>
      </c>
      <c r="G21" s="3">
        <v>31</v>
      </c>
      <c r="H21" s="3">
        <v>31</v>
      </c>
      <c r="I21" s="4">
        <f t="shared" si="0"/>
        <v>62</v>
      </c>
      <c r="J21" s="2" t="s">
        <v>943</v>
      </c>
      <c r="K21" s="3">
        <v>52</v>
      </c>
      <c r="L21" s="3">
        <v>52</v>
      </c>
      <c r="M21" s="4">
        <f t="shared" si="1"/>
        <v>104</v>
      </c>
      <c r="N21" s="2" t="s">
        <v>31</v>
      </c>
    </row>
    <row r="22" spans="1:14" x14ac:dyDescent="0.3">
      <c r="A22" s="2" t="s">
        <v>152</v>
      </c>
      <c r="B22" s="2" t="s">
        <v>159</v>
      </c>
      <c r="C22" s="2" t="s">
        <v>186</v>
      </c>
      <c r="D22" s="2" t="s">
        <v>944</v>
      </c>
      <c r="E22" s="2">
        <v>14</v>
      </c>
      <c r="F22" s="2" t="s">
        <v>945</v>
      </c>
      <c r="G22" s="3">
        <v>35</v>
      </c>
      <c r="H22" s="3">
        <v>35</v>
      </c>
      <c r="I22" s="4">
        <f t="shared" si="0"/>
        <v>70</v>
      </c>
      <c r="J22" s="2" t="s">
        <v>946</v>
      </c>
      <c r="K22" s="3">
        <v>100</v>
      </c>
      <c r="L22" s="3">
        <v>100</v>
      </c>
      <c r="M22" s="4">
        <f t="shared" si="1"/>
        <v>200</v>
      </c>
      <c r="N22" s="2" t="s">
        <v>31</v>
      </c>
    </row>
    <row r="23" spans="1:14" x14ac:dyDescent="0.3">
      <c r="A23" s="2" t="s">
        <v>152</v>
      </c>
      <c r="B23" s="2" t="s">
        <v>172</v>
      </c>
      <c r="C23" s="2" t="s">
        <v>186</v>
      </c>
      <c r="D23" s="2" t="s">
        <v>944</v>
      </c>
      <c r="E23" s="2">
        <v>14</v>
      </c>
      <c r="F23" s="2" t="s">
        <v>945</v>
      </c>
      <c r="G23" s="3">
        <v>28</v>
      </c>
      <c r="H23" s="3">
        <v>28</v>
      </c>
      <c r="I23" s="4">
        <f t="shared" si="0"/>
        <v>56</v>
      </c>
      <c r="J23" s="2" t="s">
        <v>946</v>
      </c>
      <c r="K23" s="3">
        <v>94</v>
      </c>
      <c r="L23" s="3">
        <v>94</v>
      </c>
      <c r="M23" s="4">
        <f t="shared" si="1"/>
        <v>188</v>
      </c>
      <c r="N23" s="2" t="s">
        <v>31</v>
      </c>
    </row>
    <row r="24" spans="1:14" x14ac:dyDescent="0.3">
      <c r="A24" s="2" t="s">
        <v>152</v>
      </c>
      <c r="B24" s="2" t="s">
        <v>240</v>
      </c>
      <c r="C24" s="2" t="s">
        <v>186</v>
      </c>
      <c r="D24" s="2" t="s">
        <v>944</v>
      </c>
      <c r="E24" s="2">
        <v>14</v>
      </c>
      <c r="F24" s="2" t="s">
        <v>945</v>
      </c>
      <c r="G24" s="3">
        <v>21</v>
      </c>
      <c r="H24" s="3">
        <v>21</v>
      </c>
      <c r="I24" s="4">
        <f t="shared" si="0"/>
        <v>42</v>
      </c>
      <c r="J24" s="2" t="s">
        <v>946</v>
      </c>
      <c r="K24" s="3">
        <v>87</v>
      </c>
      <c r="L24" s="3">
        <v>87</v>
      </c>
      <c r="M24" s="4">
        <f t="shared" si="1"/>
        <v>174</v>
      </c>
      <c r="N24" s="2" t="s">
        <v>31</v>
      </c>
    </row>
    <row r="25" spans="1:14" x14ac:dyDescent="0.3">
      <c r="A25" s="2" t="s">
        <v>152</v>
      </c>
      <c r="B25" s="2" t="s">
        <v>153</v>
      </c>
      <c r="C25" s="2" t="s">
        <v>186</v>
      </c>
      <c r="D25" s="2" t="s">
        <v>944</v>
      </c>
      <c r="E25" s="2">
        <v>14</v>
      </c>
      <c r="F25" s="2" t="s">
        <v>945</v>
      </c>
      <c r="G25" s="3">
        <v>18</v>
      </c>
      <c r="H25" s="3">
        <v>18</v>
      </c>
      <c r="I25" s="4">
        <f t="shared" si="0"/>
        <v>36</v>
      </c>
      <c r="J25" s="2" t="s">
        <v>946</v>
      </c>
      <c r="K25" s="3">
        <v>85</v>
      </c>
      <c r="L25" s="3">
        <v>85</v>
      </c>
      <c r="M25" s="4">
        <f t="shared" si="1"/>
        <v>170</v>
      </c>
      <c r="N25" s="2" t="s">
        <v>31</v>
      </c>
    </row>
    <row r="26" spans="1:14" x14ac:dyDescent="0.3">
      <c r="A26" s="2" t="s">
        <v>152</v>
      </c>
      <c r="B26" s="2" t="s">
        <v>190</v>
      </c>
      <c r="C26" s="2" t="s">
        <v>186</v>
      </c>
      <c r="D26" s="2" t="s">
        <v>944</v>
      </c>
      <c r="E26" s="2">
        <v>14</v>
      </c>
      <c r="F26" s="2" t="s">
        <v>945</v>
      </c>
      <c r="G26" s="3">
        <v>24</v>
      </c>
      <c r="H26" s="3">
        <v>24</v>
      </c>
      <c r="I26" s="4">
        <f t="shared" si="0"/>
        <v>48</v>
      </c>
      <c r="J26" s="2" t="s">
        <v>946</v>
      </c>
      <c r="K26" s="3">
        <v>90</v>
      </c>
      <c r="L26" s="3">
        <v>90</v>
      </c>
      <c r="M26" s="4">
        <f t="shared" si="1"/>
        <v>180</v>
      </c>
      <c r="N26" s="2" t="s">
        <v>31</v>
      </c>
    </row>
    <row r="27" spans="1:14" x14ac:dyDescent="0.3">
      <c r="A27" s="2" t="s">
        <v>152</v>
      </c>
      <c r="B27" s="2" t="s">
        <v>159</v>
      </c>
      <c r="C27" s="2" t="s">
        <v>272</v>
      </c>
      <c r="D27" s="2" t="s">
        <v>947</v>
      </c>
      <c r="E27" s="2">
        <v>10</v>
      </c>
      <c r="F27" s="2" t="s">
        <v>948</v>
      </c>
      <c r="G27" s="3">
        <v>87</v>
      </c>
      <c r="H27" s="3">
        <v>87</v>
      </c>
      <c r="I27" s="4">
        <f t="shared" si="0"/>
        <v>174</v>
      </c>
      <c r="J27" s="2" t="s">
        <v>949</v>
      </c>
      <c r="K27" s="3">
        <v>98</v>
      </c>
      <c r="L27" s="3">
        <v>98</v>
      </c>
      <c r="M27" s="4">
        <f t="shared" si="1"/>
        <v>196</v>
      </c>
      <c r="N27" s="2" t="s">
        <v>31</v>
      </c>
    </row>
    <row r="28" spans="1:14" x14ac:dyDescent="0.3">
      <c r="A28" s="2" t="s">
        <v>152</v>
      </c>
      <c r="B28" s="2" t="s">
        <v>172</v>
      </c>
      <c r="C28" s="2" t="s">
        <v>272</v>
      </c>
      <c r="D28" s="2" t="s">
        <v>947</v>
      </c>
      <c r="E28" s="2">
        <v>10</v>
      </c>
      <c r="F28" s="2" t="s">
        <v>948</v>
      </c>
      <c r="G28" s="3">
        <v>89</v>
      </c>
      <c r="H28" s="3">
        <v>89</v>
      </c>
      <c r="I28" s="4">
        <f t="shared" si="0"/>
        <v>178</v>
      </c>
      <c r="J28" s="2" t="s">
        <v>949</v>
      </c>
      <c r="K28" s="3">
        <v>104</v>
      </c>
      <c r="L28" s="3">
        <v>104</v>
      </c>
      <c r="M28" s="4">
        <f t="shared" si="1"/>
        <v>208</v>
      </c>
      <c r="N28" s="2" t="s">
        <v>31</v>
      </c>
    </row>
    <row r="29" spans="1:14" x14ac:dyDescent="0.3">
      <c r="A29" s="2" t="s">
        <v>152</v>
      </c>
      <c r="B29" s="2" t="s">
        <v>240</v>
      </c>
      <c r="C29" s="2" t="s">
        <v>272</v>
      </c>
      <c r="D29" s="2" t="s">
        <v>947</v>
      </c>
      <c r="E29" s="2">
        <v>10</v>
      </c>
      <c r="F29" s="2" t="s">
        <v>948</v>
      </c>
      <c r="G29" s="3">
        <v>96</v>
      </c>
      <c r="H29" s="3">
        <v>96</v>
      </c>
      <c r="I29" s="4">
        <f t="shared" si="0"/>
        <v>192</v>
      </c>
      <c r="J29" s="2" t="s">
        <v>949</v>
      </c>
      <c r="K29" s="3">
        <v>111</v>
      </c>
      <c r="L29" s="3">
        <v>111</v>
      </c>
      <c r="M29" s="4">
        <f t="shared" si="1"/>
        <v>222</v>
      </c>
      <c r="N29" s="2" t="s">
        <v>31</v>
      </c>
    </row>
    <row r="30" spans="1:14" x14ac:dyDescent="0.3">
      <c r="A30" s="2" t="s">
        <v>152</v>
      </c>
      <c r="B30" s="2" t="s">
        <v>153</v>
      </c>
      <c r="C30" s="2" t="s">
        <v>272</v>
      </c>
      <c r="D30" s="2" t="s">
        <v>947</v>
      </c>
      <c r="E30" s="2">
        <v>10</v>
      </c>
      <c r="F30" s="2" t="s">
        <v>948</v>
      </c>
      <c r="G30" s="3">
        <v>98</v>
      </c>
      <c r="H30" s="3">
        <v>98</v>
      </c>
      <c r="I30" s="4">
        <f t="shared" si="0"/>
        <v>196</v>
      </c>
      <c r="J30" s="2" t="s">
        <v>949</v>
      </c>
      <c r="K30" s="3">
        <v>113</v>
      </c>
      <c r="L30" s="3">
        <v>113</v>
      </c>
      <c r="M30" s="4">
        <f t="shared" si="1"/>
        <v>226</v>
      </c>
      <c r="N30" s="2" t="s">
        <v>31</v>
      </c>
    </row>
    <row r="31" spans="1:14" x14ac:dyDescent="0.3">
      <c r="A31" s="2" t="s">
        <v>152</v>
      </c>
      <c r="B31" s="2" t="s">
        <v>190</v>
      </c>
      <c r="C31" s="2" t="s">
        <v>272</v>
      </c>
      <c r="D31" s="2" t="s">
        <v>947</v>
      </c>
      <c r="E31" s="2">
        <v>10</v>
      </c>
      <c r="F31" s="2" t="s">
        <v>948</v>
      </c>
      <c r="G31" s="3">
        <v>96</v>
      </c>
      <c r="H31" s="3">
        <v>96</v>
      </c>
      <c r="I31" s="4">
        <f t="shared" si="0"/>
        <v>192</v>
      </c>
      <c r="J31" s="2" t="s">
        <v>949</v>
      </c>
      <c r="K31" s="3">
        <v>108</v>
      </c>
      <c r="L31" s="3">
        <v>108</v>
      </c>
      <c r="M31" s="4">
        <f t="shared" si="1"/>
        <v>216</v>
      </c>
      <c r="N31" s="2" t="s">
        <v>31</v>
      </c>
    </row>
    <row r="32" spans="1:14" x14ac:dyDescent="0.3">
      <c r="A32" s="2" t="s">
        <v>161</v>
      </c>
      <c r="B32" s="2" t="s">
        <v>950</v>
      </c>
      <c r="C32" s="2" t="s">
        <v>951</v>
      </c>
      <c r="D32" s="2" t="s">
        <v>952</v>
      </c>
      <c r="E32" s="2">
        <v>17</v>
      </c>
      <c r="F32" s="2" t="s">
        <v>953</v>
      </c>
      <c r="G32" s="3">
        <v>9</v>
      </c>
      <c r="H32" s="3">
        <v>9</v>
      </c>
      <c r="I32" s="4">
        <f t="shared" si="0"/>
        <v>18</v>
      </c>
      <c r="J32" s="2" t="s">
        <v>954</v>
      </c>
      <c r="K32" s="3">
        <v>11</v>
      </c>
      <c r="L32" s="3">
        <v>11</v>
      </c>
      <c r="M32" s="4">
        <f t="shared" si="1"/>
        <v>22</v>
      </c>
      <c r="N32" s="2" t="s">
        <v>31</v>
      </c>
    </row>
    <row r="33" spans="1:14" x14ac:dyDescent="0.3">
      <c r="A33" s="2" t="s">
        <v>161</v>
      </c>
      <c r="B33" s="2" t="s">
        <v>950</v>
      </c>
      <c r="C33" s="2" t="s">
        <v>709</v>
      </c>
      <c r="D33" s="2" t="s">
        <v>955</v>
      </c>
      <c r="E33" s="2">
        <v>19</v>
      </c>
      <c r="F33" s="2" t="s">
        <v>717</v>
      </c>
      <c r="G33" s="3">
        <v>3</v>
      </c>
      <c r="H33" s="3">
        <v>3</v>
      </c>
      <c r="I33" s="4">
        <f t="shared" si="0"/>
        <v>6</v>
      </c>
      <c r="J33" s="2" t="s">
        <v>956</v>
      </c>
      <c r="K33" s="3">
        <v>8</v>
      </c>
      <c r="L33" s="3">
        <v>8</v>
      </c>
      <c r="M33" s="4">
        <f t="shared" si="1"/>
        <v>16</v>
      </c>
      <c r="N33" s="2" t="s">
        <v>31</v>
      </c>
    </row>
    <row r="34" spans="1:14" x14ac:dyDescent="0.3">
      <c r="A34" s="2" t="s">
        <v>161</v>
      </c>
      <c r="B34" s="2" t="s">
        <v>950</v>
      </c>
      <c r="C34" s="2" t="s">
        <v>692</v>
      </c>
      <c r="D34" s="2" t="s">
        <v>957</v>
      </c>
      <c r="E34" s="2">
        <v>22</v>
      </c>
      <c r="F34" s="2" t="s">
        <v>958</v>
      </c>
      <c r="G34" s="3">
        <v>11</v>
      </c>
      <c r="H34" s="3">
        <v>11</v>
      </c>
      <c r="I34" s="4">
        <f t="shared" si="0"/>
        <v>22</v>
      </c>
      <c r="J34" s="2" t="s">
        <v>959</v>
      </c>
      <c r="K34" s="3">
        <v>24</v>
      </c>
      <c r="L34" s="3">
        <v>24</v>
      </c>
      <c r="M34" s="4">
        <f t="shared" si="1"/>
        <v>48</v>
      </c>
      <c r="N34" s="2" t="s">
        <v>31</v>
      </c>
    </row>
    <row r="35" spans="1:14" x14ac:dyDescent="0.3">
      <c r="A35" s="2" t="s">
        <v>161</v>
      </c>
      <c r="B35" s="2" t="s">
        <v>950</v>
      </c>
      <c r="C35" s="2" t="s">
        <v>687</v>
      </c>
      <c r="D35" s="2" t="s">
        <v>960</v>
      </c>
      <c r="E35" s="2">
        <v>9</v>
      </c>
      <c r="F35" s="2" t="s">
        <v>961</v>
      </c>
      <c r="G35" s="3">
        <v>22</v>
      </c>
      <c r="H35" s="3">
        <v>22</v>
      </c>
      <c r="I35" s="4">
        <f t="shared" si="0"/>
        <v>44</v>
      </c>
      <c r="J35" s="2" t="s">
        <v>686</v>
      </c>
      <c r="K35" s="3">
        <v>34</v>
      </c>
      <c r="L35" s="3">
        <v>34</v>
      </c>
      <c r="M35" s="4">
        <f t="shared" si="1"/>
        <v>68</v>
      </c>
      <c r="N35" s="2" t="s">
        <v>31</v>
      </c>
    </row>
    <row r="36" spans="1:14" x14ac:dyDescent="0.3">
      <c r="A36" s="2" t="s">
        <v>161</v>
      </c>
      <c r="B36" s="2" t="s">
        <v>950</v>
      </c>
      <c r="C36" s="2" t="s">
        <v>695</v>
      </c>
      <c r="D36" s="2" t="s">
        <v>962</v>
      </c>
      <c r="E36" s="2">
        <v>11</v>
      </c>
      <c r="F36" s="2" t="s">
        <v>963</v>
      </c>
      <c r="G36" s="3">
        <v>12</v>
      </c>
      <c r="H36" s="3">
        <v>12</v>
      </c>
      <c r="I36" s="4">
        <f t="shared" si="0"/>
        <v>24</v>
      </c>
      <c r="J36" s="2" t="s">
        <v>964</v>
      </c>
      <c r="K36" s="3">
        <v>37</v>
      </c>
      <c r="L36" s="3">
        <v>37</v>
      </c>
      <c r="M36" s="4">
        <f t="shared" si="1"/>
        <v>74</v>
      </c>
      <c r="N36" s="2" t="s">
        <v>31</v>
      </c>
    </row>
    <row r="37" spans="1:14" x14ac:dyDescent="0.3">
      <c r="A37" s="2" t="s">
        <v>44</v>
      </c>
      <c r="B37" s="2" t="s">
        <v>965</v>
      </c>
      <c r="C37" s="2" t="s">
        <v>801</v>
      </c>
      <c r="D37" s="2" t="s">
        <v>966</v>
      </c>
      <c r="E37" s="2">
        <v>17</v>
      </c>
      <c r="F37" s="2" t="s">
        <v>967</v>
      </c>
      <c r="G37" s="3">
        <v>3</v>
      </c>
      <c r="H37" s="3">
        <v>3</v>
      </c>
      <c r="I37" s="4">
        <f t="shared" si="0"/>
        <v>6</v>
      </c>
      <c r="J37" s="2" t="s">
        <v>815</v>
      </c>
      <c r="K37" s="3">
        <v>8</v>
      </c>
      <c r="L37" s="3">
        <v>8</v>
      </c>
      <c r="M37" s="4">
        <f t="shared" si="1"/>
        <v>16</v>
      </c>
      <c r="N37" s="2" t="s">
        <v>31</v>
      </c>
    </row>
    <row r="38" spans="1:14" x14ac:dyDescent="0.3">
      <c r="A38" s="2" t="s">
        <v>44</v>
      </c>
      <c r="B38" s="2" t="s">
        <v>965</v>
      </c>
      <c r="C38" s="2" t="s">
        <v>811</v>
      </c>
      <c r="D38" s="2" t="s">
        <v>968</v>
      </c>
      <c r="E38" s="2">
        <v>16</v>
      </c>
      <c r="F38" s="2" t="s">
        <v>859</v>
      </c>
      <c r="G38" s="3">
        <v>12</v>
      </c>
      <c r="H38" s="3">
        <v>12</v>
      </c>
      <c r="I38" s="4">
        <f t="shared" si="0"/>
        <v>24</v>
      </c>
      <c r="J38" s="2" t="s">
        <v>969</v>
      </c>
      <c r="K38" s="3">
        <v>23</v>
      </c>
      <c r="L38" s="3">
        <v>23</v>
      </c>
      <c r="M38" s="4">
        <f t="shared" si="1"/>
        <v>46</v>
      </c>
      <c r="N38" s="2" t="s">
        <v>31</v>
      </c>
    </row>
    <row r="39" spans="1:14" x14ac:dyDescent="0.3">
      <c r="A39" s="2" t="s">
        <v>44</v>
      </c>
      <c r="B39" s="2" t="s">
        <v>965</v>
      </c>
      <c r="C39" s="2" t="s">
        <v>798</v>
      </c>
      <c r="D39" s="2" t="s">
        <v>970</v>
      </c>
      <c r="E39" s="2">
        <v>12</v>
      </c>
      <c r="F39" s="2" t="s">
        <v>971</v>
      </c>
      <c r="G39" s="3">
        <v>9</v>
      </c>
      <c r="H39" s="3">
        <v>9</v>
      </c>
      <c r="I39" s="4">
        <f t="shared" si="0"/>
        <v>18</v>
      </c>
      <c r="J39" s="2" t="s">
        <v>972</v>
      </c>
      <c r="K39" s="3">
        <v>17</v>
      </c>
      <c r="L39" s="3">
        <v>17</v>
      </c>
      <c r="M39" s="4">
        <f t="shared" si="1"/>
        <v>34</v>
      </c>
      <c r="N39" s="2" t="s">
        <v>31</v>
      </c>
    </row>
    <row r="40" spans="1:14" x14ac:dyDescent="0.3">
      <c r="A40" s="2" t="s">
        <v>44</v>
      </c>
      <c r="B40" s="2" t="s">
        <v>965</v>
      </c>
      <c r="C40" s="2" t="s">
        <v>769</v>
      </c>
      <c r="D40" s="2" t="s">
        <v>973</v>
      </c>
      <c r="E40" s="2">
        <v>11</v>
      </c>
      <c r="F40" s="2" t="s">
        <v>795</v>
      </c>
      <c r="G40" s="3">
        <v>21</v>
      </c>
      <c r="H40" s="3">
        <v>21</v>
      </c>
      <c r="I40" s="4">
        <f t="shared" si="0"/>
        <v>42</v>
      </c>
      <c r="J40" s="2" t="s">
        <v>768</v>
      </c>
      <c r="K40" s="3">
        <v>49</v>
      </c>
      <c r="L40" s="3">
        <v>49</v>
      </c>
      <c r="M40" s="4">
        <f t="shared" si="1"/>
        <v>98</v>
      </c>
      <c r="N40" s="2" t="s">
        <v>31</v>
      </c>
    </row>
    <row r="41" spans="1:14" x14ac:dyDescent="0.3">
      <c r="A41" s="2" t="s">
        <v>44</v>
      </c>
      <c r="B41" s="2" t="s">
        <v>965</v>
      </c>
      <c r="C41" s="2" t="s">
        <v>764</v>
      </c>
      <c r="D41" s="2" t="s">
        <v>974</v>
      </c>
      <c r="E41" s="2">
        <v>10</v>
      </c>
      <c r="F41" s="2" t="s">
        <v>773</v>
      </c>
      <c r="G41" s="3">
        <v>28</v>
      </c>
      <c r="H41" s="3">
        <v>28</v>
      </c>
      <c r="I41" s="4">
        <f t="shared" si="0"/>
        <v>56</v>
      </c>
      <c r="J41" s="2" t="s">
        <v>766</v>
      </c>
      <c r="K41" s="3">
        <v>38</v>
      </c>
      <c r="L41" s="3">
        <v>38</v>
      </c>
      <c r="M41" s="4">
        <f t="shared" si="1"/>
        <v>76</v>
      </c>
      <c r="N41" s="2" t="s">
        <v>31</v>
      </c>
    </row>
    <row r="42" spans="1:14" x14ac:dyDescent="0.3">
      <c r="A42" s="2" t="s">
        <v>44</v>
      </c>
      <c r="B42" s="2" t="s">
        <v>965</v>
      </c>
      <c r="C42" s="2" t="s">
        <v>761</v>
      </c>
      <c r="D42" s="2" t="s">
        <v>975</v>
      </c>
      <c r="E42" s="2">
        <v>10</v>
      </c>
      <c r="F42" s="2" t="s">
        <v>783</v>
      </c>
      <c r="G42" s="3">
        <v>13</v>
      </c>
      <c r="H42" s="3">
        <v>13</v>
      </c>
      <c r="I42" s="4">
        <f t="shared" si="0"/>
        <v>26</v>
      </c>
      <c r="J42" s="2" t="s">
        <v>976</v>
      </c>
      <c r="K42" s="3">
        <v>25</v>
      </c>
      <c r="L42" s="3">
        <v>25</v>
      </c>
      <c r="M42" s="4">
        <f t="shared" si="1"/>
        <v>50</v>
      </c>
      <c r="N42" s="2" t="s">
        <v>31</v>
      </c>
    </row>
    <row r="43" spans="1:14" x14ac:dyDescent="0.3">
      <c r="A43" s="2" t="s">
        <v>27</v>
      </c>
      <c r="B43" s="2" t="s">
        <v>977</v>
      </c>
      <c r="C43" s="2" t="s">
        <v>978</v>
      </c>
      <c r="D43" s="2" t="s">
        <v>979</v>
      </c>
      <c r="E43" s="2">
        <v>11</v>
      </c>
      <c r="F43" s="2" t="s">
        <v>980</v>
      </c>
      <c r="G43" s="3">
        <v>3</v>
      </c>
      <c r="H43" s="3">
        <v>3</v>
      </c>
      <c r="I43" s="4">
        <f t="shared" si="0"/>
        <v>6</v>
      </c>
      <c r="J43" s="2" t="s">
        <v>981</v>
      </c>
      <c r="K43" s="3">
        <v>8</v>
      </c>
      <c r="L43" s="3">
        <v>8</v>
      </c>
      <c r="M43" s="4">
        <f t="shared" si="1"/>
        <v>16</v>
      </c>
      <c r="N43" s="2" t="s">
        <v>31</v>
      </c>
    </row>
    <row r="44" spans="1:14" x14ac:dyDescent="0.3">
      <c r="A44" s="2" t="s">
        <v>27</v>
      </c>
      <c r="B44" s="2" t="s">
        <v>977</v>
      </c>
      <c r="C44" s="2" t="s">
        <v>982</v>
      </c>
      <c r="D44" s="2" t="s">
        <v>983</v>
      </c>
      <c r="E44" s="2">
        <v>11</v>
      </c>
      <c r="F44" s="2" t="s">
        <v>984</v>
      </c>
      <c r="G44" s="3">
        <v>5</v>
      </c>
      <c r="H44" s="3">
        <v>5</v>
      </c>
      <c r="I44" s="4">
        <f t="shared" si="0"/>
        <v>10</v>
      </c>
      <c r="J44" s="2" t="s">
        <v>985</v>
      </c>
      <c r="K44" s="3">
        <v>8</v>
      </c>
      <c r="L44" s="3">
        <v>8</v>
      </c>
      <c r="M44" s="4">
        <f t="shared" si="1"/>
        <v>16</v>
      </c>
      <c r="N44" s="2" t="s">
        <v>31</v>
      </c>
    </row>
    <row r="45" spans="1:14" x14ac:dyDescent="0.3">
      <c r="A45" s="2" t="s">
        <v>27</v>
      </c>
      <c r="B45" s="2" t="s">
        <v>977</v>
      </c>
      <c r="C45" s="2" t="s">
        <v>986</v>
      </c>
      <c r="D45" s="2" t="s">
        <v>987</v>
      </c>
      <c r="E45" s="2">
        <v>10</v>
      </c>
      <c r="F45" s="2" t="s">
        <v>988</v>
      </c>
      <c r="G45" s="3">
        <v>12</v>
      </c>
      <c r="H45" s="3">
        <v>12</v>
      </c>
      <c r="I45" s="4">
        <f t="shared" si="0"/>
        <v>24</v>
      </c>
      <c r="J45" s="2" t="s">
        <v>989</v>
      </c>
      <c r="K45" s="3">
        <v>20</v>
      </c>
      <c r="L45" s="3">
        <v>20</v>
      </c>
      <c r="M45" s="4">
        <f t="shared" si="1"/>
        <v>40</v>
      </c>
      <c r="N45" s="2" t="s">
        <v>31</v>
      </c>
    </row>
    <row r="46" spans="1:14" x14ac:dyDescent="0.3">
      <c r="A46" s="2" t="s">
        <v>27</v>
      </c>
      <c r="B46" s="2" t="s">
        <v>977</v>
      </c>
      <c r="C46" s="2" t="s">
        <v>990</v>
      </c>
      <c r="D46" s="2" t="s">
        <v>991</v>
      </c>
      <c r="E46" s="2">
        <v>9</v>
      </c>
      <c r="F46" s="2" t="s">
        <v>992</v>
      </c>
      <c r="G46" s="3">
        <v>12</v>
      </c>
      <c r="H46" s="3">
        <v>12</v>
      </c>
      <c r="I46" s="4">
        <f t="shared" si="0"/>
        <v>24</v>
      </c>
      <c r="J46" s="2" t="s">
        <v>993</v>
      </c>
      <c r="K46" s="3">
        <v>13</v>
      </c>
      <c r="L46" s="3">
        <v>13</v>
      </c>
      <c r="M46" s="4">
        <f t="shared" si="1"/>
        <v>26</v>
      </c>
      <c r="N46" s="2" t="s">
        <v>31</v>
      </c>
    </row>
    <row r="47" spans="1:14" x14ac:dyDescent="0.3">
      <c r="A47" s="2" t="s">
        <v>27</v>
      </c>
      <c r="B47" s="2" t="s">
        <v>977</v>
      </c>
      <c r="C47" s="2" t="s">
        <v>994</v>
      </c>
      <c r="D47" s="2" t="s">
        <v>995</v>
      </c>
      <c r="E47" s="2">
        <v>9</v>
      </c>
      <c r="F47" s="2" t="s">
        <v>996</v>
      </c>
      <c r="G47" s="3">
        <v>9</v>
      </c>
      <c r="H47" s="3">
        <v>9</v>
      </c>
      <c r="I47" s="4">
        <f t="shared" si="0"/>
        <v>18</v>
      </c>
      <c r="J47" s="2" t="s">
        <v>997</v>
      </c>
      <c r="K47" s="3">
        <v>14</v>
      </c>
      <c r="L47" s="3">
        <v>14</v>
      </c>
      <c r="M47" s="4">
        <f t="shared" si="1"/>
        <v>28</v>
      </c>
      <c r="N47" s="2" t="s">
        <v>31</v>
      </c>
    </row>
  </sheetData>
  <autoFilter ref="A1:N47" xr:uid="{00000000-0009-0000-0000-00000600000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62"/>
  <sheetViews>
    <sheetView zoomScaleNormal="100" workbookViewId="0">
      <pane ySplit="1" topLeftCell="A2" activePane="bottomLeft" state="frozen"/>
      <selection pane="bottomLeft" activeCell="D2" sqref="D2"/>
    </sheetView>
  </sheetViews>
  <sheetFormatPr defaultColWidth="8.6640625" defaultRowHeight="14.4" x14ac:dyDescent="0.3"/>
  <cols>
    <col min="1" max="1" width="9" customWidth="1"/>
    <col min="2" max="2" width="24" customWidth="1"/>
    <col min="3" max="3" width="32" customWidth="1"/>
    <col min="4" max="4" width="48" customWidth="1"/>
  </cols>
  <sheetData>
    <row r="1" spans="1:4" ht="33.75" customHeight="1" x14ac:dyDescent="0.3">
      <c r="A1" s="1" t="s">
        <v>921</v>
      </c>
      <c r="B1" s="1" t="s">
        <v>923</v>
      </c>
      <c r="C1" s="1" t="s">
        <v>998</v>
      </c>
      <c r="D1" s="1" t="s">
        <v>924</v>
      </c>
    </row>
    <row r="2" spans="1:4" x14ac:dyDescent="0.3">
      <c r="A2" s="2" t="s">
        <v>152</v>
      </c>
      <c r="B2" s="2" t="s">
        <v>188</v>
      </c>
      <c r="C2" s="2" t="s">
        <v>200</v>
      </c>
      <c r="D2" s="2" t="s">
        <v>934</v>
      </c>
    </row>
    <row r="3" spans="1:4" x14ac:dyDescent="0.3">
      <c r="A3" s="2" t="s">
        <v>152</v>
      </c>
      <c r="B3" s="2" t="s">
        <v>188</v>
      </c>
      <c r="C3" s="2" t="s">
        <v>999</v>
      </c>
      <c r="D3" s="2" t="s">
        <v>934</v>
      </c>
    </row>
    <row r="4" spans="1:4" x14ac:dyDescent="0.3">
      <c r="A4" s="2" t="s">
        <v>152</v>
      </c>
      <c r="B4" s="2" t="s">
        <v>188</v>
      </c>
      <c r="C4" s="2" t="s">
        <v>1000</v>
      </c>
      <c r="D4" s="2" t="s">
        <v>934</v>
      </c>
    </row>
    <row r="5" spans="1:4" x14ac:dyDescent="0.3">
      <c r="A5" s="2" t="s">
        <v>152</v>
      </c>
      <c r="B5" s="2" t="s">
        <v>188</v>
      </c>
      <c r="C5" s="2" t="s">
        <v>1001</v>
      </c>
      <c r="D5" s="2" t="s">
        <v>934</v>
      </c>
    </row>
    <row r="6" spans="1:4" x14ac:dyDescent="0.3">
      <c r="A6" s="2" t="s">
        <v>152</v>
      </c>
      <c r="B6" s="2" t="s">
        <v>188</v>
      </c>
      <c r="C6" s="2" t="s">
        <v>1002</v>
      </c>
      <c r="D6" s="2" t="s">
        <v>934</v>
      </c>
    </row>
    <row r="7" spans="1:4" x14ac:dyDescent="0.3">
      <c r="A7" s="2" t="s">
        <v>152</v>
      </c>
      <c r="B7" s="2" t="s">
        <v>188</v>
      </c>
      <c r="C7" s="2" t="s">
        <v>1003</v>
      </c>
      <c r="D7" s="2" t="s">
        <v>934</v>
      </c>
    </row>
    <row r="8" spans="1:4" x14ac:dyDescent="0.3">
      <c r="A8" s="2" t="s">
        <v>152</v>
      </c>
      <c r="B8" s="2" t="s">
        <v>188</v>
      </c>
      <c r="C8" s="2" t="s">
        <v>1004</v>
      </c>
      <c r="D8" s="2" t="s">
        <v>934</v>
      </c>
    </row>
    <row r="9" spans="1:4" x14ac:dyDescent="0.3">
      <c r="A9" s="2" t="s">
        <v>152</v>
      </c>
      <c r="B9" s="2" t="s">
        <v>188</v>
      </c>
      <c r="C9" s="2" t="s">
        <v>210</v>
      </c>
      <c r="D9" s="2" t="s">
        <v>934</v>
      </c>
    </row>
    <row r="10" spans="1:4" x14ac:dyDescent="0.3">
      <c r="A10" s="2" t="s">
        <v>152</v>
      </c>
      <c r="B10" s="2" t="s">
        <v>188</v>
      </c>
      <c r="C10" s="2" t="s">
        <v>227</v>
      </c>
      <c r="D10" s="2" t="s">
        <v>934</v>
      </c>
    </row>
    <row r="11" spans="1:4" x14ac:dyDescent="0.3">
      <c r="A11" s="2" t="s">
        <v>152</v>
      </c>
      <c r="B11" s="2" t="s">
        <v>188</v>
      </c>
      <c r="C11" s="2" t="s">
        <v>1005</v>
      </c>
      <c r="D11" s="2" t="s">
        <v>934</v>
      </c>
    </row>
    <row r="12" spans="1:4" x14ac:dyDescent="0.3">
      <c r="A12" s="2" t="s">
        <v>152</v>
      </c>
      <c r="B12" s="2" t="s">
        <v>188</v>
      </c>
      <c r="C12" s="2" t="s">
        <v>1006</v>
      </c>
      <c r="D12" s="2" t="s">
        <v>934</v>
      </c>
    </row>
    <row r="13" spans="1:4" x14ac:dyDescent="0.3">
      <c r="A13" s="2" t="s">
        <v>152</v>
      </c>
      <c r="B13" s="2" t="s">
        <v>188</v>
      </c>
      <c r="C13" s="2" t="s">
        <v>527</v>
      </c>
      <c r="D13" s="2" t="s">
        <v>934</v>
      </c>
    </row>
    <row r="14" spans="1:4" x14ac:dyDescent="0.3">
      <c r="A14" s="2" t="s">
        <v>152</v>
      </c>
      <c r="B14" s="2" t="s">
        <v>188</v>
      </c>
      <c r="C14" s="2" t="s">
        <v>1007</v>
      </c>
      <c r="D14" s="2" t="s">
        <v>934</v>
      </c>
    </row>
    <row r="15" spans="1:4" x14ac:dyDescent="0.3">
      <c r="A15" s="2" t="s">
        <v>152</v>
      </c>
      <c r="B15" s="2" t="s">
        <v>188</v>
      </c>
      <c r="C15" s="2" t="s">
        <v>563</v>
      </c>
      <c r="D15" s="2" t="s">
        <v>934</v>
      </c>
    </row>
    <row r="16" spans="1:4" x14ac:dyDescent="0.3">
      <c r="A16" s="2" t="s">
        <v>152</v>
      </c>
      <c r="B16" s="2" t="s">
        <v>188</v>
      </c>
      <c r="C16" s="2" t="s">
        <v>1008</v>
      </c>
      <c r="D16" s="2" t="s">
        <v>934</v>
      </c>
    </row>
    <row r="17" spans="1:4" x14ac:dyDescent="0.3">
      <c r="A17" s="2" t="s">
        <v>152</v>
      </c>
      <c r="B17" s="2" t="s">
        <v>188</v>
      </c>
      <c r="C17" s="2" t="s">
        <v>552</v>
      </c>
      <c r="D17" s="2" t="s">
        <v>934</v>
      </c>
    </row>
    <row r="18" spans="1:4" x14ac:dyDescent="0.3">
      <c r="A18" s="2" t="s">
        <v>152</v>
      </c>
      <c r="B18" s="2" t="s">
        <v>188</v>
      </c>
      <c r="C18" s="2" t="s">
        <v>1009</v>
      </c>
      <c r="D18" s="2" t="s">
        <v>934</v>
      </c>
    </row>
    <row r="19" spans="1:4" x14ac:dyDescent="0.3">
      <c r="A19" s="2" t="s">
        <v>152</v>
      </c>
      <c r="B19" s="2" t="s">
        <v>188</v>
      </c>
      <c r="C19" s="2" t="s">
        <v>1010</v>
      </c>
      <c r="D19" s="2" t="s">
        <v>934</v>
      </c>
    </row>
    <row r="20" spans="1:4" x14ac:dyDescent="0.3">
      <c r="A20" s="2" t="s">
        <v>152</v>
      </c>
      <c r="B20" s="2" t="s">
        <v>188</v>
      </c>
      <c r="C20" s="2" t="s">
        <v>1011</v>
      </c>
      <c r="D20" s="2" t="s">
        <v>934</v>
      </c>
    </row>
    <row r="21" spans="1:4" x14ac:dyDescent="0.3">
      <c r="A21" s="2" t="s">
        <v>152</v>
      </c>
      <c r="B21" s="2" t="s">
        <v>188</v>
      </c>
      <c r="C21" s="2" t="s">
        <v>547</v>
      </c>
      <c r="D21" s="2" t="s">
        <v>934</v>
      </c>
    </row>
    <row r="22" spans="1:4" x14ac:dyDescent="0.3">
      <c r="A22" s="2" t="s">
        <v>152</v>
      </c>
      <c r="B22" s="2" t="s">
        <v>188</v>
      </c>
      <c r="C22" s="2" t="s">
        <v>1012</v>
      </c>
      <c r="D22" s="2" t="s">
        <v>934</v>
      </c>
    </row>
    <row r="23" spans="1:4" x14ac:dyDescent="0.3">
      <c r="A23" s="2" t="s">
        <v>152</v>
      </c>
      <c r="B23" s="2" t="s">
        <v>188</v>
      </c>
      <c r="C23" s="2" t="s">
        <v>1013</v>
      </c>
      <c r="D23" s="2" t="s">
        <v>934</v>
      </c>
    </row>
    <row r="24" spans="1:4" x14ac:dyDescent="0.3">
      <c r="A24" s="2" t="s">
        <v>152</v>
      </c>
      <c r="B24" s="2" t="s">
        <v>188</v>
      </c>
      <c r="C24" s="2" t="s">
        <v>899</v>
      </c>
      <c r="D24" s="2" t="s">
        <v>934</v>
      </c>
    </row>
    <row r="25" spans="1:4" x14ac:dyDescent="0.3">
      <c r="A25" s="2" t="s">
        <v>152</v>
      </c>
      <c r="B25" s="2" t="s">
        <v>188</v>
      </c>
      <c r="C25" s="2" t="s">
        <v>1014</v>
      </c>
      <c r="D25" s="2" t="s">
        <v>934</v>
      </c>
    </row>
    <row r="26" spans="1:4" x14ac:dyDescent="0.3">
      <c r="A26" s="2" t="s">
        <v>152</v>
      </c>
      <c r="B26" s="2" t="s">
        <v>188</v>
      </c>
      <c r="C26" s="2" t="s">
        <v>1015</v>
      </c>
      <c r="D26" s="2" t="s">
        <v>934</v>
      </c>
    </row>
    <row r="27" spans="1:4" x14ac:dyDescent="0.3">
      <c r="A27" s="2" t="s">
        <v>152</v>
      </c>
      <c r="B27" s="2" t="s">
        <v>188</v>
      </c>
      <c r="C27" s="2" t="s">
        <v>1016</v>
      </c>
      <c r="D27" s="2" t="s">
        <v>934</v>
      </c>
    </row>
    <row r="28" spans="1:4" x14ac:dyDescent="0.3">
      <c r="A28" s="2" t="s">
        <v>152</v>
      </c>
      <c r="B28" s="2" t="s">
        <v>188</v>
      </c>
      <c r="C28" s="2" t="s">
        <v>542</v>
      </c>
      <c r="D28" s="2" t="s">
        <v>934</v>
      </c>
    </row>
    <row r="29" spans="1:4" x14ac:dyDescent="0.3">
      <c r="A29" s="2" t="s">
        <v>152</v>
      </c>
      <c r="B29" s="2" t="s">
        <v>188</v>
      </c>
      <c r="C29" s="2" t="s">
        <v>215</v>
      </c>
      <c r="D29" s="2" t="s">
        <v>934</v>
      </c>
    </row>
    <row r="30" spans="1:4" x14ac:dyDescent="0.3">
      <c r="A30" s="2" t="s">
        <v>152</v>
      </c>
      <c r="B30" s="2" t="s">
        <v>188</v>
      </c>
      <c r="C30" s="2" t="s">
        <v>540</v>
      </c>
      <c r="D30" s="2" t="s">
        <v>934</v>
      </c>
    </row>
    <row r="31" spans="1:4" x14ac:dyDescent="0.3">
      <c r="A31" s="2" t="s">
        <v>152</v>
      </c>
      <c r="B31" s="2" t="s">
        <v>188</v>
      </c>
      <c r="C31" s="2" t="s">
        <v>1017</v>
      </c>
      <c r="D31" s="2" t="s">
        <v>934</v>
      </c>
    </row>
    <row r="32" spans="1:4" x14ac:dyDescent="0.3">
      <c r="A32" s="2" t="s">
        <v>152</v>
      </c>
      <c r="B32" s="2" t="s">
        <v>188</v>
      </c>
      <c r="C32" s="2" t="s">
        <v>221</v>
      </c>
      <c r="D32" s="2" t="s">
        <v>934</v>
      </c>
    </row>
    <row r="33" spans="1:4" x14ac:dyDescent="0.3">
      <c r="A33" s="2" t="s">
        <v>152</v>
      </c>
      <c r="B33" s="2" t="s">
        <v>188</v>
      </c>
      <c r="C33" s="2" t="s">
        <v>190</v>
      </c>
      <c r="D33" s="2" t="s">
        <v>934</v>
      </c>
    </row>
    <row r="34" spans="1:4" x14ac:dyDescent="0.3">
      <c r="A34" s="2" t="s">
        <v>152</v>
      </c>
      <c r="B34" s="2" t="s">
        <v>188</v>
      </c>
      <c r="C34" s="2" t="s">
        <v>536</v>
      </c>
      <c r="D34" s="2" t="s">
        <v>934</v>
      </c>
    </row>
    <row r="35" spans="1:4" x14ac:dyDescent="0.3">
      <c r="A35" s="2" t="s">
        <v>152</v>
      </c>
      <c r="B35" s="2" t="s">
        <v>188</v>
      </c>
      <c r="C35" s="2" t="s">
        <v>217</v>
      </c>
      <c r="D35" s="2" t="s">
        <v>934</v>
      </c>
    </row>
    <row r="36" spans="1:4" x14ac:dyDescent="0.3">
      <c r="A36" s="2" t="s">
        <v>152</v>
      </c>
      <c r="B36" s="2" t="s">
        <v>188</v>
      </c>
      <c r="C36" s="2" t="s">
        <v>687</v>
      </c>
      <c r="D36" s="2" t="s">
        <v>934</v>
      </c>
    </row>
    <row r="37" spans="1:4" x14ac:dyDescent="0.3">
      <c r="A37" s="2" t="s">
        <v>152</v>
      </c>
      <c r="B37" s="2" t="s">
        <v>188</v>
      </c>
      <c r="C37" s="2" t="s">
        <v>565</v>
      </c>
      <c r="D37" s="2" t="s">
        <v>934</v>
      </c>
    </row>
    <row r="38" spans="1:4" x14ac:dyDescent="0.3">
      <c r="A38" s="2" t="s">
        <v>152</v>
      </c>
      <c r="B38" s="2" t="s">
        <v>188</v>
      </c>
      <c r="C38" s="2" t="s">
        <v>1018</v>
      </c>
      <c r="D38" s="2" t="s">
        <v>934</v>
      </c>
    </row>
    <row r="39" spans="1:4" x14ac:dyDescent="0.3">
      <c r="A39" s="2" t="s">
        <v>152</v>
      </c>
      <c r="B39" s="2" t="s">
        <v>188</v>
      </c>
      <c r="C39" s="2" t="s">
        <v>1019</v>
      </c>
      <c r="D39" s="2" t="s">
        <v>934</v>
      </c>
    </row>
    <row r="40" spans="1:4" x14ac:dyDescent="0.3">
      <c r="A40" s="2" t="s">
        <v>152</v>
      </c>
      <c r="B40" s="2" t="s">
        <v>188</v>
      </c>
      <c r="C40" s="2" t="s">
        <v>891</v>
      </c>
      <c r="D40" s="2" t="s">
        <v>934</v>
      </c>
    </row>
    <row r="41" spans="1:4" x14ac:dyDescent="0.3">
      <c r="A41" s="2" t="s">
        <v>152</v>
      </c>
      <c r="B41" s="2" t="s">
        <v>188</v>
      </c>
      <c r="C41" s="2" t="s">
        <v>1020</v>
      </c>
      <c r="D41" s="2" t="s">
        <v>934</v>
      </c>
    </row>
    <row r="42" spans="1:4" x14ac:dyDescent="0.3">
      <c r="A42" s="2" t="s">
        <v>152</v>
      </c>
      <c r="B42" s="2" t="s">
        <v>188</v>
      </c>
      <c r="C42" s="2" t="s">
        <v>1021</v>
      </c>
      <c r="D42" s="2" t="s">
        <v>934</v>
      </c>
    </row>
    <row r="43" spans="1:4" x14ac:dyDescent="0.3">
      <c r="A43" s="2" t="s">
        <v>152</v>
      </c>
      <c r="B43" s="2" t="s">
        <v>188</v>
      </c>
      <c r="C43" s="2" t="s">
        <v>1022</v>
      </c>
      <c r="D43" s="2" t="s">
        <v>934</v>
      </c>
    </row>
    <row r="44" spans="1:4" x14ac:dyDescent="0.3">
      <c r="A44" s="2" t="s">
        <v>152</v>
      </c>
      <c r="B44" s="2" t="s">
        <v>188</v>
      </c>
      <c r="C44" s="2" t="s">
        <v>567</v>
      </c>
      <c r="D44" s="2" t="s">
        <v>934</v>
      </c>
    </row>
    <row r="45" spans="1:4" x14ac:dyDescent="0.3">
      <c r="A45" s="2" t="s">
        <v>152</v>
      </c>
      <c r="B45" s="2" t="s">
        <v>188</v>
      </c>
      <c r="C45" s="2" t="s">
        <v>1023</v>
      </c>
      <c r="D45" s="2" t="s">
        <v>934</v>
      </c>
    </row>
    <row r="46" spans="1:4" x14ac:dyDescent="0.3">
      <c r="A46" s="2" t="s">
        <v>152</v>
      </c>
      <c r="B46" s="2" t="s">
        <v>188</v>
      </c>
      <c r="C46" s="2" t="s">
        <v>1024</v>
      </c>
      <c r="D46" s="2" t="s">
        <v>934</v>
      </c>
    </row>
    <row r="47" spans="1:4" x14ac:dyDescent="0.3">
      <c r="A47" s="2" t="s">
        <v>152</v>
      </c>
      <c r="B47" s="2" t="s">
        <v>188</v>
      </c>
      <c r="C47" s="2" t="s">
        <v>1025</v>
      </c>
      <c r="D47" s="2" t="s">
        <v>934</v>
      </c>
    </row>
    <row r="48" spans="1:4" x14ac:dyDescent="0.3">
      <c r="A48" s="2" t="s">
        <v>152</v>
      </c>
      <c r="B48" s="2" t="s">
        <v>188</v>
      </c>
      <c r="C48" s="2" t="s">
        <v>1026</v>
      </c>
      <c r="D48" s="2" t="s">
        <v>934</v>
      </c>
    </row>
    <row r="49" spans="1:4" x14ac:dyDescent="0.3">
      <c r="A49" s="2" t="s">
        <v>152</v>
      </c>
      <c r="B49" s="2" t="s">
        <v>188</v>
      </c>
      <c r="C49" s="2" t="s">
        <v>1027</v>
      </c>
      <c r="D49" s="2" t="s">
        <v>934</v>
      </c>
    </row>
    <row r="50" spans="1:4" x14ac:dyDescent="0.3">
      <c r="A50" s="2" t="s">
        <v>152</v>
      </c>
      <c r="B50" s="2" t="s">
        <v>188</v>
      </c>
      <c r="C50" s="2" t="s">
        <v>1028</v>
      </c>
      <c r="D50" s="2" t="s">
        <v>934</v>
      </c>
    </row>
    <row r="51" spans="1:4" x14ac:dyDescent="0.3">
      <c r="A51" s="2" t="s">
        <v>152</v>
      </c>
      <c r="B51" s="2" t="s">
        <v>188</v>
      </c>
      <c r="C51" s="2" t="s">
        <v>172</v>
      </c>
      <c r="D51" s="2" t="s">
        <v>934</v>
      </c>
    </row>
    <row r="52" spans="1:4" x14ac:dyDescent="0.3">
      <c r="A52" s="2" t="s">
        <v>152</v>
      </c>
      <c r="B52" s="2" t="s">
        <v>188</v>
      </c>
      <c r="C52" s="2" t="s">
        <v>1029</v>
      </c>
      <c r="D52" s="2" t="s">
        <v>934</v>
      </c>
    </row>
    <row r="53" spans="1:4" x14ac:dyDescent="0.3">
      <c r="A53" s="2" t="s">
        <v>152</v>
      </c>
      <c r="B53" s="2" t="s">
        <v>188</v>
      </c>
      <c r="C53" s="2" t="s">
        <v>888</v>
      </c>
      <c r="D53" s="2" t="s">
        <v>934</v>
      </c>
    </row>
    <row r="54" spans="1:4" x14ac:dyDescent="0.3">
      <c r="A54" s="2" t="s">
        <v>152</v>
      </c>
      <c r="B54" s="2" t="s">
        <v>188</v>
      </c>
      <c r="C54" s="2" t="s">
        <v>240</v>
      </c>
      <c r="D54" s="2" t="s">
        <v>934</v>
      </c>
    </row>
    <row r="55" spans="1:4" x14ac:dyDescent="0.3">
      <c r="A55" s="2" t="s">
        <v>152</v>
      </c>
      <c r="B55" s="2" t="s">
        <v>188</v>
      </c>
      <c r="C55" s="2" t="s">
        <v>522</v>
      </c>
      <c r="D55" s="2" t="s">
        <v>934</v>
      </c>
    </row>
    <row r="56" spans="1:4" x14ac:dyDescent="0.3">
      <c r="A56" s="2" t="s">
        <v>152</v>
      </c>
      <c r="B56" s="2" t="s">
        <v>188</v>
      </c>
      <c r="C56" s="2" t="s">
        <v>153</v>
      </c>
      <c r="D56" s="2" t="s">
        <v>934</v>
      </c>
    </row>
    <row r="57" spans="1:4" x14ac:dyDescent="0.3">
      <c r="A57" s="2" t="s">
        <v>152</v>
      </c>
      <c r="B57" s="2" t="s">
        <v>188</v>
      </c>
      <c r="C57" s="2" t="s">
        <v>1030</v>
      </c>
      <c r="D57" s="2" t="s">
        <v>934</v>
      </c>
    </row>
    <row r="58" spans="1:4" x14ac:dyDescent="0.3">
      <c r="A58" s="2" t="s">
        <v>152</v>
      </c>
      <c r="B58" s="2" t="s">
        <v>188</v>
      </c>
      <c r="C58" s="2" t="s">
        <v>529</v>
      </c>
      <c r="D58" s="2" t="s">
        <v>934</v>
      </c>
    </row>
    <row r="59" spans="1:4" x14ac:dyDescent="0.3">
      <c r="A59" s="2" t="s">
        <v>152</v>
      </c>
      <c r="B59" s="2" t="s">
        <v>188</v>
      </c>
      <c r="C59" s="2" t="s">
        <v>1031</v>
      </c>
      <c r="D59" s="2" t="s">
        <v>934</v>
      </c>
    </row>
    <row r="60" spans="1:4" x14ac:dyDescent="0.3">
      <c r="A60" s="2" t="s">
        <v>152</v>
      </c>
      <c r="B60" s="2" t="s">
        <v>188</v>
      </c>
      <c r="C60" s="2" t="s">
        <v>1032</v>
      </c>
      <c r="D60" s="2" t="s">
        <v>934</v>
      </c>
    </row>
    <row r="61" spans="1:4" x14ac:dyDescent="0.3">
      <c r="A61" s="2" t="s">
        <v>152</v>
      </c>
      <c r="B61" s="2" t="s">
        <v>188</v>
      </c>
      <c r="C61" s="2" t="s">
        <v>1033</v>
      </c>
      <c r="D61" s="2" t="s">
        <v>934</v>
      </c>
    </row>
    <row r="62" spans="1:4" x14ac:dyDescent="0.3">
      <c r="A62" s="2" t="s">
        <v>152</v>
      </c>
      <c r="B62" s="2" t="s">
        <v>188</v>
      </c>
      <c r="C62" s="2" t="s">
        <v>515</v>
      </c>
      <c r="D62" s="2" t="s">
        <v>934</v>
      </c>
    </row>
    <row r="63" spans="1:4" x14ac:dyDescent="0.3">
      <c r="A63" s="2" t="s">
        <v>152</v>
      </c>
      <c r="B63" s="2" t="s">
        <v>188</v>
      </c>
      <c r="C63" s="2" t="s">
        <v>935</v>
      </c>
      <c r="D63" s="2" t="s">
        <v>934</v>
      </c>
    </row>
    <row r="64" spans="1:4" x14ac:dyDescent="0.3">
      <c r="A64" s="2" t="s">
        <v>152</v>
      </c>
      <c r="B64" s="2" t="s">
        <v>188</v>
      </c>
      <c r="C64" s="2" t="s">
        <v>1034</v>
      </c>
      <c r="D64" s="2" t="s">
        <v>934</v>
      </c>
    </row>
    <row r="65" spans="1:4" x14ac:dyDescent="0.3">
      <c r="A65" s="2" t="s">
        <v>152</v>
      </c>
      <c r="B65" s="2" t="s">
        <v>188</v>
      </c>
      <c r="C65" s="2" t="s">
        <v>1035</v>
      </c>
      <c r="D65" s="2" t="s">
        <v>934</v>
      </c>
    </row>
    <row r="66" spans="1:4" x14ac:dyDescent="0.3">
      <c r="A66" s="2" t="s">
        <v>152</v>
      </c>
      <c r="B66" s="2" t="s">
        <v>188</v>
      </c>
      <c r="C66" s="2" t="s">
        <v>532</v>
      </c>
      <c r="D66" s="2" t="s">
        <v>934</v>
      </c>
    </row>
    <row r="67" spans="1:4" x14ac:dyDescent="0.3">
      <c r="A67" s="2" t="s">
        <v>152</v>
      </c>
      <c r="B67" s="2" t="s">
        <v>188</v>
      </c>
      <c r="C67" s="2" t="s">
        <v>1036</v>
      </c>
      <c r="D67" s="2" t="s">
        <v>934</v>
      </c>
    </row>
    <row r="68" spans="1:4" x14ac:dyDescent="0.3">
      <c r="A68" s="2" t="s">
        <v>152</v>
      </c>
      <c r="B68" s="2" t="s">
        <v>188</v>
      </c>
      <c r="C68" s="2" t="s">
        <v>534</v>
      </c>
      <c r="D68" s="2" t="s">
        <v>934</v>
      </c>
    </row>
    <row r="69" spans="1:4" x14ac:dyDescent="0.3">
      <c r="A69" s="2" t="s">
        <v>152</v>
      </c>
      <c r="B69" s="2" t="s">
        <v>188</v>
      </c>
      <c r="C69" s="2" t="s">
        <v>1037</v>
      </c>
      <c r="D69" s="2" t="s">
        <v>934</v>
      </c>
    </row>
    <row r="70" spans="1:4" x14ac:dyDescent="0.3">
      <c r="A70" s="2" t="s">
        <v>152</v>
      </c>
      <c r="B70" s="2" t="s">
        <v>188</v>
      </c>
      <c r="C70" s="2" t="s">
        <v>884</v>
      </c>
      <c r="D70" s="2" t="s">
        <v>934</v>
      </c>
    </row>
    <row r="71" spans="1:4" x14ac:dyDescent="0.3">
      <c r="A71" s="2" t="s">
        <v>152</v>
      </c>
      <c r="B71" s="2" t="s">
        <v>188</v>
      </c>
      <c r="C71" s="2" t="s">
        <v>202</v>
      </c>
      <c r="D71" s="2" t="s">
        <v>934</v>
      </c>
    </row>
    <row r="72" spans="1:4" x14ac:dyDescent="0.3">
      <c r="A72" s="2" t="s">
        <v>152</v>
      </c>
      <c r="B72" s="2" t="s">
        <v>188</v>
      </c>
      <c r="C72" s="2" t="s">
        <v>1038</v>
      </c>
      <c r="D72" s="2" t="s">
        <v>934</v>
      </c>
    </row>
    <row r="73" spans="1:4" x14ac:dyDescent="0.3">
      <c r="A73" s="2" t="s">
        <v>152</v>
      </c>
      <c r="B73" s="2" t="s">
        <v>188</v>
      </c>
      <c r="C73" s="2" t="s">
        <v>1039</v>
      </c>
      <c r="D73" s="2" t="s">
        <v>934</v>
      </c>
    </row>
    <row r="74" spans="1:4" x14ac:dyDescent="0.3">
      <c r="A74" s="2" t="s">
        <v>152</v>
      </c>
      <c r="B74" s="2" t="s">
        <v>188</v>
      </c>
      <c r="C74" s="2" t="s">
        <v>1040</v>
      </c>
      <c r="D74" s="2" t="s">
        <v>934</v>
      </c>
    </row>
    <row r="75" spans="1:4" x14ac:dyDescent="0.3">
      <c r="A75" s="2" t="s">
        <v>152</v>
      </c>
      <c r="B75" s="2" t="s">
        <v>188</v>
      </c>
      <c r="C75" s="2" t="s">
        <v>1041</v>
      </c>
      <c r="D75" s="2" t="s">
        <v>934</v>
      </c>
    </row>
    <row r="76" spans="1:4" x14ac:dyDescent="0.3">
      <c r="A76" s="2" t="s">
        <v>152</v>
      </c>
      <c r="B76" s="2" t="s">
        <v>225</v>
      </c>
      <c r="C76" s="2" t="s">
        <v>1042</v>
      </c>
      <c r="D76" s="2" t="s">
        <v>936</v>
      </c>
    </row>
    <row r="77" spans="1:4" x14ac:dyDescent="0.3">
      <c r="A77" s="2" t="s">
        <v>152</v>
      </c>
      <c r="B77" s="2" t="s">
        <v>225</v>
      </c>
      <c r="C77" s="2" t="s">
        <v>1043</v>
      </c>
      <c r="D77" s="2" t="s">
        <v>936</v>
      </c>
    </row>
    <row r="78" spans="1:4" x14ac:dyDescent="0.3">
      <c r="A78" s="2" t="s">
        <v>152</v>
      </c>
      <c r="B78" s="2" t="s">
        <v>225</v>
      </c>
      <c r="C78" s="2" t="s">
        <v>1044</v>
      </c>
      <c r="D78" s="2" t="s">
        <v>936</v>
      </c>
    </row>
    <row r="79" spans="1:4" x14ac:dyDescent="0.3">
      <c r="A79" s="2" t="s">
        <v>152</v>
      </c>
      <c r="B79" s="2" t="s">
        <v>225</v>
      </c>
      <c r="C79" s="2" t="s">
        <v>1045</v>
      </c>
      <c r="D79" s="2" t="s">
        <v>936</v>
      </c>
    </row>
    <row r="80" spans="1:4" x14ac:dyDescent="0.3">
      <c r="A80" s="2" t="s">
        <v>152</v>
      </c>
      <c r="B80" s="2" t="s">
        <v>225</v>
      </c>
      <c r="C80" s="2" t="s">
        <v>1046</v>
      </c>
      <c r="D80" s="2" t="s">
        <v>936</v>
      </c>
    </row>
    <row r="81" spans="1:4" x14ac:dyDescent="0.3">
      <c r="A81" s="2" t="s">
        <v>152</v>
      </c>
      <c r="B81" s="2" t="s">
        <v>225</v>
      </c>
      <c r="C81" s="2" t="s">
        <v>497</v>
      </c>
      <c r="D81" s="2" t="s">
        <v>936</v>
      </c>
    </row>
    <row r="82" spans="1:4" x14ac:dyDescent="0.3">
      <c r="A82" s="2" t="s">
        <v>152</v>
      </c>
      <c r="B82" s="2" t="s">
        <v>225</v>
      </c>
      <c r="C82" s="2" t="s">
        <v>555</v>
      </c>
      <c r="D82" s="2" t="s">
        <v>936</v>
      </c>
    </row>
    <row r="83" spans="1:4" x14ac:dyDescent="0.3">
      <c r="A83" s="2" t="s">
        <v>152</v>
      </c>
      <c r="B83" s="2" t="s">
        <v>225</v>
      </c>
      <c r="C83" s="2" t="s">
        <v>1047</v>
      </c>
      <c r="D83" s="2" t="s">
        <v>936</v>
      </c>
    </row>
    <row r="84" spans="1:4" x14ac:dyDescent="0.3">
      <c r="A84" s="2" t="s">
        <v>152</v>
      </c>
      <c r="B84" s="2" t="s">
        <v>225</v>
      </c>
      <c r="C84" s="2" t="s">
        <v>1048</v>
      </c>
      <c r="D84" s="2" t="s">
        <v>936</v>
      </c>
    </row>
    <row r="85" spans="1:4" x14ac:dyDescent="0.3">
      <c r="A85" s="2" t="s">
        <v>152</v>
      </c>
      <c r="B85" s="2" t="s">
        <v>225</v>
      </c>
      <c r="C85" s="2" t="s">
        <v>1049</v>
      </c>
      <c r="D85" s="2" t="s">
        <v>936</v>
      </c>
    </row>
    <row r="86" spans="1:4" x14ac:dyDescent="0.3">
      <c r="A86" s="2" t="s">
        <v>152</v>
      </c>
      <c r="B86" s="2" t="s">
        <v>225</v>
      </c>
      <c r="C86" s="2" t="s">
        <v>1050</v>
      </c>
      <c r="D86" s="2" t="s">
        <v>936</v>
      </c>
    </row>
    <row r="87" spans="1:4" x14ac:dyDescent="0.3">
      <c r="A87" s="2" t="s">
        <v>152</v>
      </c>
      <c r="B87" s="2" t="s">
        <v>225</v>
      </c>
      <c r="C87" s="2" t="s">
        <v>579</v>
      </c>
      <c r="D87" s="2" t="s">
        <v>936</v>
      </c>
    </row>
    <row r="88" spans="1:4" x14ac:dyDescent="0.3">
      <c r="A88" s="2" t="s">
        <v>152</v>
      </c>
      <c r="B88" s="2" t="s">
        <v>225</v>
      </c>
      <c r="C88" s="2" t="s">
        <v>938</v>
      </c>
      <c r="D88" s="2" t="s">
        <v>936</v>
      </c>
    </row>
    <row r="89" spans="1:4" x14ac:dyDescent="0.3">
      <c r="A89" s="2" t="s">
        <v>152</v>
      </c>
      <c r="B89" s="2" t="s">
        <v>225</v>
      </c>
      <c r="C89" s="2" t="s">
        <v>1051</v>
      </c>
      <c r="D89" s="2" t="s">
        <v>936</v>
      </c>
    </row>
    <row r="90" spans="1:4" x14ac:dyDescent="0.3">
      <c r="A90" s="2" t="s">
        <v>152</v>
      </c>
      <c r="B90" s="2" t="s">
        <v>225</v>
      </c>
      <c r="C90" s="2" t="s">
        <v>1052</v>
      </c>
      <c r="D90" s="2" t="s">
        <v>936</v>
      </c>
    </row>
    <row r="91" spans="1:4" x14ac:dyDescent="0.3">
      <c r="A91" s="2" t="s">
        <v>152</v>
      </c>
      <c r="B91" s="2" t="s">
        <v>225</v>
      </c>
      <c r="C91" s="2" t="s">
        <v>1053</v>
      </c>
      <c r="D91" s="2" t="s">
        <v>936</v>
      </c>
    </row>
    <row r="92" spans="1:4" x14ac:dyDescent="0.3">
      <c r="A92" s="2" t="s">
        <v>152</v>
      </c>
      <c r="B92" s="2" t="s">
        <v>225</v>
      </c>
      <c r="C92" s="2" t="s">
        <v>1054</v>
      </c>
      <c r="D92" s="2" t="s">
        <v>936</v>
      </c>
    </row>
    <row r="93" spans="1:4" x14ac:dyDescent="0.3">
      <c r="A93" s="2" t="s">
        <v>152</v>
      </c>
      <c r="B93" s="2" t="s">
        <v>574</v>
      </c>
      <c r="C93" s="2" t="s">
        <v>1055</v>
      </c>
      <c r="D93" s="2" t="s">
        <v>939</v>
      </c>
    </row>
    <row r="94" spans="1:4" x14ac:dyDescent="0.3">
      <c r="A94" s="2" t="s">
        <v>152</v>
      </c>
      <c r="B94" s="2" t="s">
        <v>574</v>
      </c>
      <c r="C94" s="2" t="s">
        <v>1056</v>
      </c>
      <c r="D94" s="2" t="s">
        <v>939</v>
      </c>
    </row>
    <row r="95" spans="1:4" x14ac:dyDescent="0.3">
      <c r="A95" s="2" t="s">
        <v>152</v>
      </c>
      <c r="B95" s="2" t="s">
        <v>574</v>
      </c>
      <c r="C95" s="2" t="s">
        <v>1057</v>
      </c>
      <c r="D95" s="2" t="s">
        <v>939</v>
      </c>
    </row>
    <row r="96" spans="1:4" x14ac:dyDescent="0.3">
      <c r="A96" s="2" t="s">
        <v>152</v>
      </c>
      <c r="B96" s="2" t="s">
        <v>574</v>
      </c>
      <c r="C96" s="2" t="s">
        <v>1058</v>
      </c>
      <c r="D96" s="2" t="s">
        <v>939</v>
      </c>
    </row>
    <row r="97" spans="1:4" x14ac:dyDescent="0.3">
      <c r="A97" s="2" t="s">
        <v>152</v>
      </c>
      <c r="B97" s="2" t="s">
        <v>574</v>
      </c>
      <c r="C97" s="2" t="s">
        <v>1059</v>
      </c>
      <c r="D97" s="2" t="s">
        <v>939</v>
      </c>
    </row>
    <row r="98" spans="1:4" x14ac:dyDescent="0.3">
      <c r="A98" s="2" t="s">
        <v>152</v>
      </c>
      <c r="B98" s="2" t="s">
        <v>574</v>
      </c>
      <c r="C98" s="2" t="s">
        <v>1060</v>
      </c>
      <c r="D98" s="2" t="s">
        <v>939</v>
      </c>
    </row>
    <row r="99" spans="1:4" x14ac:dyDescent="0.3">
      <c r="A99" s="2" t="s">
        <v>152</v>
      </c>
      <c r="B99" s="2" t="s">
        <v>574</v>
      </c>
      <c r="C99" s="2" t="s">
        <v>1061</v>
      </c>
      <c r="D99" s="2" t="s">
        <v>939</v>
      </c>
    </row>
    <row r="100" spans="1:4" x14ac:dyDescent="0.3">
      <c r="A100" s="2" t="s">
        <v>152</v>
      </c>
      <c r="B100" s="2" t="s">
        <v>574</v>
      </c>
      <c r="C100" s="2" t="s">
        <v>1062</v>
      </c>
      <c r="D100" s="2" t="s">
        <v>939</v>
      </c>
    </row>
    <row r="101" spans="1:4" x14ac:dyDescent="0.3">
      <c r="A101" s="2" t="s">
        <v>152</v>
      </c>
      <c r="B101" s="2" t="s">
        <v>574</v>
      </c>
      <c r="C101" s="2" t="s">
        <v>1063</v>
      </c>
      <c r="D101" s="2" t="s">
        <v>939</v>
      </c>
    </row>
    <row r="102" spans="1:4" x14ac:dyDescent="0.3">
      <c r="A102" s="2" t="s">
        <v>152</v>
      </c>
      <c r="B102" s="2" t="s">
        <v>574</v>
      </c>
      <c r="C102" s="2" t="s">
        <v>1064</v>
      </c>
      <c r="D102" s="2" t="s">
        <v>939</v>
      </c>
    </row>
    <row r="103" spans="1:4" x14ac:dyDescent="0.3">
      <c r="A103" s="2" t="s">
        <v>152</v>
      </c>
      <c r="B103" s="2" t="s">
        <v>574</v>
      </c>
      <c r="C103" s="2" t="s">
        <v>1065</v>
      </c>
      <c r="D103" s="2" t="s">
        <v>939</v>
      </c>
    </row>
    <row r="104" spans="1:4" x14ac:dyDescent="0.3">
      <c r="A104" s="2" t="s">
        <v>152</v>
      </c>
      <c r="B104" s="2" t="s">
        <v>574</v>
      </c>
      <c r="C104" s="2" t="s">
        <v>1066</v>
      </c>
      <c r="D104" s="2" t="s">
        <v>939</v>
      </c>
    </row>
    <row r="105" spans="1:4" x14ac:dyDescent="0.3">
      <c r="A105" s="2" t="s">
        <v>152</v>
      </c>
      <c r="B105" s="2" t="s">
        <v>574</v>
      </c>
      <c r="C105" s="2" t="s">
        <v>1067</v>
      </c>
      <c r="D105" s="2" t="s">
        <v>939</v>
      </c>
    </row>
    <row r="106" spans="1:4" x14ac:dyDescent="0.3">
      <c r="A106" s="2" t="s">
        <v>152</v>
      </c>
      <c r="B106" s="2" t="s">
        <v>574</v>
      </c>
      <c r="C106" s="2" t="s">
        <v>573</v>
      </c>
      <c r="D106" s="2" t="s">
        <v>939</v>
      </c>
    </row>
    <row r="107" spans="1:4" x14ac:dyDescent="0.3">
      <c r="A107" s="2" t="s">
        <v>152</v>
      </c>
      <c r="B107" s="2" t="s">
        <v>574</v>
      </c>
      <c r="C107" s="2" t="s">
        <v>1068</v>
      </c>
      <c r="D107" s="2" t="s">
        <v>939</v>
      </c>
    </row>
    <row r="108" spans="1:4" x14ac:dyDescent="0.3">
      <c r="A108" s="2" t="s">
        <v>152</v>
      </c>
      <c r="B108" s="2" t="s">
        <v>574</v>
      </c>
      <c r="C108" s="2" t="s">
        <v>1069</v>
      </c>
      <c r="D108" s="2" t="s">
        <v>939</v>
      </c>
    </row>
    <row r="109" spans="1:4" x14ac:dyDescent="0.3">
      <c r="A109" s="2" t="s">
        <v>152</v>
      </c>
      <c r="B109" s="2" t="s">
        <v>574</v>
      </c>
      <c r="C109" s="2" t="s">
        <v>1070</v>
      </c>
      <c r="D109" s="2" t="s">
        <v>939</v>
      </c>
    </row>
    <row r="110" spans="1:4" x14ac:dyDescent="0.3">
      <c r="A110" s="2" t="s">
        <v>152</v>
      </c>
      <c r="B110" s="2" t="s">
        <v>574</v>
      </c>
      <c r="C110" s="2" t="s">
        <v>1071</v>
      </c>
      <c r="D110" s="2" t="s">
        <v>939</v>
      </c>
    </row>
    <row r="111" spans="1:4" x14ac:dyDescent="0.3">
      <c r="A111" s="2" t="s">
        <v>152</v>
      </c>
      <c r="B111" s="2" t="s">
        <v>574</v>
      </c>
      <c r="C111" s="2" t="s">
        <v>1072</v>
      </c>
      <c r="D111" s="2" t="s">
        <v>939</v>
      </c>
    </row>
    <row r="112" spans="1:4" x14ac:dyDescent="0.3">
      <c r="A112" s="2" t="s">
        <v>152</v>
      </c>
      <c r="B112" s="2" t="s">
        <v>574</v>
      </c>
      <c r="C112" s="2" t="s">
        <v>1073</v>
      </c>
      <c r="D112" s="2" t="s">
        <v>939</v>
      </c>
    </row>
    <row r="113" spans="1:4" x14ac:dyDescent="0.3">
      <c r="A113" s="2" t="s">
        <v>152</v>
      </c>
      <c r="B113" s="2" t="s">
        <v>574</v>
      </c>
      <c r="C113" s="2" t="s">
        <v>1074</v>
      </c>
      <c r="D113" s="2" t="s">
        <v>939</v>
      </c>
    </row>
    <row r="114" spans="1:4" x14ac:dyDescent="0.3">
      <c r="A114" s="2" t="s">
        <v>152</v>
      </c>
      <c r="B114" s="2" t="s">
        <v>574</v>
      </c>
      <c r="C114" s="2" t="s">
        <v>1075</v>
      </c>
      <c r="D114" s="2" t="s">
        <v>939</v>
      </c>
    </row>
    <row r="115" spans="1:4" x14ac:dyDescent="0.3">
      <c r="A115" s="2" t="s">
        <v>152</v>
      </c>
      <c r="B115" s="2" t="s">
        <v>574</v>
      </c>
      <c r="C115" s="2" t="s">
        <v>940</v>
      </c>
      <c r="D115" s="2" t="s">
        <v>939</v>
      </c>
    </row>
    <row r="116" spans="1:4" x14ac:dyDescent="0.3">
      <c r="A116" s="2" t="s">
        <v>152</v>
      </c>
      <c r="B116" s="2" t="s">
        <v>550</v>
      </c>
      <c r="C116" s="2" t="s">
        <v>550</v>
      </c>
      <c r="D116" s="2" t="s">
        <v>941</v>
      </c>
    </row>
    <row r="117" spans="1:4" x14ac:dyDescent="0.3">
      <c r="A117" s="2" t="s">
        <v>152</v>
      </c>
      <c r="B117" s="2" t="s">
        <v>550</v>
      </c>
      <c r="C117" s="2" t="s">
        <v>1076</v>
      </c>
      <c r="D117" s="2" t="s">
        <v>941</v>
      </c>
    </row>
    <row r="118" spans="1:4" x14ac:dyDescent="0.3">
      <c r="A118" s="2" t="s">
        <v>152</v>
      </c>
      <c r="B118" s="2" t="s">
        <v>550</v>
      </c>
      <c r="C118" s="2" t="s">
        <v>1077</v>
      </c>
      <c r="D118" s="2" t="s">
        <v>941</v>
      </c>
    </row>
    <row r="119" spans="1:4" x14ac:dyDescent="0.3">
      <c r="A119" s="2" t="s">
        <v>152</v>
      </c>
      <c r="B119" s="2" t="s">
        <v>550</v>
      </c>
      <c r="C119" s="2" t="s">
        <v>1078</v>
      </c>
      <c r="D119" s="2" t="s">
        <v>941</v>
      </c>
    </row>
    <row r="120" spans="1:4" x14ac:dyDescent="0.3">
      <c r="A120" s="2" t="s">
        <v>152</v>
      </c>
      <c r="B120" s="2" t="s">
        <v>550</v>
      </c>
      <c r="C120" s="2" t="s">
        <v>1079</v>
      </c>
      <c r="D120" s="2" t="s">
        <v>941</v>
      </c>
    </row>
    <row r="121" spans="1:4" x14ac:dyDescent="0.3">
      <c r="A121" s="2" t="s">
        <v>152</v>
      </c>
      <c r="B121" s="2" t="s">
        <v>550</v>
      </c>
      <c r="C121" s="2" t="s">
        <v>1080</v>
      </c>
      <c r="D121" s="2" t="s">
        <v>941</v>
      </c>
    </row>
    <row r="122" spans="1:4" x14ac:dyDescent="0.3">
      <c r="A122" s="2" t="s">
        <v>152</v>
      </c>
      <c r="B122" s="2" t="s">
        <v>550</v>
      </c>
      <c r="C122" s="2" t="s">
        <v>1081</v>
      </c>
      <c r="D122" s="2" t="s">
        <v>941</v>
      </c>
    </row>
    <row r="123" spans="1:4" x14ac:dyDescent="0.3">
      <c r="A123" s="2" t="s">
        <v>152</v>
      </c>
      <c r="B123" s="2" t="s">
        <v>550</v>
      </c>
      <c r="C123" s="2" t="s">
        <v>1082</v>
      </c>
      <c r="D123" s="2" t="s">
        <v>941</v>
      </c>
    </row>
    <row r="124" spans="1:4" x14ac:dyDescent="0.3">
      <c r="A124" s="2" t="s">
        <v>152</v>
      </c>
      <c r="B124" s="2" t="s">
        <v>550</v>
      </c>
      <c r="C124" s="2" t="s">
        <v>1083</v>
      </c>
      <c r="D124" s="2" t="s">
        <v>941</v>
      </c>
    </row>
    <row r="125" spans="1:4" x14ac:dyDescent="0.3">
      <c r="A125" s="2" t="s">
        <v>152</v>
      </c>
      <c r="B125" s="2" t="s">
        <v>550</v>
      </c>
      <c r="C125" s="2" t="s">
        <v>1084</v>
      </c>
      <c r="D125" s="2" t="s">
        <v>941</v>
      </c>
    </row>
    <row r="126" spans="1:4" x14ac:dyDescent="0.3">
      <c r="A126" s="2" t="s">
        <v>152</v>
      </c>
      <c r="B126" s="2" t="s">
        <v>550</v>
      </c>
      <c r="C126" s="2" t="s">
        <v>943</v>
      </c>
      <c r="D126" s="2" t="s">
        <v>941</v>
      </c>
    </row>
    <row r="127" spans="1:4" x14ac:dyDescent="0.3">
      <c r="A127" s="2" t="s">
        <v>152</v>
      </c>
      <c r="B127" s="2" t="s">
        <v>550</v>
      </c>
      <c r="C127" s="2" t="s">
        <v>1085</v>
      </c>
      <c r="D127" s="2" t="s">
        <v>941</v>
      </c>
    </row>
    <row r="128" spans="1:4" x14ac:dyDescent="0.3">
      <c r="A128" s="2" t="s">
        <v>152</v>
      </c>
      <c r="B128" s="2" t="s">
        <v>550</v>
      </c>
      <c r="C128" s="2" t="s">
        <v>1086</v>
      </c>
      <c r="D128" s="2" t="s">
        <v>941</v>
      </c>
    </row>
    <row r="129" spans="1:4" x14ac:dyDescent="0.3">
      <c r="A129" s="2" t="s">
        <v>152</v>
      </c>
      <c r="B129" s="2" t="s">
        <v>550</v>
      </c>
      <c r="C129" s="2" t="s">
        <v>942</v>
      </c>
      <c r="D129" s="2" t="s">
        <v>941</v>
      </c>
    </row>
    <row r="130" spans="1:4" x14ac:dyDescent="0.3">
      <c r="A130" s="2" t="s">
        <v>152</v>
      </c>
      <c r="B130" s="2" t="s">
        <v>550</v>
      </c>
      <c r="C130" s="2" t="s">
        <v>1087</v>
      </c>
      <c r="D130" s="2" t="s">
        <v>941</v>
      </c>
    </row>
    <row r="131" spans="1:4" x14ac:dyDescent="0.3">
      <c r="A131" s="2" t="s">
        <v>152</v>
      </c>
      <c r="B131" s="2" t="s">
        <v>550</v>
      </c>
      <c r="C131" s="2" t="s">
        <v>1088</v>
      </c>
      <c r="D131" s="2" t="s">
        <v>941</v>
      </c>
    </row>
    <row r="132" spans="1:4" x14ac:dyDescent="0.3">
      <c r="A132" s="2" t="s">
        <v>152</v>
      </c>
      <c r="B132" s="2" t="s">
        <v>550</v>
      </c>
      <c r="C132" s="2" t="s">
        <v>1089</v>
      </c>
      <c r="D132" s="2" t="s">
        <v>941</v>
      </c>
    </row>
    <row r="133" spans="1:4" x14ac:dyDescent="0.3">
      <c r="A133" s="2" t="s">
        <v>152</v>
      </c>
      <c r="B133" s="2" t="s">
        <v>550</v>
      </c>
      <c r="C133" s="2" t="s">
        <v>1090</v>
      </c>
      <c r="D133" s="2" t="s">
        <v>941</v>
      </c>
    </row>
    <row r="134" spans="1:4" x14ac:dyDescent="0.3">
      <c r="A134" s="2" t="s">
        <v>152</v>
      </c>
      <c r="B134" s="2" t="s">
        <v>550</v>
      </c>
      <c r="C134" s="2" t="s">
        <v>1091</v>
      </c>
      <c r="D134" s="2" t="s">
        <v>941</v>
      </c>
    </row>
    <row r="135" spans="1:4" x14ac:dyDescent="0.3">
      <c r="A135" s="2" t="s">
        <v>152</v>
      </c>
      <c r="B135" s="2" t="s">
        <v>186</v>
      </c>
      <c r="C135" s="2" t="s">
        <v>307</v>
      </c>
      <c r="D135" s="2" t="s">
        <v>944</v>
      </c>
    </row>
    <row r="136" spans="1:4" x14ac:dyDescent="0.3">
      <c r="A136" s="2" t="s">
        <v>152</v>
      </c>
      <c r="B136" s="2" t="s">
        <v>186</v>
      </c>
      <c r="C136" s="2" t="s">
        <v>525</v>
      </c>
      <c r="D136" s="2" t="s">
        <v>944</v>
      </c>
    </row>
    <row r="137" spans="1:4" x14ac:dyDescent="0.3">
      <c r="A137" s="2" t="s">
        <v>152</v>
      </c>
      <c r="B137" s="2" t="s">
        <v>186</v>
      </c>
      <c r="C137" s="2" t="s">
        <v>1092</v>
      </c>
      <c r="D137" s="2" t="s">
        <v>944</v>
      </c>
    </row>
    <row r="138" spans="1:4" x14ac:dyDescent="0.3">
      <c r="A138" s="2" t="s">
        <v>152</v>
      </c>
      <c r="B138" s="2" t="s">
        <v>186</v>
      </c>
      <c r="C138" s="2" t="s">
        <v>1093</v>
      </c>
      <c r="D138" s="2" t="s">
        <v>944</v>
      </c>
    </row>
    <row r="139" spans="1:4" x14ac:dyDescent="0.3">
      <c r="A139" s="2" t="s">
        <v>152</v>
      </c>
      <c r="B139" s="2" t="s">
        <v>186</v>
      </c>
      <c r="C139" s="2" t="s">
        <v>874</v>
      </c>
      <c r="D139" s="2" t="s">
        <v>944</v>
      </c>
    </row>
    <row r="140" spans="1:4" x14ac:dyDescent="0.3">
      <c r="A140" s="2" t="s">
        <v>152</v>
      </c>
      <c r="B140" s="2" t="s">
        <v>186</v>
      </c>
      <c r="C140" s="2" t="s">
        <v>1094</v>
      </c>
      <c r="D140" s="2" t="s">
        <v>944</v>
      </c>
    </row>
    <row r="141" spans="1:4" x14ac:dyDescent="0.3">
      <c r="A141" s="2" t="s">
        <v>152</v>
      </c>
      <c r="B141" s="2" t="s">
        <v>186</v>
      </c>
      <c r="C141" s="2" t="s">
        <v>1095</v>
      </c>
      <c r="D141" s="2" t="s">
        <v>944</v>
      </c>
    </row>
    <row r="142" spans="1:4" x14ac:dyDescent="0.3">
      <c r="A142" s="2" t="s">
        <v>152</v>
      </c>
      <c r="B142" s="2" t="s">
        <v>186</v>
      </c>
      <c r="C142" s="2" t="s">
        <v>1096</v>
      </c>
      <c r="D142" s="2" t="s">
        <v>944</v>
      </c>
    </row>
    <row r="143" spans="1:4" x14ac:dyDescent="0.3">
      <c r="A143" s="2" t="s">
        <v>152</v>
      </c>
      <c r="B143" s="2" t="s">
        <v>186</v>
      </c>
      <c r="C143" s="2" t="s">
        <v>877</v>
      </c>
      <c r="D143" s="2" t="s">
        <v>944</v>
      </c>
    </row>
    <row r="144" spans="1:4" x14ac:dyDescent="0.3">
      <c r="A144" s="2" t="s">
        <v>152</v>
      </c>
      <c r="B144" s="2" t="s">
        <v>186</v>
      </c>
      <c r="C144" s="2" t="s">
        <v>185</v>
      </c>
      <c r="D144" s="2" t="s">
        <v>944</v>
      </c>
    </row>
    <row r="145" spans="1:4" x14ac:dyDescent="0.3">
      <c r="A145" s="2" t="s">
        <v>152</v>
      </c>
      <c r="B145" s="2" t="s">
        <v>186</v>
      </c>
      <c r="C145" s="2" t="s">
        <v>1097</v>
      </c>
      <c r="D145" s="2" t="s">
        <v>944</v>
      </c>
    </row>
    <row r="146" spans="1:4" x14ac:dyDescent="0.3">
      <c r="A146" s="2" t="s">
        <v>152</v>
      </c>
      <c r="B146" s="2" t="s">
        <v>186</v>
      </c>
      <c r="C146" s="2" t="s">
        <v>1098</v>
      </c>
      <c r="D146" s="2" t="s">
        <v>944</v>
      </c>
    </row>
    <row r="147" spans="1:4" x14ac:dyDescent="0.3">
      <c r="A147" s="2" t="s">
        <v>152</v>
      </c>
      <c r="B147" s="2" t="s">
        <v>186</v>
      </c>
      <c r="C147" s="2" t="s">
        <v>1099</v>
      </c>
      <c r="D147" s="2" t="s">
        <v>944</v>
      </c>
    </row>
    <row r="148" spans="1:4" x14ac:dyDescent="0.3">
      <c r="A148" s="2" t="s">
        <v>152</v>
      </c>
      <c r="B148" s="2" t="s">
        <v>186</v>
      </c>
      <c r="C148" s="2" t="s">
        <v>946</v>
      </c>
      <c r="D148" s="2" t="s">
        <v>944</v>
      </c>
    </row>
    <row r="149" spans="1:4" x14ac:dyDescent="0.3">
      <c r="A149" s="2" t="s">
        <v>152</v>
      </c>
      <c r="B149" s="2" t="s">
        <v>272</v>
      </c>
      <c r="C149" s="2" t="s">
        <v>1100</v>
      </c>
      <c r="D149" s="2" t="s">
        <v>947</v>
      </c>
    </row>
    <row r="150" spans="1:4" x14ac:dyDescent="0.3">
      <c r="A150" s="2" t="s">
        <v>152</v>
      </c>
      <c r="B150" s="2" t="s">
        <v>272</v>
      </c>
      <c r="C150" s="2" t="s">
        <v>1101</v>
      </c>
      <c r="D150" s="2" t="s">
        <v>947</v>
      </c>
    </row>
    <row r="151" spans="1:4" x14ac:dyDescent="0.3">
      <c r="A151" s="2" t="s">
        <v>152</v>
      </c>
      <c r="B151" s="2" t="s">
        <v>272</v>
      </c>
      <c r="C151" s="2" t="s">
        <v>1102</v>
      </c>
      <c r="D151" s="2" t="s">
        <v>947</v>
      </c>
    </row>
    <row r="152" spans="1:4" x14ac:dyDescent="0.3">
      <c r="A152" s="2" t="s">
        <v>152</v>
      </c>
      <c r="B152" s="2" t="s">
        <v>272</v>
      </c>
      <c r="C152" s="2" t="s">
        <v>1103</v>
      </c>
      <c r="D152" s="2" t="s">
        <v>947</v>
      </c>
    </row>
    <row r="153" spans="1:4" x14ac:dyDescent="0.3">
      <c r="A153" s="2" t="s">
        <v>152</v>
      </c>
      <c r="B153" s="2" t="s">
        <v>272</v>
      </c>
      <c r="C153" s="2" t="s">
        <v>1104</v>
      </c>
      <c r="D153" s="2" t="s">
        <v>947</v>
      </c>
    </row>
    <row r="154" spans="1:4" x14ac:dyDescent="0.3">
      <c r="A154" s="2" t="s">
        <v>152</v>
      </c>
      <c r="B154" s="2" t="s">
        <v>272</v>
      </c>
      <c r="C154" s="2" t="s">
        <v>1105</v>
      </c>
      <c r="D154" s="2" t="s">
        <v>947</v>
      </c>
    </row>
    <row r="155" spans="1:4" x14ac:dyDescent="0.3">
      <c r="A155" s="2" t="s">
        <v>152</v>
      </c>
      <c r="B155" s="2" t="s">
        <v>272</v>
      </c>
      <c r="C155" s="2" t="s">
        <v>271</v>
      </c>
      <c r="D155" s="2" t="s">
        <v>947</v>
      </c>
    </row>
    <row r="156" spans="1:4" x14ac:dyDescent="0.3">
      <c r="A156" s="2" t="s">
        <v>152</v>
      </c>
      <c r="B156" s="2" t="s">
        <v>272</v>
      </c>
      <c r="C156" s="2" t="s">
        <v>1106</v>
      </c>
      <c r="D156" s="2" t="s">
        <v>947</v>
      </c>
    </row>
    <row r="157" spans="1:4" x14ac:dyDescent="0.3">
      <c r="A157" s="2" t="s">
        <v>152</v>
      </c>
      <c r="B157" s="2" t="s">
        <v>272</v>
      </c>
      <c r="C157" s="2" t="s">
        <v>949</v>
      </c>
      <c r="D157" s="2" t="s">
        <v>947</v>
      </c>
    </row>
    <row r="158" spans="1:4" x14ac:dyDescent="0.3">
      <c r="A158" s="2" t="s">
        <v>152</v>
      </c>
      <c r="B158" s="2" t="s">
        <v>272</v>
      </c>
      <c r="C158" s="2" t="s">
        <v>1107</v>
      </c>
      <c r="D158" s="2" t="s">
        <v>947</v>
      </c>
    </row>
    <row r="159" spans="1:4" x14ac:dyDescent="0.3">
      <c r="A159" s="2" t="s">
        <v>161</v>
      </c>
      <c r="B159" s="2" t="s">
        <v>951</v>
      </c>
      <c r="C159" s="2" t="s">
        <v>1108</v>
      </c>
      <c r="D159" s="2" t="s">
        <v>952</v>
      </c>
    </row>
    <row r="160" spans="1:4" x14ac:dyDescent="0.3">
      <c r="A160" s="2" t="s">
        <v>161</v>
      </c>
      <c r="B160" s="2" t="s">
        <v>951</v>
      </c>
      <c r="C160" s="2" t="s">
        <v>954</v>
      </c>
      <c r="D160" s="2" t="s">
        <v>952</v>
      </c>
    </row>
    <row r="161" spans="1:4" x14ac:dyDescent="0.3">
      <c r="A161" s="2" t="s">
        <v>161</v>
      </c>
      <c r="B161" s="2" t="s">
        <v>951</v>
      </c>
      <c r="C161" s="2" t="s">
        <v>1109</v>
      </c>
      <c r="D161" s="2" t="s">
        <v>952</v>
      </c>
    </row>
    <row r="162" spans="1:4" x14ac:dyDescent="0.3">
      <c r="A162" s="2" t="s">
        <v>161</v>
      </c>
      <c r="B162" s="2" t="s">
        <v>951</v>
      </c>
      <c r="C162" s="2" t="s">
        <v>1110</v>
      </c>
      <c r="D162" s="2" t="s">
        <v>952</v>
      </c>
    </row>
    <row r="163" spans="1:4" x14ac:dyDescent="0.3">
      <c r="A163" s="2" t="s">
        <v>161</v>
      </c>
      <c r="B163" s="2" t="s">
        <v>951</v>
      </c>
      <c r="C163" s="2" t="s">
        <v>1111</v>
      </c>
      <c r="D163" s="2" t="s">
        <v>952</v>
      </c>
    </row>
    <row r="164" spans="1:4" x14ac:dyDescent="0.3">
      <c r="A164" s="2" t="s">
        <v>161</v>
      </c>
      <c r="B164" s="2" t="s">
        <v>951</v>
      </c>
      <c r="C164" s="2" t="s">
        <v>1112</v>
      </c>
      <c r="D164" s="2" t="s">
        <v>952</v>
      </c>
    </row>
    <row r="165" spans="1:4" x14ac:dyDescent="0.3">
      <c r="A165" s="2" t="s">
        <v>161</v>
      </c>
      <c r="B165" s="2" t="s">
        <v>951</v>
      </c>
      <c r="C165" s="2" t="s">
        <v>240</v>
      </c>
      <c r="D165" s="2" t="s">
        <v>952</v>
      </c>
    </row>
    <row r="166" spans="1:4" x14ac:dyDescent="0.3">
      <c r="A166" s="2" t="s">
        <v>161</v>
      </c>
      <c r="B166" s="2" t="s">
        <v>951</v>
      </c>
      <c r="C166" s="2" t="s">
        <v>1113</v>
      </c>
      <c r="D166" s="2" t="s">
        <v>952</v>
      </c>
    </row>
    <row r="167" spans="1:4" x14ac:dyDescent="0.3">
      <c r="A167" s="2" t="s">
        <v>161</v>
      </c>
      <c r="B167" s="2" t="s">
        <v>951</v>
      </c>
      <c r="C167" s="2" t="s">
        <v>1114</v>
      </c>
      <c r="D167" s="2" t="s">
        <v>952</v>
      </c>
    </row>
    <row r="168" spans="1:4" x14ac:dyDescent="0.3">
      <c r="A168" s="2" t="s">
        <v>161</v>
      </c>
      <c r="B168" s="2" t="s">
        <v>951</v>
      </c>
      <c r="C168" s="2" t="s">
        <v>1115</v>
      </c>
      <c r="D168" s="2" t="s">
        <v>952</v>
      </c>
    </row>
    <row r="169" spans="1:4" x14ac:dyDescent="0.3">
      <c r="A169" s="2" t="s">
        <v>161</v>
      </c>
      <c r="B169" s="2" t="s">
        <v>951</v>
      </c>
      <c r="C169" s="2" t="s">
        <v>1116</v>
      </c>
      <c r="D169" s="2" t="s">
        <v>952</v>
      </c>
    </row>
    <row r="170" spans="1:4" x14ac:dyDescent="0.3">
      <c r="A170" s="2" t="s">
        <v>161</v>
      </c>
      <c r="B170" s="2" t="s">
        <v>951</v>
      </c>
      <c r="C170" s="2" t="s">
        <v>1117</v>
      </c>
      <c r="D170" s="2" t="s">
        <v>952</v>
      </c>
    </row>
    <row r="171" spans="1:4" x14ac:dyDescent="0.3">
      <c r="A171" s="2" t="s">
        <v>161</v>
      </c>
      <c r="B171" s="2" t="s">
        <v>951</v>
      </c>
      <c r="C171" s="2" t="s">
        <v>1118</v>
      </c>
      <c r="D171" s="2" t="s">
        <v>952</v>
      </c>
    </row>
    <row r="172" spans="1:4" x14ac:dyDescent="0.3">
      <c r="A172" s="2" t="s">
        <v>161</v>
      </c>
      <c r="B172" s="2" t="s">
        <v>951</v>
      </c>
      <c r="C172" s="2" t="s">
        <v>1119</v>
      </c>
      <c r="D172" s="2" t="s">
        <v>952</v>
      </c>
    </row>
    <row r="173" spans="1:4" x14ac:dyDescent="0.3">
      <c r="A173" s="2" t="s">
        <v>161</v>
      </c>
      <c r="B173" s="2" t="s">
        <v>951</v>
      </c>
      <c r="C173" s="2" t="s">
        <v>1120</v>
      </c>
      <c r="D173" s="2" t="s">
        <v>952</v>
      </c>
    </row>
    <row r="174" spans="1:4" x14ac:dyDescent="0.3">
      <c r="A174" s="2" t="s">
        <v>161</v>
      </c>
      <c r="B174" s="2" t="s">
        <v>951</v>
      </c>
      <c r="C174" s="2" t="s">
        <v>1121</v>
      </c>
      <c r="D174" s="2" t="s">
        <v>952</v>
      </c>
    </row>
    <row r="175" spans="1:4" x14ac:dyDescent="0.3">
      <c r="A175" s="2" t="s">
        <v>161</v>
      </c>
      <c r="B175" s="2" t="s">
        <v>951</v>
      </c>
      <c r="C175" s="2" t="s">
        <v>1122</v>
      </c>
      <c r="D175" s="2" t="s">
        <v>952</v>
      </c>
    </row>
    <row r="176" spans="1:4" x14ac:dyDescent="0.3">
      <c r="A176" s="2" t="s">
        <v>161</v>
      </c>
      <c r="B176" s="2" t="s">
        <v>709</v>
      </c>
      <c r="C176" s="2" t="s">
        <v>1123</v>
      </c>
      <c r="D176" s="2" t="s">
        <v>955</v>
      </c>
    </row>
    <row r="177" spans="1:4" x14ac:dyDescent="0.3">
      <c r="A177" s="2" t="s">
        <v>161</v>
      </c>
      <c r="B177" s="2" t="s">
        <v>709</v>
      </c>
      <c r="C177" s="2" t="s">
        <v>1124</v>
      </c>
      <c r="D177" s="2" t="s">
        <v>955</v>
      </c>
    </row>
    <row r="178" spans="1:4" x14ac:dyDescent="0.3">
      <c r="A178" s="2" t="s">
        <v>161</v>
      </c>
      <c r="B178" s="2" t="s">
        <v>709</v>
      </c>
      <c r="C178" s="2" t="s">
        <v>1125</v>
      </c>
      <c r="D178" s="2" t="s">
        <v>955</v>
      </c>
    </row>
    <row r="179" spans="1:4" x14ac:dyDescent="0.3">
      <c r="A179" s="2" t="s">
        <v>161</v>
      </c>
      <c r="B179" s="2" t="s">
        <v>709</v>
      </c>
      <c r="C179" s="2" t="s">
        <v>715</v>
      </c>
      <c r="D179" s="2" t="s">
        <v>955</v>
      </c>
    </row>
    <row r="180" spans="1:4" x14ac:dyDescent="0.3">
      <c r="A180" s="2" t="s">
        <v>161</v>
      </c>
      <c r="B180" s="2" t="s">
        <v>709</v>
      </c>
      <c r="C180" s="2" t="s">
        <v>1126</v>
      </c>
      <c r="D180" s="2" t="s">
        <v>955</v>
      </c>
    </row>
    <row r="181" spans="1:4" x14ac:dyDescent="0.3">
      <c r="A181" s="2" t="s">
        <v>161</v>
      </c>
      <c r="B181" s="2" t="s">
        <v>709</v>
      </c>
      <c r="C181" s="2" t="s">
        <v>1127</v>
      </c>
      <c r="D181" s="2" t="s">
        <v>955</v>
      </c>
    </row>
    <row r="182" spans="1:4" x14ac:dyDescent="0.3">
      <c r="A182" s="2" t="s">
        <v>161</v>
      </c>
      <c r="B182" s="2" t="s">
        <v>709</v>
      </c>
      <c r="C182" s="2" t="s">
        <v>1128</v>
      </c>
      <c r="D182" s="2" t="s">
        <v>955</v>
      </c>
    </row>
    <row r="183" spans="1:4" x14ac:dyDescent="0.3">
      <c r="A183" s="2" t="s">
        <v>161</v>
      </c>
      <c r="B183" s="2" t="s">
        <v>709</v>
      </c>
      <c r="C183" s="2" t="s">
        <v>717</v>
      </c>
      <c r="D183" s="2" t="s">
        <v>955</v>
      </c>
    </row>
    <row r="184" spans="1:4" x14ac:dyDescent="0.3">
      <c r="A184" s="2" t="s">
        <v>161</v>
      </c>
      <c r="B184" s="2" t="s">
        <v>709</v>
      </c>
      <c r="C184" s="2" t="s">
        <v>1129</v>
      </c>
      <c r="D184" s="2" t="s">
        <v>955</v>
      </c>
    </row>
    <row r="185" spans="1:4" x14ac:dyDescent="0.3">
      <c r="A185" s="2" t="s">
        <v>161</v>
      </c>
      <c r="B185" s="2" t="s">
        <v>709</v>
      </c>
      <c r="C185" s="2" t="s">
        <v>1130</v>
      </c>
      <c r="D185" s="2" t="s">
        <v>955</v>
      </c>
    </row>
    <row r="186" spans="1:4" x14ac:dyDescent="0.3">
      <c r="A186" s="2" t="s">
        <v>161</v>
      </c>
      <c r="B186" s="2" t="s">
        <v>709</v>
      </c>
      <c r="C186" s="2" t="s">
        <v>956</v>
      </c>
      <c r="D186" s="2" t="s">
        <v>955</v>
      </c>
    </row>
    <row r="187" spans="1:4" x14ac:dyDescent="0.3">
      <c r="A187" s="2" t="s">
        <v>161</v>
      </c>
      <c r="B187" s="2" t="s">
        <v>709</v>
      </c>
      <c r="C187" s="2" t="s">
        <v>1131</v>
      </c>
      <c r="D187" s="2" t="s">
        <v>955</v>
      </c>
    </row>
    <row r="188" spans="1:4" x14ac:dyDescent="0.3">
      <c r="A188" s="2" t="s">
        <v>161</v>
      </c>
      <c r="B188" s="2" t="s">
        <v>709</v>
      </c>
      <c r="C188" s="2" t="s">
        <v>1132</v>
      </c>
      <c r="D188" s="2" t="s">
        <v>955</v>
      </c>
    </row>
    <row r="189" spans="1:4" x14ac:dyDescent="0.3">
      <c r="A189" s="2" t="s">
        <v>161</v>
      </c>
      <c r="B189" s="2" t="s">
        <v>709</v>
      </c>
      <c r="C189" s="2" t="s">
        <v>1133</v>
      </c>
      <c r="D189" s="2" t="s">
        <v>955</v>
      </c>
    </row>
    <row r="190" spans="1:4" x14ac:dyDescent="0.3">
      <c r="A190" s="2" t="s">
        <v>161</v>
      </c>
      <c r="B190" s="2" t="s">
        <v>709</v>
      </c>
      <c r="C190" s="2" t="s">
        <v>1134</v>
      </c>
      <c r="D190" s="2" t="s">
        <v>955</v>
      </c>
    </row>
    <row r="191" spans="1:4" x14ac:dyDescent="0.3">
      <c r="A191" s="2" t="s">
        <v>161</v>
      </c>
      <c r="B191" s="2" t="s">
        <v>709</v>
      </c>
      <c r="C191" s="2" t="s">
        <v>1135</v>
      </c>
      <c r="D191" s="2" t="s">
        <v>955</v>
      </c>
    </row>
    <row r="192" spans="1:4" x14ac:dyDescent="0.3">
      <c r="A192" s="2" t="s">
        <v>161</v>
      </c>
      <c r="B192" s="2" t="s">
        <v>709</v>
      </c>
      <c r="C192" s="2" t="s">
        <v>1136</v>
      </c>
      <c r="D192" s="2" t="s">
        <v>955</v>
      </c>
    </row>
    <row r="193" spans="1:4" x14ac:dyDescent="0.3">
      <c r="A193" s="2" t="s">
        <v>161</v>
      </c>
      <c r="B193" s="2" t="s">
        <v>709</v>
      </c>
      <c r="C193" s="2" t="s">
        <v>1137</v>
      </c>
      <c r="D193" s="2" t="s">
        <v>955</v>
      </c>
    </row>
    <row r="194" spans="1:4" x14ac:dyDescent="0.3">
      <c r="A194" s="2" t="s">
        <v>161</v>
      </c>
      <c r="B194" s="2" t="s">
        <v>709</v>
      </c>
      <c r="C194" s="2" t="s">
        <v>708</v>
      </c>
      <c r="D194" s="2" t="s">
        <v>955</v>
      </c>
    </row>
    <row r="195" spans="1:4" x14ac:dyDescent="0.3">
      <c r="A195" s="2" t="s">
        <v>161</v>
      </c>
      <c r="B195" s="2" t="s">
        <v>692</v>
      </c>
      <c r="C195" s="2" t="s">
        <v>958</v>
      </c>
      <c r="D195" s="2" t="s">
        <v>957</v>
      </c>
    </row>
    <row r="196" spans="1:4" x14ac:dyDescent="0.3">
      <c r="A196" s="2" t="s">
        <v>161</v>
      </c>
      <c r="B196" s="2" t="s">
        <v>692</v>
      </c>
      <c r="C196" s="2" t="s">
        <v>1138</v>
      </c>
      <c r="D196" s="2" t="s">
        <v>957</v>
      </c>
    </row>
    <row r="197" spans="1:4" x14ac:dyDescent="0.3">
      <c r="A197" s="2" t="s">
        <v>161</v>
      </c>
      <c r="B197" s="2" t="s">
        <v>692</v>
      </c>
      <c r="C197" s="2" t="s">
        <v>1139</v>
      </c>
      <c r="D197" s="2" t="s">
        <v>957</v>
      </c>
    </row>
    <row r="198" spans="1:4" x14ac:dyDescent="0.3">
      <c r="A198" s="2" t="s">
        <v>161</v>
      </c>
      <c r="B198" s="2" t="s">
        <v>692</v>
      </c>
      <c r="C198" s="2" t="s">
        <v>1140</v>
      </c>
      <c r="D198" s="2" t="s">
        <v>957</v>
      </c>
    </row>
    <row r="199" spans="1:4" x14ac:dyDescent="0.3">
      <c r="A199" s="2" t="s">
        <v>161</v>
      </c>
      <c r="B199" s="2" t="s">
        <v>692</v>
      </c>
      <c r="C199" s="2" t="s">
        <v>1141</v>
      </c>
      <c r="D199" s="2" t="s">
        <v>957</v>
      </c>
    </row>
    <row r="200" spans="1:4" x14ac:dyDescent="0.3">
      <c r="A200" s="2" t="s">
        <v>161</v>
      </c>
      <c r="B200" s="2" t="s">
        <v>692</v>
      </c>
      <c r="C200" s="2" t="s">
        <v>1142</v>
      </c>
      <c r="D200" s="2" t="s">
        <v>957</v>
      </c>
    </row>
    <row r="201" spans="1:4" x14ac:dyDescent="0.3">
      <c r="A201" s="2" t="s">
        <v>161</v>
      </c>
      <c r="B201" s="2" t="s">
        <v>692</v>
      </c>
      <c r="C201" s="2" t="s">
        <v>1143</v>
      </c>
      <c r="D201" s="2" t="s">
        <v>957</v>
      </c>
    </row>
    <row r="202" spans="1:4" x14ac:dyDescent="0.3">
      <c r="A202" s="2" t="s">
        <v>161</v>
      </c>
      <c r="B202" s="2" t="s">
        <v>692</v>
      </c>
      <c r="C202" s="2" t="s">
        <v>1144</v>
      </c>
      <c r="D202" s="2" t="s">
        <v>957</v>
      </c>
    </row>
    <row r="203" spans="1:4" x14ac:dyDescent="0.3">
      <c r="A203" s="2" t="s">
        <v>161</v>
      </c>
      <c r="B203" s="2" t="s">
        <v>692</v>
      </c>
      <c r="C203" s="2" t="s">
        <v>1145</v>
      </c>
      <c r="D203" s="2" t="s">
        <v>957</v>
      </c>
    </row>
    <row r="204" spans="1:4" x14ac:dyDescent="0.3">
      <c r="A204" s="2" t="s">
        <v>161</v>
      </c>
      <c r="B204" s="2" t="s">
        <v>692</v>
      </c>
      <c r="C204" s="2" t="s">
        <v>1146</v>
      </c>
      <c r="D204" s="2" t="s">
        <v>957</v>
      </c>
    </row>
    <row r="205" spans="1:4" x14ac:dyDescent="0.3">
      <c r="A205" s="2" t="s">
        <v>161</v>
      </c>
      <c r="B205" s="2" t="s">
        <v>692</v>
      </c>
      <c r="C205" s="2" t="s">
        <v>1147</v>
      </c>
      <c r="D205" s="2" t="s">
        <v>957</v>
      </c>
    </row>
    <row r="206" spans="1:4" x14ac:dyDescent="0.3">
      <c r="A206" s="2" t="s">
        <v>161</v>
      </c>
      <c r="B206" s="2" t="s">
        <v>692</v>
      </c>
      <c r="C206" s="2" t="s">
        <v>1148</v>
      </c>
      <c r="D206" s="2" t="s">
        <v>957</v>
      </c>
    </row>
    <row r="207" spans="1:4" x14ac:dyDescent="0.3">
      <c r="A207" s="2" t="s">
        <v>161</v>
      </c>
      <c r="B207" s="2" t="s">
        <v>692</v>
      </c>
      <c r="C207" s="2" t="s">
        <v>711</v>
      </c>
      <c r="D207" s="2" t="s">
        <v>957</v>
      </c>
    </row>
    <row r="208" spans="1:4" x14ac:dyDescent="0.3">
      <c r="A208" s="2" t="s">
        <v>161</v>
      </c>
      <c r="B208" s="2" t="s">
        <v>692</v>
      </c>
      <c r="C208" s="2" t="s">
        <v>1149</v>
      </c>
      <c r="D208" s="2" t="s">
        <v>957</v>
      </c>
    </row>
    <row r="209" spans="1:4" x14ac:dyDescent="0.3">
      <c r="A209" s="2" t="s">
        <v>161</v>
      </c>
      <c r="B209" s="2" t="s">
        <v>692</v>
      </c>
      <c r="C209" s="2" t="s">
        <v>1150</v>
      </c>
      <c r="D209" s="2" t="s">
        <v>957</v>
      </c>
    </row>
    <row r="210" spans="1:4" x14ac:dyDescent="0.3">
      <c r="A210" s="2" t="s">
        <v>161</v>
      </c>
      <c r="B210" s="2" t="s">
        <v>692</v>
      </c>
      <c r="C210" s="2" t="s">
        <v>1151</v>
      </c>
      <c r="D210" s="2" t="s">
        <v>957</v>
      </c>
    </row>
    <row r="211" spans="1:4" x14ac:dyDescent="0.3">
      <c r="A211" s="2" t="s">
        <v>161</v>
      </c>
      <c r="B211" s="2" t="s">
        <v>692</v>
      </c>
      <c r="C211" s="2" t="s">
        <v>1152</v>
      </c>
      <c r="D211" s="2" t="s">
        <v>957</v>
      </c>
    </row>
    <row r="212" spans="1:4" x14ac:dyDescent="0.3">
      <c r="A212" s="2" t="s">
        <v>161</v>
      </c>
      <c r="B212" s="2" t="s">
        <v>692</v>
      </c>
      <c r="C212" s="2" t="s">
        <v>1153</v>
      </c>
      <c r="D212" s="2" t="s">
        <v>957</v>
      </c>
    </row>
    <row r="213" spans="1:4" x14ac:dyDescent="0.3">
      <c r="A213" s="2" t="s">
        <v>161</v>
      </c>
      <c r="B213" s="2" t="s">
        <v>692</v>
      </c>
      <c r="C213" s="2" t="s">
        <v>1154</v>
      </c>
      <c r="D213" s="2" t="s">
        <v>957</v>
      </c>
    </row>
    <row r="214" spans="1:4" x14ac:dyDescent="0.3">
      <c r="A214" s="2" t="s">
        <v>161</v>
      </c>
      <c r="B214" s="2" t="s">
        <v>692</v>
      </c>
      <c r="C214" s="2" t="s">
        <v>697</v>
      </c>
      <c r="D214" s="2" t="s">
        <v>957</v>
      </c>
    </row>
    <row r="215" spans="1:4" x14ac:dyDescent="0.3">
      <c r="A215" s="2" t="s">
        <v>161</v>
      </c>
      <c r="B215" s="2" t="s">
        <v>692</v>
      </c>
      <c r="C215" s="2" t="s">
        <v>691</v>
      </c>
      <c r="D215" s="2" t="s">
        <v>957</v>
      </c>
    </row>
    <row r="216" spans="1:4" x14ac:dyDescent="0.3">
      <c r="A216" s="2" t="s">
        <v>161</v>
      </c>
      <c r="B216" s="2" t="s">
        <v>692</v>
      </c>
      <c r="C216" s="2" t="s">
        <v>959</v>
      </c>
      <c r="D216" s="2" t="s">
        <v>957</v>
      </c>
    </row>
    <row r="217" spans="1:4" x14ac:dyDescent="0.3">
      <c r="A217" s="2" t="s">
        <v>161</v>
      </c>
      <c r="B217" s="2" t="s">
        <v>687</v>
      </c>
      <c r="C217" s="2" t="s">
        <v>687</v>
      </c>
      <c r="D217" s="2" t="s">
        <v>960</v>
      </c>
    </row>
    <row r="218" spans="1:4" x14ac:dyDescent="0.3">
      <c r="A218" s="2" t="s">
        <v>161</v>
      </c>
      <c r="B218" s="2" t="s">
        <v>687</v>
      </c>
      <c r="C218" s="2" t="s">
        <v>1155</v>
      </c>
      <c r="D218" s="2" t="s">
        <v>960</v>
      </c>
    </row>
    <row r="219" spans="1:4" x14ac:dyDescent="0.3">
      <c r="A219" s="2" t="s">
        <v>161</v>
      </c>
      <c r="B219" s="2" t="s">
        <v>687</v>
      </c>
      <c r="C219" s="2" t="s">
        <v>961</v>
      </c>
      <c r="D219" s="2" t="s">
        <v>960</v>
      </c>
    </row>
    <row r="220" spans="1:4" x14ac:dyDescent="0.3">
      <c r="A220" s="2" t="s">
        <v>161</v>
      </c>
      <c r="B220" s="2" t="s">
        <v>687</v>
      </c>
      <c r="C220" s="2" t="s">
        <v>689</v>
      </c>
      <c r="D220" s="2" t="s">
        <v>960</v>
      </c>
    </row>
    <row r="221" spans="1:4" x14ac:dyDescent="0.3">
      <c r="A221" s="2" t="s">
        <v>161</v>
      </c>
      <c r="B221" s="2" t="s">
        <v>687</v>
      </c>
      <c r="C221" s="2" t="s">
        <v>686</v>
      </c>
      <c r="D221" s="2" t="s">
        <v>960</v>
      </c>
    </row>
    <row r="222" spans="1:4" x14ac:dyDescent="0.3">
      <c r="A222" s="2" t="s">
        <v>161</v>
      </c>
      <c r="B222" s="2" t="s">
        <v>687</v>
      </c>
      <c r="C222" s="2" t="s">
        <v>1156</v>
      </c>
      <c r="D222" s="2" t="s">
        <v>960</v>
      </c>
    </row>
    <row r="223" spans="1:4" x14ac:dyDescent="0.3">
      <c r="A223" s="2" t="s">
        <v>161</v>
      </c>
      <c r="B223" s="2" t="s">
        <v>687</v>
      </c>
      <c r="C223" s="2" t="s">
        <v>1157</v>
      </c>
      <c r="D223" s="2" t="s">
        <v>960</v>
      </c>
    </row>
    <row r="224" spans="1:4" x14ac:dyDescent="0.3">
      <c r="A224" s="2" t="s">
        <v>161</v>
      </c>
      <c r="B224" s="2" t="s">
        <v>687</v>
      </c>
      <c r="C224" s="2" t="s">
        <v>1158</v>
      </c>
      <c r="D224" s="2" t="s">
        <v>960</v>
      </c>
    </row>
    <row r="225" spans="1:4" x14ac:dyDescent="0.3">
      <c r="A225" s="2" t="s">
        <v>161</v>
      </c>
      <c r="B225" s="2" t="s">
        <v>687</v>
      </c>
      <c r="C225" s="2" t="s">
        <v>1159</v>
      </c>
      <c r="D225" s="2" t="s">
        <v>960</v>
      </c>
    </row>
    <row r="226" spans="1:4" x14ac:dyDescent="0.3">
      <c r="A226" s="2" t="s">
        <v>161</v>
      </c>
      <c r="B226" s="2" t="s">
        <v>695</v>
      </c>
      <c r="C226" s="2" t="s">
        <v>706</v>
      </c>
      <c r="D226" s="2" t="s">
        <v>962</v>
      </c>
    </row>
    <row r="227" spans="1:4" x14ac:dyDescent="0.3">
      <c r="A227" s="2" t="s">
        <v>161</v>
      </c>
      <c r="B227" s="2" t="s">
        <v>695</v>
      </c>
      <c r="C227" s="2" t="s">
        <v>1160</v>
      </c>
      <c r="D227" s="2" t="s">
        <v>962</v>
      </c>
    </row>
    <row r="228" spans="1:4" x14ac:dyDescent="0.3">
      <c r="A228" s="2" t="s">
        <v>161</v>
      </c>
      <c r="B228" s="2" t="s">
        <v>695</v>
      </c>
      <c r="C228" s="2" t="s">
        <v>1161</v>
      </c>
      <c r="D228" s="2" t="s">
        <v>962</v>
      </c>
    </row>
    <row r="229" spans="1:4" x14ac:dyDescent="0.3">
      <c r="A229" s="2" t="s">
        <v>161</v>
      </c>
      <c r="B229" s="2" t="s">
        <v>695</v>
      </c>
      <c r="C229" s="2" t="s">
        <v>1162</v>
      </c>
      <c r="D229" s="2" t="s">
        <v>962</v>
      </c>
    </row>
    <row r="230" spans="1:4" x14ac:dyDescent="0.3">
      <c r="A230" s="2" t="s">
        <v>161</v>
      </c>
      <c r="B230" s="2" t="s">
        <v>695</v>
      </c>
      <c r="C230" s="2" t="s">
        <v>694</v>
      </c>
      <c r="D230" s="2" t="s">
        <v>962</v>
      </c>
    </row>
    <row r="231" spans="1:4" x14ac:dyDescent="0.3">
      <c r="A231" s="2" t="s">
        <v>161</v>
      </c>
      <c r="B231" s="2" t="s">
        <v>695</v>
      </c>
      <c r="C231" s="2" t="s">
        <v>1163</v>
      </c>
      <c r="D231" s="2" t="s">
        <v>962</v>
      </c>
    </row>
    <row r="232" spans="1:4" x14ac:dyDescent="0.3">
      <c r="A232" s="2" t="s">
        <v>161</v>
      </c>
      <c r="B232" s="2" t="s">
        <v>695</v>
      </c>
      <c r="C232" s="2" t="s">
        <v>1164</v>
      </c>
      <c r="D232" s="2" t="s">
        <v>962</v>
      </c>
    </row>
    <row r="233" spans="1:4" x14ac:dyDescent="0.3">
      <c r="A233" s="2" t="s">
        <v>161</v>
      </c>
      <c r="B233" s="2" t="s">
        <v>695</v>
      </c>
      <c r="C233" s="2" t="s">
        <v>699</v>
      </c>
      <c r="D233" s="2" t="s">
        <v>962</v>
      </c>
    </row>
    <row r="234" spans="1:4" x14ac:dyDescent="0.3">
      <c r="A234" s="2" t="s">
        <v>161</v>
      </c>
      <c r="B234" s="2" t="s">
        <v>695</v>
      </c>
      <c r="C234" s="2" t="s">
        <v>964</v>
      </c>
      <c r="D234" s="2" t="s">
        <v>962</v>
      </c>
    </row>
    <row r="235" spans="1:4" x14ac:dyDescent="0.3">
      <c r="A235" s="2" t="s">
        <v>161</v>
      </c>
      <c r="B235" s="2" t="s">
        <v>695</v>
      </c>
      <c r="C235" s="2" t="s">
        <v>1165</v>
      </c>
      <c r="D235" s="2" t="s">
        <v>962</v>
      </c>
    </row>
    <row r="236" spans="1:4" x14ac:dyDescent="0.3">
      <c r="A236" s="2" t="s">
        <v>161</v>
      </c>
      <c r="B236" s="2" t="s">
        <v>695</v>
      </c>
      <c r="C236" s="2" t="s">
        <v>1166</v>
      </c>
      <c r="D236" s="2" t="s">
        <v>962</v>
      </c>
    </row>
    <row r="237" spans="1:4" x14ac:dyDescent="0.3">
      <c r="A237" s="2" t="s">
        <v>44</v>
      </c>
      <c r="B237" s="2" t="s">
        <v>801</v>
      </c>
      <c r="C237" s="2" t="s">
        <v>967</v>
      </c>
      <c r="D237" s="2" t="s">
        <v>966</v>
      </c>
    </row>
    <row r="238" spans="1:4" x14ac:dyDescent="0.3">
      <c r="A238" s="2" t="s">
        <v>44</v>
      </c>
      <c r="B238" s="2" t="s">
        <v>801</v>
      </c>
      <c r="C238" s="2" t="s">
        <v>1167</v>
      </c>
      <c r="D238" s="2" t="s">
        <v>966</v>
      </c>
    </row>
    <row r="239" spans="1:4" x14ac:dyDescent="0.3">
      <c r="A239" s="2" t="s">
        <v>44</v>
      </c>
      <c r="B239" s="2" t="s">
        <v>801</v>
      </c>
      <c r="C239" s="2" t="s">
        <v>1168</v>
      </c>
      <c r="D239" s="2" t="s">
        <v>966</v>
      </c>
    </row>
    <row r="240" spans="1:4" x14ac:dyDescent="0.3">
      <c r="A240" s="2" t="s">
        <v>44</v>
      </c>
      <c r="B240" s="2" t="s">
        <v>801</v>
      </c>
      <c r="C240" s="2" t="s">
        <v>1169</v>
      </c>
      <c r="D240" s="2" t="s">
        <v>966</v>
      </c>
    </row>
    <row r="241" spans="1:4" x14ac:dyDescent="0.3">
      <c r="A241" s="2" t="s">
        <v>44</v>
      </c>
      <c r="B241" s="2" t="s">
        <v>801</v>
      </c>
      <c r="C241" s="2" t="s">
        <v>1170</v>
      </c>
      <c r="D241" s="2" t="s">
        <v>966</v>
      </c>
    </row>
    <row r="242" spans="1:4" x14ac:dyDescent="0.3">
      <c r="A242" s="2" t="s">
        <v>44</v>
      </c>
      <c r="B242" s="2" t="s">
        <v>801</v>
      </c>
      <c r="C242" s="2" t="s">
        <v>1171</v>
      </c>
      <c r="D242" s="2" t="s">
        <v>966</v>
      </c>
    </row>
    <row r="243" spans="1:4" x14ac:dyDescent="0.3">
      <c r="A243" s="2" t="s">
        <v>44</v>
      </c>
      <c r="B243" s="2" t="s">
        <v>801</v>
      </c>
      <c r="C243" s="2" t="s">
        <v>1172</v>
      </c>
      <c r="D243" s="2" t="s">
        <v>966</v>
      </c>
    </row>
    <row r="244" spans="1:4" x14ac:dyDescent="0.3">
      <c r="A244" s="2" t="s">
        <v>44</v>
      </c>
      <c r="B244" s="2" t="s">
        <v>801</v>
      </c>
      <c r="C244" s="2" t="s">
        <v>1173</v>
      </c>
      <c r="D244" s="2" t="s">
        <v>966</v>
      </c>
    </row>
    <row r="245" spans="1:4" x14ac:dyDescent="0.3">
      <c r="A245" s="2" t="s">
        <v>44</v>
      </c>
      <c r="B245" s="2" t="s">
        <v>801</v>
      </c>
      <c r="C245" s="2" t="s">
        <v>1174</v>
      </c>
      <c r="D245" s="2" t="s">
        <v>966</v>
      </c>
    </row>
    <row r="246" spans="1:4" x14ac:dyDescent="0.3">
      <c r="A246" s="2" t="s">
        <v>44</v>
      </c>
      <c r="B246" s="2" t="s">
        <v>801</v>
      </c>
      <c r="C246" s="2" t="s">
        <v>1175</v>
      </c>
      <c r="D246" s="2" t="s">
        <v>966</v>
      </c>
    </row>
    <row r="247" spans="1:4" x14ac:dyDescent="0.3">
      <c r="A247" s="2" t="s">
        <v>44</v>
      </c>
      <c r="B247" s="2" t="s">
        <v>801</v>
      </c>
      <c r="C247" s="2" t="s">
        <v>855</v>
      </c>
      <c r="D247" s="2" t="s">
        <v>966</v>
      </c>
    </row>
    <row r="248" spans="1:4" x14ac:dyDescent="0.3">
      <c r="A248" s="2" t="s">
        <v>44</v>
      </c>
      <c r="B248" s="2" t="s">
        <v>801</v>
      </c>
      <c r="C248" s="2" t="s">
        <v>1176</v>
      </c>
      <c r="D248" s="2" t="s">
        <v>966</v>
      </c>
    </row>
    <row r="249" spans="1:4" x14ac:dyDescent="0.3">
      <c r="A249" s="2" t="s">
        <v>44</v>
      </c>
      <c r="B249" s="2" t="s">
        <v>801</v>
      </c>
      <c r="C249" s="2" t="s">
        <v>1177</v>
      </c>
      <c r="D249" s="2" t="s">
        <v>966</v>
      </c>
    </row>
    <row r="250" spans="1:4" x14ac:dyDescent="0.3">
      <c r="A250" s="2" t="s">
        <v>44</v>
      </c>
      <c r="B250" s="2" t="s">
        <v>801</v>
      </c>
      <c r="C250" s="2" t="s">
        <v>845</v>
      </c>
      <c r="D250" s="2" t="s">
        <v>966</v>
      </c>
    </row>
    <row r="251" spans="1:4" x14ac:dyDescent="0.3">
      <c r="A251" s="2" t="s">
        <v>44</v>
      </c>
      <c r="B251" s="2" t="s">
        <v>801</v>
      </c>
      <c r="C251" s="2" t="s">
        <v>808</v>
      </c>
      <c r="D251" s="2" t="s">
        <v>966</v>
      </c>
    </row>
    <row r="252" spans="1:4" x14ac:dyDescent="0.3">
      <c r="A252" s="2" t="s">
        <v>44</v>
      </c>
      <c r="B252" s="2" t="s">
        <v>801</v>
      </c>
      <c r="C252" s="2" t="s">
        <v>815</v>
      </c>
      <c r="D252" s="2" t="s">
        <v>966</v>
      </c>
    </row>
    <row r="253" spans="1:4" x14ac:dyDescent="0.3">
      <c r="A253" s="2" t="s">
        <v>44</v>
      </c>
      <c r="B253" s="2" t="s">
        <v>801</v>
      </c>
      <c r="C253" s="2" t="s">
        <v>1178</v>
      </c>
      <c r="D253" s="2" t="s">
        <v>966</v>
      </c>
    </row>
    <row r="254" spans="1:4" x14ac:dyDescent="0.3">
      <c r="A254" s="2" t="s">
        <v>44</v>
      </c>
      <c r="B254" s="2" t="s">
        <v>811</v>
      </c>
      <c r="C254" s="2" t="s">
        <v>859</v>
      </c>
      <c r="D254" s="2" t="s">
        <v>968</v>
      </c>
    </row>
    <row r="255" spans="1:4" x14ac:dyDescent="0.3">
      <c r="A255" s="2" t="s">
        <v>44</v>
      </c>
      <c r="B255" s="2" t="s">
        <v>811</v>
      </c>
      <c r="C255" s="2" t="s">
        <v>863</v>
      </c>
      <c r="D255" s="2" t="s">
        <v>968</v>
      </c>
    </row>
    <row r="256" spans="1:4" x14ac:dyDescent="0.3">
      <c r="A256" s="2" t="s">
        <v>44</v>
      </c>
      <c r="B256" s="2" t="s">
        <v>811</v>
      </c>
      <c r="C256" s="2" t="s">
        <v>1179</v>
      </c>
      <c r="D256" s="2" t="s">
        <v>968</v>
      </c>
    </row>
    <row r="257" spans="1:4" x14ac:dyDescent="0.3">
      <c r="A257" s="2" t="s">
        <v>44</v>
      </c>
      <c r="B257" s="2" t="s">
        <v>811</v>
      </c>
      <c r="C257" s="2" t="s">
        <v>1180</v>
      </c>
      <c r="D257" s="2" t="s">
        <v>968</v>
      </c>
    </row>
    <row r="258" spans="1:4" x14ac:dyDescent="0.3">
      <c r="A258" s="2" t="s">
        <v>44</v>
      </c>
      <c r="B258" s="2" t="s">
        <v>811</v>
      </c>
      <c r="C258" s="2" t="s">
        <v>849</v>
      </c>
      <c r="D258" s="2" t="s">
        <v>968</v>
      </c>
    </row>
    <row r="259" spans="1:4" x14ac:dyDescent="0.3">
      <c r="A259" s="2" t="s">
        <v>44</v>
      </c>
      <c r="B259" s="2" t="s">
        <v>811</v>
      </c>
      <c r="C259" s="2" t="s">
        <v>851</v>
      </c>
      <c r="D259" s="2" t="s">
        <v>968</v>
      </c>
    </row>
    <row r="260" spans="1:4" x14ac:dyDescent="0.3">
      <c r="A260" s="2" t="s">
        <v>44</v>
      </c>
      <c r="B260" s="2" t="s">
        <v>811</v>
      </c>
      <c r="C260" s="2" t="s">
        <v>1181</v>
      </c>
      <c r="D260" s="2" t="s">
        <v>968</v>
      </c>
    </row>
    <row r="261" spans="1:4" x14ac:dyDescent="0.3">
      <c r="A261" s="2" t="s">
        <v>44</v>
      </c>
      <c r="B261" s="2" t="s">
        <v>811</v>
      </c>
      <c r="C261" s="2" t="s">
        <v>847</v>
      </c>
      <c r="D261" s="2" t="s">
        <v>968</v>
      </c>
    </row>
    <row r="262" spans="1:4" x14ac:dyDescent="0.3">
      <c r="A262" s="2" t="s">
        <v>44</v>
      </c>
      <c r="B262" s="2" t="s">
        <v>811</v>
      </c>
      <c r="C262" s="2" t="s">
        <v>837</v>
      </c>
      <c r="D262" s="2" t="s">
        <v>968</v>
      </c>
    </row>
    <row r="263" spans="1:4" x14ac:dyDescent="0.3">
      <c r="A263" s="2" t="s">
        <v>44</v>
      </c>
      <c r="B263" s="2" t="s">
        <v>811</v>
      </c>
      <c r="C263" s="2" t="s">
        <v>1182</v>
      </c>
      <c r="D263" s="2" t="s">
        <v>968</v>
      </c>
    </row>
    <row r="264" spans="1:4" x14ac:dyDescent="0.3">
      <c r="A264" s="2" t="s">
        <v>44</v>
      </c>
      <c r="B264" s="2" t="s">
        <v>811</v>
      </c>
      <c r="C264" s="2" t="s">
        <v>1183</v>
      </c>
      <c r="D264" s="2" t="s">
        <v>968</v>
      </c>
    </row>
    <row r="265" spans="1:4" x14ac:dyDescent="0.3">
      <c r="A265" s="2" t="s">
        <v>44</v>
      </c>
      <c r="B265" s="2" t="s">
        <v>811</v>
      </c>
      <c r="C265" s="2" t="s">
        <v>810</v>
      </c>
      <c r="D265" s="2" t="s">
        <v>968</v>
      </c>
    </row>
    <row r="266" spans="1:4" x14ac:dyDescent="0.3">
      <c r="A266" s="2" t="s">
        <v>44</v>
      </c>
      <c r="B266" s="2" t="s">
        <v>811</v>
      </c>
      <c r="C266" s="2" t="s">
        <v>1184</v>
      </c>
      <c r="D266" s="2" t="s">
        <v>968</v>
      </c>
    </row>
    <row r="267" spans="1:4" x14ac:dyDescent="0.3">
      <c r="A267" s="2" t="s">
        <v>44</v>
      </c>
      <c r="B267" s="2" t="s">
        <v>811</v>
      </c>
      <c r="C267" s="2" t="s">
        <v>969</v>
      </c>
      <c r="D267" s="2" t="s">
        <v>968</v>
      </c>
    </row>
    <row r="268" spans="1:4" x14ac:dyDescent="0.3">
      <c r="A268" s="2" t="s">
        <v>44</v>
      </c>
      <c r="B268" s="2" t="s">
        <v>811</v>
      </c>
      <c r="C268" s="2" t="s">
        <v>1185</v>
      </c>
      <c r="D268" s="2" t="s">
        <v>968</v>
      </c>
    </row>
    <row r="269" spans="1:4" x14ac:dyDescent="0.3">
      <c r="A269" s="2" t="s">
        <v>44</v>
      </c>
      <c r="B269" s="2" t="s">
        <v>811</v>
      </c>
      <c r="C269" s="2" t="s">
        <v>813</v>
      </c>
      <c r="D269" s="2" t="s">
        <v>968</v>
      </c>
    </row>
    <row r="270" spans="1:4" x14ac:dyDescent="0.3">
      <c r="A270" s="2" t="s">
        <v>44</v>
      </c>
      <c r="B270" s="2" t="s">
        <v>798</v>
      </c>
      <c r="C270" s="2" t="s">
        <v>839</v>
      </c>
      <c r="D270" s="2" t="s">
        <v>970</v>
      </c>
    </row>
    <row r="271" spans="1:4" x14ac:dyDescent="0.3">
      <c r="A271" s="2" t="s">
        <v>44</v>
      </c>
      <c r="B271" s="2" t="s">
        <v>798</v>
      </c>
      <c r="C271" s="2" t="s">
        <v>835</v>
      </c>
      <c r="D271" s="2" t="s">
        <v>970</v>
      </c>
    </row>
    <row r="272" spans="1:4" x14ac:dyDescent="0.3">
      <c r="A272" s="2" t="s">
        <v>44</v>
      </c>
      <c r="B272" s="2" t="s">
        <v>798</v>
      </c>
      <c r="C272" s="2" t="s">
        <v>853</v>
      </c>
      <c r="D272" s="2" t="s">
        <v>970</v>
      </c>
    </row>
    <row r="273" spans="1:4" x14ac:dyDescent="0.3">
      <c r="A273" s="2" t="s">
        <v>44</v>
      </c>
      <c r="B273" s="2" t="s">
        <v>798</v>
      </c>
      <c r="C273" s="2" t="s">
        <v>831</v>
      </c>
      <c r="D273" s="2" t="s">
        <v>970</v>
      </c>
    </row>
    <row r="274" spans="1:4" x14ac:dyDescent="0.3">
      <c r="A274" s="2" t="s">
        <v>44</v>
      </c>
      <c r="B274" s="2" t="s">
        <v>798</v>
      </c>
      <c r="C274" s="2" t="s">
        <v>797</v>
      </c>
      <c r="D274" s="2" t="s">
        <v>970</v>
      </c>
    </row>
    <row r="275" spans="1:4" x14ac:dyDescent="0.3">
      <c r="A275" s="2" t="s">
        <v>44</v>
      </c>
      <c r="B275" s="2" t="s">
        <v>798</v>
      </c>
      <c r="C275" s="2" t="s">
        <v>1186</v>
      </c>
      <c r="D275" s="2" t="s">
        <v>970</v>
      </c>
    </row>
    <row r="276" spans="1:4" x14ac:dyDescent="0.3">
      <c r="A276" s="2" t="s">
        <v>44</v>
      </c>
      <c r="B276" s="2" t="s">
        <v>798</v>
      </c>
      <c r="C276" s="2" t="s">
        <v>821</v>
      </c>
      <c r="D276" s="2" t="s">
        <v>970</v>
      </c>
    </row>
    <row r="277" spans="1:4" x14ac:dyDescent="0.3">
      <c r="A277" s="2" t="s">
        <v>44</v>
      </c>
      <c r="B277" s="2" t="s">
        <v>798</v>
      </c>
      <c r="C277" s="2" t="s">
        <v>1187</v>
      </c>
      <c r="D277" s="2" t="s">
        <v>970</v>
      </c>
    </row>
    <row r="278" spans="1:4" x14ac:dyDescent="0.3">
      <c r="A278" s="2" t="s">
        <v>44</v>
      </c>
      <c r="B278" s="2" t="s">
        <v>798</v>
      </c>
      <c r="C278" s="2" t="s">
        <v>1188</v>
      </c>
      <c r="D278" s="2" t="s">
        <v>970</v>
      </c>
    </row>
    <row r="279" spans="1:4" x14ac:dyDescent="0.3">
      <c r="A279" s="2" t="s">
        <v>44</v>
      </c>
      <c r="B279" s="2" t="s">
        <v>798</v>
      </c>
      <c r="C279" s="2" t="s">
        <v>972</v>
      </c>
      <c r="D279" s="2" t="s">
        <v>970</v>
      </c>
    </row>
    <row r="280" spans="1:4" x14ac:dyDescent="0.3">
      <c r="A280" s="2" t="s">
        <v>44</v>
      </c>
      <c r="B280" s="2" t="s">
        <v>798</v>
      </c>
      <c r="C280" s="2" t="s">
        <v>1189</v>
      </c>
      <c r="D280" s="2" t="s">
        <v>970</v>
      </c>
    </row>
    <row r="281" spans="1:4" x14ac:dyDescent="0.3">
      <c r="A281" s="2" t="s">
        <v>44</v>
      </c>
      <c r="B281" s="2" t="s">
        <v>798</v>
      </c>
      <c r="C281" s="2" t="s">
        <v>1190</v>
      </c>
      <c r="D281" s="2" t="s">
        <v>970</v>
      </c>
    </row>
    <row r="282" spans="1:4" x14ac:dyDescent="0.3">
      <c r="A282" s="2" t="s">
        <v>44</v>
      </c>
      <c r="B282" s="2" t="s">
        <v>769</v>
      </c>
      <c r="C282" s="2" t="s">
        <v>795</v>
      </c>
      <c r="D282" s="2" t="s">
        <v>973</v>
      </c>
    </row>
    <row r="283" spans="1:4" x14ac:dyDescent="0.3">
      <c r="A283" s="2" t="s">
        <v>44</v>
      </c>
      <c r="B283" s="2" t="s">
        <v>769</v>
      </c>
      <c r="C283" s="2" t="s">
        <v>1191</v>
      </c>
      <c r="D283" s="2" t="s">
        <v>973</v>
      </c>
    </row>
    <row r="284" spans="1:4" x14ac:dyDescent="0.3">
      <c r="A284" s="2" t="s">
        <v>44</v>
      </c>
      <c r="B284" s="2" t="s">
        <v>769</v>
      </c>
      <c r="C284" s="2" t="s">
        <v>789</v>
      </c>
      <c r="D284" s="2" t="s">
        <v>973</v>
      </c>
    </row>
    <row r="285" spans="1:4" x14ac:dyDescent="0.3">
      <c r="A285" s="2" t="s">
        <v>44</v>
      </c>
      <c r="B285" s="2" t="s">
        <v>769</v>
      </c>
      <c r="C285" s="2" t="s">
        <v>1192</v>
      </c>
      <c r="D285" s="2" t="s">
        <v>973</v>
      </c>
    </row>
    <row r="286" spans="1:4" x14ac:dyDescent="0.3">
      <c r="A286" s="2" t="s">
        <v>44</v>
      </c>
      <c r="B286" s="2" t="s">
        <v>769</v>
      </c>
      <c r="C286" s="2" t="s">
        <v>1193</v>
      </c>
      <c r="D286" s="2" t="s">
        <v>973</v>
      </c>
    </row>
    <row r="287" spans="1:4" x14ac:dyDescent="0.3">
      <c r="A287" s="2" t="s">
        <v>44</v>
      </c>
      <c r="B287" s="2" t="s">
        <v>769</v>
      </c>
      <c r="C287" s="2" t="s">
        <v>1194</v>
      </c>
      <c r="D287" s="2" t="s">
        <v>973</v>
      </c>
    </row>
    <row r="288" spans="1:4" x14ac:dyDescent="0.3">
      <c r="A288" s="2" t="s">
        <v>44</v>
      </c>
      <c r="B288" s="2" t="s">
        <v>769</v>
      </c>
      <c r="C288" s="2" t="s">
        <v>1195</v>
      </c>
      <c r="D288" s="2" t="s">
        <v>973</v>
      </c>
    </row>
    <row r="289" spans="1:4" x14ac:dyDescent="0.3">
      <c r="A289" s="2" t="s">
        <v>44</v>
      </c>
      <c r="B289" s="2" t="s">
        <v>769</v>
      </c>
      <c r="C289" s="2" t="s">
        <v>1196</v>
      </c>
      <c r="D289" s="2" t="s">
        <v>973</v>
      </c>
    </row>
    <row r="290" spans="1:4" x14ac:dyDescent="0.3">
      <c r="A290" s="2" t="s">
        <v>44</v>
      </c>
      <c r="B290" s="2" t="s">
        <v>769</v>
      </c>
      <c r="C290" s="2" t="s">
        <v>768</v>
      </c>
      <c r="D290" s="2" t="s">
        <v>973</v>
      </c>
    </row>
    <row r="291" spans="1:4" x14ac:dyDescent="0.3">
      <c r="A291" s="2" t="s">
        <v>44</v>
      </c>
      <c r="B291" s="2" t="s">
        <v>769</v>
      </c>
      <c r="C291" s="2" t="s">
        <v>1197</v>
      </c>
      <c r="D291" s="2" t="s">
        <v>973</v>
      </c>
    </row>
    <row r="292" spans="1:4" x14ac:dyDescent="0.3">
      <c r="A292" s="2" t="s">
        <v>44</v>
      </c>
      <c r="B292" s="2" t="s">
        <v>769</v>
      </c>
      <c r="C292" s="2" t="s">
        <v>1198</v>
      </c>
      <c r="D292" s="2" t="s">
        <v>973</v>
      </c>
    </row>
    <row r="293" spans="1:4" x14ac:dyDescent="0.3">
      <c r="A293" s="2" t="s">
        <v>44</v>
      </c>
      <c r="B293" s="2" t="s">
        <v>764</v>
      </c>
      <c r="C293" s="2" t="s">
        <v>773</v>
      </c>
      <c r="D293" s="2" t="s">
        <v>974</v>
      </c>
    </row>
    <row r="294" spans="1:4" x14ac:dyDescent="0.3">
      <c r="A294" s="2" t="s">
        <v>44</v>
      </c>
      <c r="B294" s="2" t="s">
        <v>764</v>
      </c>
      <c r="C294" s="2" t="s">
        <v>793</v>
      </c>
      <c r="D294" s="2" t="s">
        <v>974</v>
      </c>
    </row>
    <row r="295" spans="1:4" x14ac:dyDescent="0.3">
      <c r="A295" s="2" t="s">
        <v>44</v>
      </c>
      <c r="B295" s="2" t="s">
        <v>764</v>
      </c>
      <c r="C295" s="2" t="s">
        <v>1199</v>
      </c>
      <c r="D295" s="2" t="s">
        <v>974</v>
      </c>
    </row>
    <row r="296" spans="1:4" x14ac:dyDescent="0.3">
      <c r="A296" s="2" t="s">
        <v>44</v>
      </c>
      <c r="B296" s="2" t="s">
        <v>764</v>
      </c>
      <c r="C296" s="2" t="s">
        <v>828</v>
      </c>
      <c r="D296" s="2" t="s">
        <v>974</v>
      </c>
    </row>
    <row r="297" spans="1:4" x14ac:dyDescent="0.3">
      <c r="A297" s="2" t="s">
        <v>44</v>
      </c>
      <c r="B297" s="2" t="s">
        <v>764</v>
      </c>
      <c r="C297" s="2" t="s">
        <v>763</v>
      </c>
      <c r="D297" s="2" t="s">
        <v>974</v>
      </c>
    </row>
    <row r="298" spans="1:4" x14ac:dyDescent="0.3">
      <c r="A298" s="2" t="s">
        <v>44</v>
      </c>
      <c r="B298" s="2" t="s">
        <v>764</v>
      </c>
      <c r="C298" s="2" t="s">
        <v>766</v>
      </c>
      <c r="D298" s="2" t="s">
        <v>974</v>
      </c>
    </row>
    <row r="299" spans="1:4" x14ac:dyDescent="0.3">
      <c r="A299" s="2" t="s">
        <v>44</v>
      </c>
      <c r="B299" s="2" t="s">
        <v>764</v>
      </c>
      <c r="C299" s="2" t="s">
        <v>1200</v>
      </c>
      <c r="D299" s="2" t="s">
        <v>974</v>
      </c>
    </row>
    <row r="300" spans="1:4" x14ac:dyDescent="0.3">
      <c r="A300" s="2" t="s">
        <v>44</v>
      </c>
      <c r="B300" s="2" t="s">
        <v>764</v>
      </c>
      <c r="C300" s="2" t="s">
        <v>1201</v>
      </c>
      <c r="D300" s="2" t="s">
        <v>974</v>
      </c>
    </row>
    <row r="301" spans="1:4" x14ac:dyDescent="0.3">
      <c r="A301" s="2" t="s">
        <v>44</v>
      </c>
      <c r="B301" s="2" t="s">
        <v>764</v>
      </c>
      <c r="C301" s="2" t="s">
        <v>1202</v>
      </c>
      <c r="D301" s="2" t="s">
        <v>974</v>
      </c>
    </row>
    <row r="302" spans="1:4" x14ac:dyDescent="0.3">
      <c r="A302" s="2" t="s">
        <v>44</v>
      </c>
      <c r="B302" s="2" t="s">
        <v>764</v>
      </c>
      <c r="C302" s="2" t="s">
        <v>1203</v>
      </c>
      <c r="D302" s="2" t="s">
        <v>974</v>
      </c>
    </row>
    <row r="303" spans="1:4" x14ac:dyDescent="0.3">
      <c r="A303" s="2" t="s">
        <v>44</v>
      </c>
      <c r="B303" s="2" t="s">
        <v>761</v>
      </c>
      <c r="C303" s="2" t="s">
        <v>783</v>
      </c>
      <c r="D303" s="2" t="s">
        <v>975</v>
      </c>
    </row>
    <row r="304" spans="1:4" x14ac:dyDescent="0.3">
      <c r="A304" s="2" t="s">
        <v>44</v>
      </c>
      <c r="B304" s="2" t="s">
        <v>761</v>
      </c>
      <c r="C304" s="2" t="s">
        <v>779</v>
      </c>
      <c r="D304" s="2" t="s">
        <v>975</v>
      </c>
    </row>
    <row r="305" spans="1:4" x14ac:dyDescent="0.3">
      <c r="A305" s="2" t="s">
        <v>44</v>
      </c>
      <c r="B305" s="2" t="s">
        <v>761</v>
      </c>
      <c r="C305" s="2" t="s">
        <v>781</v>
      </c>
      <c r="D305" s="2" t="s">
        <v>975</v>
      </c>
    </row>
    <row r="306" spans="1:4" x14ac:dyDescent="0.3">
      <c r="A306" s="2" t="s">
        <v>44</v>
      </c>
      <c r="B306" s="2" t="s">
        <v>761</v>
      </c>
      <c r="C306" s="2" t="s">
        <v>771</v>
      </c>
      <c r="D306" s="2" t="s">
        <v>975</v>
      </c>
    </row>
    <row r="307" spans="1:4" x14ac:dyDescent="0.3">
      <c r="A307" s="2" t="s">
        <v>44</v>
      </c>
      <c r="B307" s="2" t="s">
        <v>761</v>
      </c>
      <c r="C307" s="2" t="s">
        <v>760</v>
      </c>
      <c r="D307" s="2" t="s">
        <v>975</v>
      </c>
    </row>
    <row r="308" spans="1:4" x14ac:dyDescent="0.3">
      <c r="A308" s="2" t="s">
        <v>44</v>
      </c>
      <c r="B308" s="2" t="s">
        <v>761</v>
      </c>
      <c r="C308" s="2" t="s">
        <v>1204</v>
      </c>
      <c r="D308" s="2" t="s">
        <v>975</v>
      </c>
    </row>
    <row r="309" spans="1:4" x14ac:dyDescent="0.3">
      <c r="A309" s="2" t="s">
        <v>44</v>
      </c>
      <c r="B309" s="2" t="s">
        <v>761</v>
      </c>
      <c r="C309" s="2" t="s">
        <v>1205</v>
      </c>
      <c r="D309" s="2" t="s">
        <v>975</v>
      </c>
    </row>
    <row r="310" spans="1:4" x14ac:dyDescent="0.3">
      <c r="A310" s="2" t="s">
        <v>44</v>
      </c>
      <c r="B310" s="2" t="s">
        <v>761</v>
      </c>
      <c r="C310" s="2" t="s">
        <v>1206</v>
      </c>
      <c r="D310" s="2" t="s">
        <v>975</v>
      </c>
    </row>
    <row r="311" spans="1:4" x14ac:dyDescent="0.3">
      <c r="A311" s="2" t="s">
        <v>44</v>
      </c>
      <c r="B311" s="2" t="s">
        <v>761</v>
      </c>
      <c r="C311" s="2" t="s">
        <v>1207</v>
      </c>
      <c r="D311" s="2" t="s">
        <v>975</v>
      </c>
    </row>
    <row r="312" spans="1:4" x14ac:dyDescent="0.3">
      <c r="A312" s="2" t="s">
        <v>44</v>
      </c>
      <c r="B312" s="2" t="s">
        <v>761</v>
      </c>
      <c r="C312" s="2" t="s">
        <v>1208</v>
      </c>
      <c r="D312" s="2" t="s">
        <v>975</v>
      </c>
    </row>
    <row r="313" spans="1:4" x14ac:dyDescent="0.3">
      <c r="A313" s="2" t="s">
        <v>27</v>
      </c>
      <c r="B313" s="2" t="s">
        <v>978</v>
      </c>
      <c r="C313" s="2" t="s">
        <v>1209</v>
      </c>
      <c r="D313" s="2" t="s">
        <v>979</v>
      </c>
    </row>
    <row r="314" spans="1:4" x14ac:dyDescent="0.3">
      <c r="A314" s="2" t="s">
        <v>27</v>
      </c>
      <c r="B314" s="2" t="s">
        <v>978</v>
      </c>
      <c r="C314" s="2" t="s">
        <v>980</v>
      </c>
      <c r="D314" s="2" t="s">
        <v>979</v>
      </c>
    </row>
    <row r="315" spans="1:4" x14ac:dyDescent="0.3">
      <c r="A315" s="2" t="s">
        <v>27</v>
      </c>
      <c r="B315" s="2" t="s">
        <v>978</v>
      </c>
      <c r="C315" s="2" t="s">
        <v>1210</v>
      </c>
      <c r="D315" s="2" t="s">
        <v>979</v>
      </c>
    </row>
    <row r="316" spans="1:4" x14ac:dyDescent="0.3">
      <c r="A316" s="2" t="s">
        <v>27</v>
      </c>
      <c r="B316" s="2" t="s">
        <v>978</v>
      </c>
      <c r="C316" s="2" t="s">
        <v>1211</v>
      </c>
      <c r="D316" s="2" t="s">
        <v>979</v>
      </c>
    </row>
    <row r="317" spans="1:4" x14ac:dyDescent="0.3">
      <c r="A317" s="2" t="s">
        <v>27</v>
      </c>
      <c r="B317" s="2" t="s">
        <v>978</v>
      </c>
      <c r="C317" s="2" t="s">
        <v>1212</v>
      </c>
      <c r="D317" s="2" t="s">
        <v>979</v>
      </c>
    </row>
    <row r="318" spans="1:4" x14ac:dyDescent="0.3">
      <c r="A318" s="2" t="s">
        <v>27</v>
      </c>
      <c r="B318" s="2" t="s">
        <v>978</v>
      </c>
      <c r="C318" s="2" t="s">
        <v>1213</v>
      </c>
      <c r="D318" s="2" t="s">
        <v>979</v>
      </c>
    </row>
    <row r="319" spans="1:4" x14ac:dyDescent="0.3">
      <c r="A319" s="2" t="s">
        <v>27</v>
      </c>
      <c r="B319" s="2" t="s">
        <v>978</v>
      </c>
      <c r="C319" s="2" t="s">
        <v>1214</v>
      </c>
      <c r="D319" s="2" t="s">
        <v>979</v>
      </c>
    </row>
    <row r="320" spans="1:4" x14ac:dyDescent="0.3">
      <c r="A320" s="2" t="s">
        <v>27</v>
      </c>
      <c r="B320" s="2" t="s">
        <v>978</v>
      </c>
      <c r="C320" s="2" t="s">
        <v>981</v>
      </c>
      <c r="D320" s="2" t="s">
        <v>979</v>
      </c>
    </row>
    <row r="321" spans="1:4" x14ac:dyDescent="0.3">
      <c r="A321" s="2" t="s">
        <v>27</v>
      </c>
      <c r="B321" s="2" t="s">
        <v>978</v>
      </c>
      <c r="C321" s="2" t="s">
        <v>1215</v>
      </c>
      <c r="D321" s="2" t="s">
        <v>979</v>
      </c>
    </row>
    <row r="322" spans="1:4" x14ac:dyDescent="0.3">
      <c r="A322" s="2" t="s">
        <v>27</v>
      </c>
      <c r="B322" s="2" t="s">
        <v>978</v>
      </c>
      <c r="C322" s="2" t="s">
        <v>687</v>
      </c>
      <c r="D322" s="2" t="s">
        <v>979</v>
      </c>
    </row>
    <row r="323" spans="1:4" x14ac:dyDescent="0.3">
      <c r="A323" s="2" t="s">
        <v>27</v>
      </c>
      <c r="B323" s="2" t="s">
        <v>978</v>
      </c>
      <c r="C323" s="2" t="s">
        <v>1216</v>
      </c>
      <c r="D323" s="2" t="s">
        <v>979</v>
      </c>
    </row>
    <row r="324" spans="1:4" x14ac:dyDescent="0.3">
      <c r="A324" s="2" t="s">
        <v>27</v>
      </c>
      <c r="B324" s="2" t="s">
        <v>982</v>
      </c>
      <c r="C324" s="2" t="s">
        <v>1217</v>
      </c>
      <c r="D324" s="2" t="s">
        <v>983</v>
      </c>
    </row>
    <row r="325" spans="1:4" x14ac:dyDescent="0.3">
      <c r="A325" s="2" t="s">
        <v>27</v>
      </c>
      <c r="B325" s="2" t="s">
        <v>982</v>
      </c>
      <c r="C325" s="2" t="s">
        <v>984</v>
      </c>
      <c r="D325" s="2" t="s">
        <v>983</v>
      </c>
    </row>
    <row r="326" spans="1:4" x14ac:dyDescent="0.3">
      <c r="A326" s="2" t="s">
        <v>27</v>
      </c>
      <c r="B326" s="2" t="s">
        <v>982</v>
      </c>
      <c r="C326" s="2" t="s">
        <v>1218</v>
      </c>
      <c r="D326" s="2" t="s">
        <v>983</v>
      </c>
    </row>
    <row r="327" spans="1:4" x14ac:dyDescent="0.3">
      <c r="A327" s="2" t="s">
        <v>27</v>
      </c>
      <c r="B327" s="2" t="s">
        <v>982</v>
      </c>
      <c r="C327" s="2" t="s">
        <v>1219</v>
      </c>
      <c r="D327" s="2" t="s">
        <v>983</v>
      </c>
    </row>
    <row r="328" spans="1:4" x14ac:dyDescent="0.3">
      <c r="A328" s="2" t="s">
        <v>27</v>
      </c>
      <c r="B328" s="2" t="s">
        <v>982</v>
      </c>
      <c r="C328" s="2" t="s">
        <v>1220</v>
      </c>
      <c r="D328" s="2" t="s">
        <v>983</v>
      </c>
    </row>
    <row r="329" spans="1:4" x14ac:dyDescent="0.3">
      <c r="A329" s="2" t="s">
        <v>27</v>
      </c>
      <c r="B329" s="2" t="s">
        <v>982</v>
      </c>
      <c r="C329" s="2" t="s">
        <v>1221</v>
      </c>
      <c r="D329" s="2" t="s">
        <v>983</v>
      </c>
    </row>
    <row r="330" spans="1:4" x14ac:dyDescent="0.3">
      <c r="A330" s="2" t="s">
        <v>27</v>
      </c>
      <c r="B330" s="2" t="s">
        <v>982</v>
      </c>
      <c r="C330" s="2" t="s">
        <v>1222</v>
      </c>
      <c r="D330" s="2" t="s">
        <v>983</v>
      </c>
    </row>
    <row r="331" spans="1:4" x14ac:dyDescent="0.3">
      <c r="A331" s="2" t="s">
        <v>27</v>
      </c>
      <c r="B331" s="2" t="s">
        <v>982</v>
      </c>
      <c r="C331" s="2" t="s">
        <v>1223</v>
      </c>
      <c r="D331" s="2" t="s">
        <v>983</v>
      </c>
    </row>
    <row r="332" spans="1:4" x14ac:dyDescent="0.3">
      <c r="A332" s="2" t="s">
        <v>27</v>
      </c>
      <c r="B332" s="2" t="s">
        <v>982</v>
      </c>
      <c r="C332" s="2" t="s">
        <v>1224</v>
      </c>
      <c r="D332" s="2" t="s">
        <v>983</v>
      </c>
    </row>
    <row r="333" spans="1:4" x14ac:dyDescent="0.3">
      <c r="A333" s="2" t="s">
        <v>27</v>
      </c>
      <c r="B333" s="2" t="s">
        <v>982</v>
      </c>
      <c r="C333" s="2" t="s">
        <v>1225</v>
      </c>
      <c r="D333" s="2" t="s">
        <v>983</v>
      </c>
    </row>
    <row r="334" spans="1:4" x14ac:dyDescent="0.3">
      <c r="A334" s="2" t="s">
        <v>27</v>
      </c>
      <c r="B334" s="2" t="s">
        <v>982</v>
      </c>
      <c r="C334" s="2" t="s">
        <v>985</v>
      </c>
      <c r="D334" s="2" t="s">
        <v>983</v>
      </c>
    </row>
    <row r="335" spans="1:4" x14ac:dyDescent="0.3">
      <c r="A335" s="2" t="s">
        <v>27</v>
      </c>
      <c r="B335" s="2" t="s">
        <v>986</v>
      </c>
      <c r="C335" s="2" t="s">
        <v>988</v>
      </c>
      <c r="D335" s="2" t="s">
        <v>987</v>
      </c>
    </row>
    <row r="336" spans="1:4" x14ac:dyDescent="0.3">
      <c r="A336" s="2" t="s">
        <v>27</v>
      </c>
      <c r="B336" s="2" t="s">
        <v>986</v>
      </c>
      <c r="C336" s="2" t="s">
        <v>1226</v>
      </c>
      <c r="D336" s="2" t="s">
        <v>987</v>
      </c>
    </row>
    <row r="337" spans="1:4" x14ac:dyDescent="0.3">
      <c r="A337" s="2" t="s">
        <v>27</v>
      </c>
      <c r="B337" s="2" t="s">
        <v>986</v>
      </c>
      <c r="C337" s="2" t="s">
        <v>1227</v>
      </c>
      <c r="D337" s="2" t="s">
        <v>987</v>
      </c>
    </row>
    <row r="338" spans="1:4" x14ac:dyDescent="0.3">
      <c r="A338" s="2" t="s">
        <v>27</v>
      </c>
      <c r="B338" s="2" t="s">
        <v>986</v>
      </c>
      <c r="C338" s="2" t="s">
        <v>1228</v>
      </c>
      <c r="D338" s="2" t="s">
        <v>987</v>
      </c>
    </row>
    <row r="339" spans="1:4" x14ac:dyDescent="0.3">
      <c r="A339" s="2" t="s">
        <v>27</v>
      </c>
      <c r="B339" s="2" t="s">
        <v>986</v>
      </c>
      <c r="C339" s="2" t="s">
        <v>1229</v>
      </c>
      <c r="D339" s="2" t="s">
        <v>987</v>
      </c>
    </row>
    <row r="340" spans="1:4" x14ac:dyDescent="0.3">
      <c r="A340" s="2" t="s">
        <v>27</v>
      </c>
      <c r="B340" s="2" t="s">
        <v>986</v>
      </c>
      <c r="C340" s="2" t="s">
        <v>1230</v>
      </c>
      <c r="D340" s="2" t="s">
        <v>987</v>
      </c>
    </row>
    <row r="341" spans="1:4" x14ac:dyDescent="0.3">
      <c r="A341" s="2" t="s">
        <v>27</v>
      </c>
      <c r="B341" s="2" t="s">
        <v>986</v>
      </c>
      <c r="C341" s="2" t="s">
        <v>1231</v>
      </c>
      <c r="D341" s="2" t="s">
        <v>987</v>
      </c>
    </row>
    <row r="342" spans="1:4" x14ac:dyDescent="0.3">
      <c r="A342" s="2" t="s">
        <v>27</v>
      </c>
      <c r="B342" s="2" t="s">
        <v>986</v>
      </c>
      <c r="C342" s="2" t="s">
        <v>1232</v>
      </c>
      <c r="D342" s="2" t="s">
        <v>987</v>
      </c>
    </row>
    <row r="343" spans="1:4" x14ac:dyDescent="0.3">
      <c r="A343" s="2" t="s">
        <v>27</v>
      </c>
      <c r="B343" s="2" t="s">
        <v>986</v>
      </c>
      <c r="C343" s="2" t="s">
        <v>1233</v>
      </c>
      <c r="D343" s="2" t="s">
        <v>987</v>
      </c>
    </row>
    <row r="344" spans="1:4" x14ac:dyDescent="0.3">
      <c r="A344" s="2" t="s">
        <v>27</v>
      </c>
      <c r="B344" s="2" t="s">
        <v>986</v>
      </c>
      <c r="C344" s="2" t="s">
        <v>989</v>
      </c>
      <c r="D344" s="2" t="s">
        <v>987</v>
      </c>
    </row>
    <row r="345" spans="1:4" x14ac:dyDescent="0.3">
      <c r="A345" s="2" t="s">
        <v>27</v>
      </c>
      <c r="B345" s="2" t="s">
        <v>990</v>
      </c>
      <c r="C345" s="2" t="s">
        <v>993</v>
      </c>
      <c r="D345" s="2" t="s">
        <v>991</v>
      </c>
    </row>
    <row r="346" spans="1:4" x14ac:dyDescent="0.3">
      <c r="A346" s="2" t="s">
        <v>27</v>
      </c>
      <c r="B346" s="2" t="s">
        <v>990</v>
      </c>
      <c r="C346" s="2" t="s">
        <v>992</v>
      </c>
      <c r="D346" s="2" t="s">
        <v>991</v>
      </c>
    </row>
    <row r="347" spans="1:4" x14ac:dyDescent="0.3">
      <c r="A347" s="2" t="s">
        <v>27</v>
      </c>
      <c r="B347" s="2" t="s">
        <v>990</v>
      </c>
      <c r="C347" s="2" t="s">
        <v>1234</v>
      </c>
      <c r="D347" s="2" t="s">
        <v>991</v>
      </c>
    </row>
    <row r="348" spans="1:4" x14ac:dyDescent="0.3">
      <c r="A348" s="2" t="s">
        <v>27</v>
      </c>
      <c r="B348" s="2" t="s">
        <v>990</v>
      </c>
      <c r="C348" s="2" t="s">
        <v>1235</v>
      </c>
      <c r="D348" s="2" t="s">
        <v>991</v>
      </c>
    </row>
    <row r="349" spans="1:4" x14ac:dyDescent="0.3">
      <c r="A349" s="2" t="s">
        <v>27</v>
      </c>
      <c r="B349" s="2" t="s">
        <v>990</v>
      </c>
      <c r="C349" s="2" t="s">
        <v>1236</v>
      </c>
      <c r="D349" s="2" t="s">
        <v>991</v>
      </c>
    </row>
    <row r="350" spans="1:4" x14ac:dyDescent="0.3">
      <c r="A350" s="2" t="s">
        <v>27</v>
      </c>
      <c r="B350" s="2" t="s">
        <v>990</v>
      </c>
      <c r="C350" s="2" t="s">
        <v>1237</v>
      </c>
      <c r="D350" s="2" t="s">
        <v>991</v>
      </c>
    </row>
    <row r="351" spans="1:4" x14ac:dyDescent="0.3">
      <c r="A351" s="2" t="s">
        <v>27</v>
      </c>
      <c r="B351" s="2" t="s">
        <v>990</v>
      </c>
      <c r="C351" s="2" t="s">
        <v>1238</v>
      </c>
      <c r="D351" s="2" t="s">
        <v>991</v>
      </c>
    </row>
    <row r="352" spans="1:4" x14ac:dyDescent="0.3">
      <c r="A352" s="2" t="s">
        <v>27</v>
      </c>
      <c r="B352" s="2" t="s">
        <v>990</v>
      </c>
      <c r="C352" s="2" t="s">
        <v>1239</v>
      </c>
      <c r="D352" s="2" t="s">
        <v>991</v>
      </c>
    </row>
    <row r="353" spans="1:4" x14ac:dyDescent="0.3">
      <c r="A353" s="2" t="s">
        <v>27</v>
      </c>
      <c r="B353" s="2" t="s">
        <v>990</v>
      </c>
      <c r="C353" s="2" t="s">
        <v>1240</v>
      </c>
      <c r="D353" s="2" t="s">
        <v>991</v>
      </c>
    </row>
    <row r="354" spans="1:4" x14ac:dyDescent="0.3">
      <c r="A354" s="2" t="s">
        <v>27</v>
      </c>
      <c r="B354" s="2" t="s">
        <v>994</v>
      </c>
      <c r="C354" s="2" t="s">
        <v>996</v>
      </c>
      <c r="D354" s="2" t="s">
        <v>995</v>
      </c>
    </row>
    <row r="355" spans="1:4" x14ac:dyDescent="0.3">
      <c r="A355" s="2" t="s">
        <v>27</v>
      </c>
      <c r="B355" s="2" t="s">
        <v>994</v>
      </c>
      <c r="C355" s="2" t="s">
        <v>1241</v>
      </c>
      <c r="D355" s="2" t="s">
        <v>995</v>
      </c>
    </row>
    <row r="356" spans="1:4" x14ac:dyDescent="0.3">
      <c r="A356" s="2" t="s">
        <v>27</v>
      </c>
      <c r="B356" s="2" t="s">
        <v>994</v>
      </c>
      <c r="C356" s="2" t="s">
        <v>997</v>
      </c>
      <c r="D356" s="2" t="s">
        <v>995</v>
      </c>
    </row>
    <row r="357" spans="1:4" x14ac:dyDescent="0.3">
      <c r="A357" s="2" t="s">
        <v>27</v>
      </c>
      <c r="B357" s="2" t="s">
        <v>994</v>
      </c>
      <c r="C357" s="2" t="s">
        <v>1242</v>
      </c>
      <c r="D357" s="2" t="s">
        <v>995</v>
      </c>
    </row>
    <row r="358" spans="1:4" x14ac:dyDescent="0.3">
      <c r="A358" s="2" t="s">
        <v>27</v>
      </c>
      <c r="B358" s="2" t="s">
        <v>994</v>
      </c>
      <c r="C358" s="2" t="s">
        <v>1243</v>
      </c>
      <c r="D358" s="2" t="s">
        <v>995</v>
      </c>
    </row>
    <row r="359" spans="1:4" x14ac:dyDescent="0.3">
      <c r="A359" s="2" t="s">
        <v>27</v>
      </c>
      <c r="B359" s="2" t="s">
        <v>994</v>
      </c>
      <c r="C359" s="2" t="s">
        <v>1244</v>
      </c>
      <c r="D359" s="2" t="s">
        <v>995</v>
      </c>
    </row>
    <row r="360" spans="1:4" x14ac:dyDescent="0.3">
      <c r="A360" s="2" t="s">
        <v>27</v>
      </c>
      <c r="B360" s="2" t="s">
        <v>994</v>
      </c>
      <c r="C360" s="2" t="s">
        <v>1245</v>
      </c>
      <c r="D360" s="2" t="s">
        <v>995</v>
      </c>
    </row>
    <row r="361" spans="1:4" x14ac:dyDescent="0.3">
      <c r="A361" s="2" t="s">
        <v>27</v>
      </c>
      <c r="B361" s="2" t="s">
        <v>994</v>
      </c>
      <c r="C361" s="2" t="s">
        <v>1246</v>
      </c>
      <c r="D361" s="2" t="s">
        <v>995</v>
      </c>
    </row>
    <row r="362" spans="1:4" x14ac:dyDescent="0.3">
      <c r="A362" s="2" t="s">
        <v>27</v>
      </c>
      <c r="B362" s="2" t="s">
        <v>994</v>
      </c>
      <c r="C362" s="2" t="s">
        <v>1247</v>
      </c>
      <c r="D362" s="2" t="s">
        <v>995</v>
      </c>
    </row>
  </sheetData>
  <autoFilter ref="A1:D362" xr:uid="{00000000-0009-0000-0000-00000700000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7"/>
  <sheetViews>
    <sheetView zoomScaleNormal="100" workbookViewId="0">
      <pane ySplit="1" topLeftCell="A11" activePane="bottomLeft" state="frozen"/>
      <selection pane="bottomLeft" activeCell="F14" sqref="F14"/>
    </sheetView>
  </sheetViews>
  <sheetFormatPr defaultColWidth="8.6640625" defaultRowHeight="14.4" x14ac:dyDescent="0.3"/>
  <cols>
    <col min="1" max="1" width="9" customWidth="1"/>
    <col min="2" max="2" width="28" customWidth="1"/>
    <col min="3" max="3" width="22" customWidth="1"/>
    <col min="4" max="4" width="40" customWidth="1"/>
    <col min="5" max="12" width="13" customWidth="1"/>
  </cols>
  <sheetData>
    <row r="1" spans="1:12" ht="33.75" customHeight="1" x14ac:dyDescent="0.3">
      <c r="A1" s="1" t="s">
        <v>921</v>
      </c>
      <c r="B1" s="1" t="s">
        <v>922</v>
      </c>
      <c r="C1" s="1" t="s">
        <v>923</v>
      </c>
      <c r="D1" s="1" t="s">
        <v>924</v>
      </c>
      <c r="E1" s="1" t="s">
        <v>1248</v>
      </c>
      <c r="F1" s="1" t="s">
        <v>1249</v>
      </c>
      <c r="G1" s="1" t="s">
        <v>1250</v>
      </c>
      <c r="H1" s="1" t="s">
        <v>1251</v>
      </c>
      <c r="I1" s="1" t="s">
        <v>1252</v>
      </c>
      <c r="J1" s="1" t="s">
        <v>1253</v>
      </c>
      <c r="K1" s="1" t="s">
        <v>1254</v>
      </c>
      <c r="L1" s="1" t="s">
        <v>1255</v>
      </c>
    </row>
    <row r="2" spans="1:12" x14ac:dyDescent="0.3">
      <c r="A2" s="2" t="s">
        <v>152</v>
      </c>
      <c r="B2" s="2" t="s">
        <v>159</v>
      </c>
      <c r="C2" s="2" t="s">
        <v>188</v>
      </c>
      <c r="D2" s="2" t="s">
        <v>934</v>
      </c>
      <c r="E2" s="4">
        <f>'Internal Zones'!I2</f>
        <v>14</v>
      </c>
      <c r="F2" s="8"/>
      <c r="G2" s="8"/>
      <c r="H2" s="8"/>
      <c r="I2" s="8"/>
      <c r="J2" s="8"/>
      <c r="K2" s="8"/>
      <c r="L2" s="8"/>
    </row>
    <row r="3" spans="1:12" x14ac:dyDescent="0.3">
      <c r="A3" s="2" t="s">
        <v>152</v>
      </c>
      <c r="B3" s="2" t="s">
        <v>172</v>
      </c>
      <c r="C3" s="2" t="s">
        <v>188</v>
      </c>
      <c r="D3" s="2" t="s">
        <v>934</v>
      </c>
      <c r="E3" s="4">
        <f>'Internal Zones'!I3</f>
        <v>34</v>
      </c>
      <c r="F3" s="8"/>
      <c r="G3" s="8"/>
      <c r="H3" s="8"/>
      <c r="I3" s="8"/>
      <c r="J3" s="8"/>
      <c r="K3" s="8"/>
      <c r="L3" s="8"/>
    </row>
    <row r="4" spans="1:12" x14ac:dyDescent="0.3">
      <c r="A4" s="2" t="s">
        <v>152</v>
      </c>
      <c r="B4" s="2" t="s">
        <v>240</v>
      </c>
      <c r="C4" s="2" t="s">
        <v>188</v>
      </c>
      <c r="D4" s="2" t="s">
        <v>934</v>
      </c>
      <c r="E4" s="4">
        <f>'Internal Zones'!I4</f>
        <v>28</v>
      </c>
      <c r="F4" s="8"/>
      <c r="G4" s="8"/>
      <c r="H4" s="8"/>
      <c r="I4" s="8"/>
      <c r="J4" s="8"/>
      <c r="K4" s="8"/>
      <c r="L4" s="8"/>
    </row>
    <row r="5" spans="1:12" x14ac:dyDescent="0.3">
      <c r="A5" s="2" t="s">
        <v>152</v>
      </c>
      <c r="B5" s="2" t="s">
        <v>153</v>
      </c>
      <c r="C5" s="2" t="s">
        <v>188</v>
      </c>
      <c r="D5" s="2" t="s">
        <v>934</v>
      </c>
      <c r="E5" s="4">
        <f>'Internal Zones'!I5</f>
        <v>30</v>
      </c>
      <c r="F5" s="8"/>
      <c r="G5" s="8"/>
      <c r="H5" s="8"/>
      <c r="I5" s="8"/>
      <c r="J5" s="8"/>
      <c r="K5" s="8"/>
      <c r="L5" s="8"/>
    </row>
    <row r="6" spans="1:12" x14ac:dyDescent="0.3">
      <c r="A6" s="2" t="s">
        <v>152</v>
      </c>
      <c r="B6" s="2" t="s">
        <v>190</v>
      </c>
      <c r="C6" s="2" t="s">
        <v>188</v>
      </c>
      <c r="D6" s="2" t="s">
        <v>934</v>
      </c>
      <c r="E6" s="4">
        <f>'Internal Zones'!I6</f>
        <v>10</v>
      </c>
      <c r="F6" s="8"/>
      <c r="G6" s="8"/>
      <c r="H6" s="8"/>
      <c r="I6" s="8"/>
      <c r="J6" s="8"/>
      <c r="K6" s="8"/>
      <c r="L6" s="8"/>
    </row>
    <row r="7" spans="1:12" x14ac:dyDescent="0.3">
      <c r="A7" s="2" t="s">
        <v>152</v>
      </c>
      <c r="B7" s="2" t="s">
        <v>159</v>
      </c>
      <c r="C7" s="2" t="s">
        <v>225</v>
      </c>
      <c r="D7" s="2" t="s">
        <v>936</v>
      </c>
      <c r="E7" s="4">
        <f>'Internal Zones'!I7</f>
        <v>34</v>
      </c>
      <c r="F7" s="8"/>
      <c r="G7" s="8"/>
      <c r="H7" s="8"/>
      <c r="I7" s="8"/>
      <c r="J7" s="8"/>
      <c r="K7" s="8"/>
      <c r="L7" s="8"/>
    </row>
    <row r="8" spans="1:12" x14ac:dyDescent="0.3">
      <c r="A8" s="2" t="s">
        <v>152</v>
      </c>
      <c r="B8" s="2" t="s">
        <v>172</v>
      </c>
      <c r="C8" s="2" t="s">
        <v>225</v>
      </c>
      <c r="D8" s="2" t="s">
        <v>936</v>
      </c>
      <c r="E8" s="4">
        <f>'Internal Zones'!I8</f>
        <v>18</v>
      </c>
      <c r="F8" s="8"/>
      <c r="G8" s="8"/>
      <c r="H8" s="8"/>
      <c r="I8" s="8"/>
      <c r="J8" s="8"/>
      <c r="K8" s="8"/>
      <c r="L8" s="8"/>
    </row>
    <row r="9" spans="1:12" x14ac:dyDescent="0.3">
      <c r="A9" s="2" t="s">
        <v>152</v>
      </c>
      <c r="B9" s="2" t="s">
        <v>240</v>
      </c>
      <c r="C9" s="2" t="s">
        <v>225</v>
      </c>
      <c r="D9" s="2" t="s">
        <v>936</v>
      </c>
      <c r="E9" s="4">
        <f>'Internal Zones'!I9</f>
        <v>32</v>
      </c>
      <c r="F9" s="8"/>
      <c r="G9" s="8"/>
      <c r="H9" s="8"/>
      <c r="I9" s="8"/>
      <c r="J9" s="8"/>
      <c r="K9" s="8"/>
      <c r="L9" s="8"/>
    </row>
    <row r="10" spans="1:12" x14ac:dyDescent="0.3">
      <c r="A10" s="2" t="s">
        <v>152</v>
      </c>
      <c r="B10" s="2" t="s">
        <v>153</v>
      </c>
      <c r="C10" s="2" t="s">
        <v>225</v>
      </c>
      <c r="D10" s="2" t="s">
        <v>936</v>
      </c>
      <c r="E10" s="4">
        <f>'Internal Zones'!I10</f>
        <v>36</v>
      </c>
      <c r="F10" s="8"/>
      <c r="G10" s="8"/>
      <c r="H10" s="8"/>
      <c r="I10" s="8"/>
      <c r="J10" s="8"/>
      <c r="K10" s="8"/>
      <c r="L10" s="8"/>
    </row>
    <row r="11" spans="1:12" x14ac:dyDescent="0.3">
      <c r="A11" s="2" t="s">
        <v>152</v>
      </c>
      <c r="B11" s="2" t="s">
        <v>190</v>
      </c>
      <c r="C11" s="2" t="s">
        <v>225</v>
      </c>
      <c r="D11" s="2" t="s">
        <v>936</v>
      </c>
      <c r="E11" s="4">
        <f>'Internal Zones'!I11</f>
        <v>40</v>
      </c>
      <c r="F11" s="8"/>
      <c r="G11" s="8"/>
      <c r="H11" s="8"/>
      <c r="I11" s="8"/>
      <c r="J11" s="8"/>
      <c r="K11" s="8"/>
      <c r="L11" s="8"/>
    </row>
    <row r="12" spans="1:12" x14ac:dyDescent="0.3">
      <c r="A12" s="2" t="s">
        <v>152</v>
      </c>
      <c r="B12" s="2" t="s">
        <v>159</v>
      </c>
      <c r="C12" s="2" t="s">
        <v>574</v>
      </c>
      <c r="D12" s="2" t="s">
        <v>939</v>
      </c>
      <c r="E12" s="4">
        <f>'Internal Zones'!I12</f>
        <v>60</v>
      </c>
      <c r="F12" s="8"/>
      <c r="G12" s="8"/>
      <c r="H12" s="8"/>
      <c r="I12" s="8"/>
      <c r="J12" s="8"/>
      <c r="K12" s="8"/>
      <c r="L12" s="8"/>
    </row>
    <row r="13" spans="1:12" x14ac:dyDescent="0.3">
      <c r="A13" s="2" t="s">
        <v>152</v>
      </c>
      <c r="B13" s="2" t="s">
        <v>172</v>
      </c>
      <c r="C13" s="2" t="s">
        <v>574</v>
      </c>
      <c r="D13" s="2" t="s">
        <v>939</v>
      </c>
      <c r="E13" s="4">
        <f>'Internal Zones'!I13</f>
        <v>62</v>
      </c>
      <c r="F13" s="8"/>
      <c r="G13" s="8"/>
      <c r="H13" s="8"/>
      <c r="I13" s="8"/>
      <c r="J13" s="8"/>
      <c r="K13" s="8"/>
      <c r="L13" s="8"/>
    </row>
    <row r="14" spans="1:12" x14ac:dyDescent="0.3">
      <c r="A14" s="2" t="s">
        <v>152</v>
      </c>
      <c r="B14" s="2" t="s">
        <v>240</v>
      </c>
      <c r="C14" s="2" t="s">
        <v>574</v>
      </c>
      <c r="D14" s="2" t="s">
        <v>939</v>
      </c>
      <c r="E14" s="4">
        <f>'Internal Zones'!I14</f>
        <v>76</v>
      </c>
      <c r="F14" s="8"/>
      <c r="G14" s="8"/>
      <c r="H14" s="8"/>
      <c r="I14" s="8"/>
      <c r="J14" s="8"/>
      <c r="K14" s="8"/>
      <c r="L14" s="8"/>
    </row>
    <row r="15" spans="1:12" x14ac:dyDescent="0.3">
      <c r="A15" s="2" t="s">
        <v>152</v>
      </c>
      <c r="B15" s="2" t="s">
        <v>153</v>
      </c>
      <c r="C15" s="2" t="s">
        <v>574</v>
      </c>
      <c r="D15" s="2" t="s">
        <v>939</v>
      </c>
      <c r="E15" s="4">
        <f>'Internal Zones'!I15</f>
        <v>82</v>
      </c>
      <c r="F15" s="8"/>
      <c r="G15" s="8"/>
      <c r="H15" s="8"/>
      <c r="I15" s="8"/>
      <c r="J15" s="8"/>
      <c r="K15" s="8"/>
      <c r="L15" s="8"/>
    </row>
    <row r="16" spans="1:12" x14ac:dyDescent="0.3">
      <c r="A16" s="2" t="s">
        <v>152</v>
      </c>
      <c r="B16" s="2" t="s">
        <v>190</v>
      </c>
      <c r="C16" s="2" t="s">
        <v>574</v>
      </c>
      <c r="D16" s="2" t="s">
        <v>939</v>
      </c>
      <c r="E16" s="4">
        <f>'Internal Zones'!I16</f>
        <v>78</v>
      </c>
      <c r="F16" s="8"/>
      <c r="G16" s="8"/>
      <c r="H16" s="8"/>
      <c r="I16" s="8"/>
      <c r="J16" s="8"/>
      <c r="K16" s="8"/>
      <c r="L16" s="8"/>
    </row>
    <row r="17" spans="1:12" x14ac:dyDescent="0.3">
      <c r="A17" s="2" t="s">
        <v>152</v>
      </c>
      <c r="B17" s="2" t="s">
        <v>159</v>
      </c>
      <c r="C17" s="2" t="s">
        <v>550</v>
      </c>
      <c r="D17" s="2" t="s">
        <v>941</v>
      </c>
      <c r="E17" s="4">
        <f>'Internal Zones'!I17</f>
        <v>40</v>
      </c>
      <c r="F17" s="8"/>
      <c r="G17" s="8"/>
      <c r="H17" s="8"/>
      <c r="I17" s="8"/>
      <c r="J17" s="8"/>
      <c r="K17" s="8"/>
      <c r="L17" s="8"/>
    </row>
    <row r="18" spans="1:12" x14ac:dyDescent="0.3">
      <c r="A18" s="2" t="s">
        <v>152</v>
      </c>
      <c r="B18" s="2" t="s">
        <v>172</v>
      </c>
      <c r="C18" s="2" t="s">
        <v>550</v>
      </c>
      <c r="D18" s="2" t="s">
        <v>941</v>
      </c>
      <c r="E18" s="4">
        <f>'Internal Zones'!I18</f>
        <v>68</v>
      </c>
      <c r="F18" s="8"/>
      <c r="G18" s="8"/>
      <c r="H18" s="8"/>
      <c r="I18" s="8"/>
      <c r="J18" s="8"/>
      <c r="K18" s="8"/>
      <c r="L18" s="8"/>
    </row>
    <row r="19" spans="1:12" x14ac:dyDescent="0.3">
      <c r="A19" s="2" t="s">
        <v>152</v>
      </c>
      <c r="B19" s="2" t="s">
        <v>240</v>
      </c>
      <c r="C19" s="2" t="s">
        <v>550</v>
      </c>
      <c r="D19" s="2" t="s">
        <v>941</v>
      </c>
      <c r="E19" s="4">
        <f>'Internal Zones'!I19</f>
        <v>74</v>
      </c>
      <c r="F19" s="8"/>
      <c r="G19" s="8"/>
      <c r="H19" s="8"/>
      <c r="I19" s="8"/>
      <c r="J19" s="8"/>
      <c r="K19" s="8"/>
      <c r="L19" s="8"/>
    </row>
    <row r="20" spans="1:12" x14ac:dyDescent="0.3">
      <c r="A20" s="2" t="s">
        <v>152</v>
      </c>
      <c r="B20" s="2" t="s">
        <v>153</v>
      </c>
      <c r="C20" s="2" t="s">
        <v>550</v>
      </c>
      <c r="D20" s="2" t="s">
        <v>941</v>
      </c>
      <c r="E20" s="4">
        <f>'Internal Zones'!I20</f>
        <v>78</v>
      </c>
      <c r="F20" s="8"/>
      <c r="G20" s="8"/>
      <c r="H20" s="8"/>
      <c r="I20" s="8"/>
      <c r="J20" s="8"/>
      <c r="K20" s="8"/>
      <c r="L20" s="8"/>
    </row>
    <row r="21" spans="1:12" x14ac:dyDescent="0.3">
      <c r="A21" s="2" t="s">
        <v>152</v>
      </c>
      <c r="B21" s="2" t="s">
        <v>190</v>
      </c>
      <c r="C21" s="2" t="s">
        <v>550</v>
      </c>
      <c r="D21" s="2" t="s">
        <v>941</v>
      </c>
      <c r="E21" s="4">
        <f>'Internal Zones'!I21</f>
        <v>62</v>
      </c>
      <c r="F21" s="8"/>
      <c r="G21" s="8"/>
      <c r="H21" s="8"/>
      <c r="I21" s="8"/>
      <c r="J21" s="8"/>
      <c r="K21" s="8"/>
      <c r="L21" s="8"/>
    </row>
    <row r="22" spans="1:12" x14ac:dyDescent="0.3">
      <c r="A22" s="2" t="s">
        <v>152</v>
      </c>
      <c r="B22" s="2" t="s">
        <v>159</v>
      </c>
      <c r="C22" s="2" t="s">
        <v>186</v>
      </c>
      <c r="D22" s="2" t="s">
        <v>944</v>
      </c>
      <c r="E22" s="4">
        <f>'Internal Zones'!I22</f>
        <v>70</v>
      </c>
      <c r="F22" s="8"/>
      <c r="G22" s="8"/>
      <c r="H22" s="8"/>
      <c r="I22" s="8"/>
      <c r="J22" s="8"/>
      <c r="K22" s="8"/>
      <c r="L22" s="8"/>
    </row>
    <row r="23" spans="1:12" x14ac:dyDescent="0.3">
      <c r="A23" s="2" t="s">
        <v>152</v>
      </c>
      <c r="B23" s="2" t="s">
        <v>172</v>
      </c>
      <c r="C23" s="2" t="s">
        <v>186</v>
      </c>
      <c r="D23" s="2" t="s">
        <v>944</v>
      </c>
      <c r="E23" s="4">
        <f>'Internal Zones'!I23</f>
        <v>56</v>
      </c>
      <c r="F23" s="8"/>
      <c r="G23" s="8"/>
      <c r="H23" s="8"/>
      <c r="I23" s="8"/>
      <c r="J23" s="8"/>
      <c r="K23" s="8"/>
      <c r="L23" s="8"/>
    </row>
    <row r="24" spans="1:12" x14ac:dyDescent="0.3">
      <c r="A24" s="2" t="s">
        <v>152</v>
      </c>
      <c r="B24" s="2" t="s">
        <v>240</v>
      </c>
      <c r="C24" s="2" t="s">
        <v>186</v>
      </c>
      <c r="D24" s="2" t="s">
        <v>944</v>
      </c>
      <c r="E24" s="4">
        <f>'Internal Zones'!I24</f>
        <v>42</v>
      </c>
      <c r="F24" s="8"/>
      <c r="G24" s="8"/>
      <c r="H24" s="8"/>
      <c r="I24" s="8"/>
      <c r="J24" s="8"/>
      <c r="K24" s="8"/>
      <c r="L24" s="8"/>
    </row>
    <row r="25" spans="1:12" x14ac:dyDescent="0.3">
      <c r="A25" s="2" t="s">
        <v>152</v>
      </c>
      <c r="B25" s="2" t="s">
        <v>153</v>
      </c>
      <c r="C25" s="2" t="s">
        <v>186</v>
      </c>
      <c r="D25" s="2" t="s">
        <v>944</v>
      </c>
      <c r="E25" s="4">
        <f>'Internal Zones'!I25</f>
        <v>36</v>
      </c>
      <c r="F25" s="8"/>
      <c r="G25" s="8"/>
      <c r="H25" s="8"/>
      <c r="I25" s="8"/>
      <c r="J25" s="8"/>
      <c r="K25" s="8"/>
      <c r="L25" s="8"/>
    </row>
    <row r="26" spans="1:12" x14ac:dyDescent="0.3">
      <c r="A26" s="2" t="s">
        <v>152</v>
      </c>
      <c r="B26" s="2" t="s">
        <v>190</v>
      </c>
      <c r="C26" s="2" t="s">
        <v>186</v>
      </c>
      <c r="D26" s="2" t="s">
        <v>944</v>
      </c>
      <c r="E26" s="4">
        <f>'Internal Zones'!I26</f>
        <v>48</v>
      </c>
      <c r="F26" s="8"/>
      <c r="G26" s="8"/>
      <c r="H26" s="8"/>
      <c r="I26" s="8"/>
      <c r="J26" s="8"/>
      <c r="K26" s="8"/>
      <c r="L26" s="8"/>
    </row>
    <row r="27" spans="1:12" x14ac:dyDescent="0.3">
      <c r="A27" s="2" t="s">
        <v>152</v>
      </c>
      <c r="B27" s="2" t="s">
        <v>159</v>
      </c>
      <c r="C27" s="2" t="s">
        <v>272</v>
      </c>
      <c r="D27" s="2" t="s">
        <v>947</v>
      </c>
      <c r="E27" s="4">
        <f>'Internal Zones'!I27</f>
        <v>174</v>
      </c>
      <c r="F27" s="8"/>
      <c r="G27" s="8"/>
      <c r="H27" s="8"/>
      <c r="I27" s="8"/>
      <c r="J27" s="8"/>
      <c r="K27" s="8"/>
      <c r="L27" s="8"/>
    </row>
    <row r="28" spans="1:12" x14ac:dyDescent="0.3">
      <c r="A28" s="2" t="s">
        <v>152</v>
      </c>
      <c r="B28" s="2" t="s">
        <v>172</v>
      </c>
      <c r="C28" s="2" t="s">
        <v>272</v>
      </c>
      <c r="D28" s="2" t="s">
        <v>947</v>
      </c>
      <c r="E28" s="4">
        <f>'Internal Zones'!I28</f>
        <v>178</v>
      </c>
      <c r="F28" s="8"/>
      <c r="G28" s="8"/>
      <c r="H28" s="8"/>
      <c r="I28" s="8"/>
      <c r="J28" s="8"/>
      <c r="K28" s="8"/>
      <c r="L28" s="8"/>
    </row>
    <row r="29" spans="1:12" x14ac:dyDescent="0.3">
      <c r="A29" s="2" t="s">
        <v>152</v>
      </c>
      <c r="B29" s="2" t="s">
        <v>240</v>
      </c>
      <c r="C29" s="2" t="s">
        <v>272</v>
      </c>
      <c r="D29" s="2" t="s">
        <v>947</v>
      </c>
      <c r="E29" s="4">
        <f>'Internal Zones'!I29</f>
        <v>192</v>
      </c>
      <c r="F29" s="8"/>
      <c r="G29" s="8"/>
      <c r="H29" s="8"/>
      <c r="I29" s="8"/>
      <c r="J29" s="8"/>
      <c r="K29" s="8"/>
      <c r="L29" s="8"/>
    </row>
    <row r="30" spans="1:12" x14ac:dyDescent="0.3">
      <c r="A30" s="2" t="s">
        <v>152</v>
      </c>
      <c r="B30" s="2" t="s">
        <v>153</v>
      </c>
      <c r="C30" s="2" t="s">
        <v>272</v>
      </c>
      <c r="D30" s="2" t="s">
        <v>947</v>
      </c>
      <c r="E30" s="4">
        <f>'Internal Zones'!I30</f>
        <v>196</v>
      </c>
      <c r="F30" s="8"/>
      <c r="G30" s="8"/>
      <c r="H30" s="8"/>
      <c r="I30" s="8"/>
      <c r="J30" s="8"/>
      <c r="K30" s="8"/>
      <c r="L30" s="8"/>
    </row>
    <row r="31" spans="1:12" x14ac:dyDescent="0.3">
      <c r="A31" s="2" t="s">
        <v>152</v>
      </c>
      <c r="B31" s="2" t="s">
        <v>190</v>
      </c>
      <c r="C31" s="2" t="s">
        <v>272</v>
      </c>
      <c r="D31" s="2" t="s">
        <v>947</v>
      </c>
      <c r="E31" s="4">
        <f>'Internal Zones'!I31</f>
        <v>192</v>
      </c>
      <c r="F31" s="8"/>
      <c r="G31" s="8"/>
      <c r="H31" s="8"/>
      <c r="I31" s="8"/>
      <c r="J31" s="8"/>
      <c r="K31" s="8"/>
      <c r="L31" s="8"/>
    </row>
    <row r="32" spans="1:12" x14ac:dyDescent="0.3">
      <c r="A32" s="2" t="s">
        <v>161</v>
      </c>
      <c r="B32" s="2" t="s">
        <v>950</v>
      </c>
      <c r="C32" s="2" t="s">
        <v>951</v>
      </c>
      <c r="D32" s="2" t="s">
        <v>952</v>
      </c>
      <c r="E32" s="4">
        <f>'Internal Zones'!I32</f>
        <v>18</v>
      </c>
      <c r="F32" s="8"/>
      <c r="G32" s="8"/>
      <c r="H32" s="8"/>
      <c r="I32" s="8"/>
      <c r="J32" s="8"/>
      <c r="K32" s="8"/>
      <c r="L32" s="8"/>
    </row>
    <row r="33" spans="1:12" x14ac:dyDescent="0.3">
      <c r="A33" s="2" t="s">
        <v>161</v>
      </c>
      <c r="B33" s="2" t="s">
        <v>950</v>
      </c>
      <c r="C33" s="2" t="s">
        <v>709</v>
      </c>
      <c r="D33" s="2" t="s">
        <v>955</v>
      </c>
      <c r="E33" s="4">
        <f>'Internal Zones'!I33</f>
        <v>6</v>
      </c>
      <c r="F33" s="8"/>
      <c r="G33" s="8"/>
      <c r="H33" s="8"/>
      <c r="I33" s="8"/>
      <c r="J33" s="8"/>
      <c r="K33" s="8"/>
      <c r="L33" s="8"/>
    </row>
    <row r="34" spans="1:12" x14ac:dyDescent="0.3">
      <c r="A34" s="2" t="s">
        <v>161</v>
      </c>
      <c r="B34" s="2" t="s">
        <v>950</v>
      </c>
      <c r="C34" s="2" t="s">
        <v>692</v>
      </c>
      <c r="D34" s="2" t="s">
        <v>957</v>
      </c>
      <c r="E34" s="4">
        <f>'Internal Zones'!I34</f>
        <v>22</v>
      </c>
      <c r="F34" s="8"/>
      <c r="G34" s="8"/>
      <c r="H34" s="8"/>
      <c r="I34" s="8"/>
      <c r="J34" s="8"/>
      <c r="K34" s="8"/>
      <c r="L34" s="8"/>
    </row>
    <row r="35" spans="1:12" x14ac:dyDescent="0.3">
      <c r="A35" s="2" t="s">
        <v>161</v>
      </c>
      <c r="B35" s="2" t="s">
        <v>950</v>
      </c>
      <c r="C35" s="2" t="s">
        <v>687</v>
      </c>
      <c r="D35" s="2" t="s">
        <v>960</v>
      </c>
      <c r="E35" s="4">
        <f>'Internal Zones'!I35</f>
        <v>44</v>
      </c>
      <c r="F35" s="8"/>
      <c r="G35" s="8"/>
      <c r="H35" s="8"/>
      <c r="I35" s="8"/>
      <c r="J35" s="8"/>
      <c r="K35" s="8"/>
      <c r="L35" s="8"/>
    </row>
    <row r="36" spans="1:12" x14ac:dyDescent="0.3">
      <c r="A36" s="2" t="s">
        <v>161</v>
      </c>
      <c r="B36" s="2" t="s">
        <v>950</v>
      </c>
      <c r="C36" s="2" t="s">
        <v>695</v>
      </c>
      <c r="D36" s="2" t="s">
        <v>962</v>
      </c>
      <c r="E36" s="4">
        <f>'Internal Zones'!I36</f>
        <v>24</v>
      </c>
      <c r="F36" s="8"/>
      <c r="G36" s="8"/>
      <c r="H36" s="8"/>
      <c r="I36" s="8"/>
      <c r="J36" s="8"/>
      <c r="K36" s="8"/>
      <c r="L36" s="8"/>
    </row>
    <row r="37" spans="1:12" x14ac:dyDescent="0.3">
      <c r="A37" s="2" t="s">
        <v>44</v>
      </c>
      <c r="B37" s="2" t="s">
        <v>965</v>
      </c>
      <c r="C37" s="2" t="s">
        <v>801</v>
      </c>
      <c r="D37" s="2" t="s">
        <v>966</v>
      </c>
      <c r="E37" s="4">
        <f>'Internal Zones'!I37</f>
        <v>6</v>
      </c>
      <c r="F37" s="8"/>
      <c r="G37" s="8"/>
      <c r="H37" s="8"/>
      <c r="I37" s="8"/>
      <c r="J37" s="8"/>
      <c r="K37" s="8"/>
      <c r="L37" s="8"/>
    </row>
    <row r="38" spans="1:12" x14ac:dyDescent="0.3">
      <c r="A38" s="2" t="s">
        <v>44</v>
      </c>
      <c r="B38" s="2" t="s">
        <v>965</v>
      </c>
      <c r="C38" s="2" t="s">
        <v>811</v>
      </c>
      <c r="D38" s="2" t="s">
        <v>968</v>
      </c>
      <c r="E38" s="4">
        <f>'Internal Zones'!I38</f>
        <v>24</v>
      </c>
      <c r="F38" s="8"/>
      <c r="G38" s="8"/>
      <c r="H38" s="8"/>
      <c r="I38" s="8"/>
      <c r="J38" s="8"/>
      <c r="K38" s="8"/>
      <c r="L38" s="8"/>
    </row>
    <row r="39" spans="1:12" x14ac:dyDescent="0.3">
      <c r="A39" s="2" t="s">
        <v>44</v>
      </c>
      <c r="B39" s="2" t="s">
        <v>965</v>
      </c>
      <c r="C39" s="2" t="s">
        <v>798</v>
      </c>
      <c r="D39" s="2" t="s">
        <v>970</v>
      </c>
      <c r="E39" s="4">
        <f>'Internal Zones'!I39</f>
        <v>18</v>
      </c>
      <c r="F39" s="8"/>
      <c r="G39" s="8"/>
      <c r="H39" s="8"/>
      <c r="I39" s="8"/>
      <c r="J39" s="8"/>
      <c r="K39" s="8"/>
      <c r="L39" s="8"/>
    </row>
    <row r="40" spans="1:12" x14ac:dyDescent="0.3">
      <c r="A40" s="2" t="s">
        <v>44</v>
      </c>
      <c r="B40" s="2" t="s">
        <v>965</v>
      </c>
      <c r="C40" s="2" t="s">
        <v>769</v>
      </c>
      <c r="D40" s="2" t="s">
        <v>973</v>
      </c>
      <c r="E40" s="4">
        <f>'Internal Zones'!I40</f>
        <v>42</v>
      </c>
      <c r="F40" s="8"/>
      <c r="G40" s="8"/>
      <c r="H40" s="8"/>
      <c r="I40" s="8"/>
      <c r="J40" s="8"/>
      <c r="K40" s="8"/>
      <c r="L40" s="8"/>
    </row>
    <row r="41" spans="1:12" x14ac:dyDescent="0.3">
      <c r="A41" s="2" t="s">
        <v>44</v>
      </c>
      <c r="B41" s="2" t="s">
        <v>965</v>
      </c>
      <c r="C41" s="2" t="s">
        <v>764</v>
      </c>
      <c r="D41" s="2" t="s">
        <v>974</v>
      </c>
      <c r="E41" s="4">
        <f>'Internal Zones'!I41</f>
        <v>56</v>
      </c>
      <c r="F41" s="8"/>
      <c r="G41" s="8"/>
      <c r="H41" s="8"/>
      <c r="I41" s="8"/>
      <c r="J41" s="8"/>
      <c r="K41" s="8"/>
      <c r="L41" s="8"/>
    </row>
    <row r="42" spans="1:12" x14ac:dyDescent="0.3">
      <c r="A42" s="2" t="s">
        <v>44</v>
      </c>
      <c r="B42" s="2" t="s">
        <v>965</v>
      </c>
      <c r="C42" s="2" t="s">
        <v>761</v>
      </c>
      <c r="D42" s="2" t="s">
        <v>975</v>
      </c>
      <c r="E42" s="4">
        <f>'Internal Zones'!I42</f>
        <v>26</v>
      </c>
      <c r="F42" s="8"/>
      <c r="G42" s="8"/>
      <c r="H42" s="8"/>
      <c r="I42" s="8"/>
      <c r="J42" s="8"/>
      <c r="K42" s="8"/>
      <c r="L42" s="8"/>
    </row>
    <row r="43" spans="1:12" x14ac:dyDescent="0.3">
      <c r="A43" s="2" t="s">
        <v>27</v>
      </c>
      <c r="B43" s="2" t="s">
        <v>977</v>
      </c>
      <c r="C43" s="2" t="s">
        <v>978</v>
      </c>
      <c r="D43" s="2" t="s">
        <v>979</v>
      </c>
      <c r="E43" s="4">
        <f>'Internal Zones'!I43</f>
        <v>6</v>
      </c>
      <c r="F43" s="8"/>
      <c r="G43" s="8"/>
      <c r="H43" s="8"/>
      <c r="I43" s="8"/>
      <c r="J43" s="8"/>
      <c r="K43" s="8"/>
      <c r="L43" s="8"/>
    </row>
    <row r="44" spans="1:12" x14ac:dyDescent="0.3">
      <c r="A44" s="2" t="s">
        <v>27</v>
      </c>
      <c r="B44" s="2" t="s">
        <v>977</v>
      </c>
      <c r="C44" s="2" t="s">
        <v>982</v>
      </c>
      <c r="D44" s="2" t="s">
        <v>983</v>
      </c>
      <c r="E44" s="4">
        <f>'Internal Zones'!I44</f>
        <v>10</v>
      </c>
      <c r="F44" s="8"/>
      <c r="G44" s="8"/>
      <c r="H44" s="8"/>
      <c r="I44" s="8"/>
      <c r="J44" s="8"/>
      <c r="K44" s="8"/>
      <c r="L44" s="8"/>
    </row>
    <row r="45" spans="1:12" x14ac:dyDescent="0.3">
      <c r="A45" s="2" t="s">
        <v>27</v>
      </c>
      <c r="B45" s="2" t="s">
        <v>977</v>
      </c>
      <c r="C45" s="2" t="s">
        <v>986</v>
      </c>
      <c r="D45" s="2" t="s">
        <v>987</v>
      </c>
      <c r="E45" s="4">
        <f>'Internal Zones'!I45</f>
        <v>24</v>
      </c>
      <c r="F45" s="8"/>
      <c r="G45" s="8"/>
      <c r="H45" s="8"/>
      <c r="I45" s="8"/>
      <c r="J45" s="8"/>
      <c r="K45" s="8"/>
      <c r="L45" s="8"/>
    </row>
    <row r="46" spans="1:12" x14ac:dyDescent="0.3">
      <c r="A46" s="2" t="s">
        <v>27</v>
      </c>
      <c r="B46" s="2" t="s">
        <v>977</v>
      </c>
      <c r="C46" s="2" t="s">
        <v>990</v>
      </c>
      <c r="D46" s="2" t="s">
        <v>991</v>
      </c>
      <c r="E46" s="4">
        <f>'Internal Zones'!I46</f>
        <v>24</v>
      </c>
      <c r="F46" s="8"/>
      <c r="G46" s="8"/>
      <c r="H46" s="8"/>
      <c r="I46" s="8"/>
      <c r="J46" s="8"/>
      <c r="K46" s="8"/>
      <c r="L46" s="8"/>
    </row>
    <row r="47" spans="1:12" x14ac:dyDescent="0.3">
      <c r="A47" s="2" t="s">
        <v>27</v>
      </c>
      <c r="B47" s="2" t="s">
        <v>977</v>
      </c>
      <c r="C47" s="2" t="s">
        <v>994</v>
      </c>
      <c r="D47" s="2" t="s">
        <v>995</v>
      </c>
      <c r="E47" s="4">
        <f>'Internal Zones'!I47</f>
        <v>18</v>
      </c>
      <c r="F47" s="8"/>
      <c r="G47" s="8"/>
      <c r="H47" s="8"/>
      <c r="I47" s="8"/>
      <c r="J47" s="8"/>
      <c r="K47" s="8"/>
      <c r="L47" s="8"/>
    </row>
  </sheetData>
  <autoFilter ref="A1:L47" xr:uid="{00000000-0009-0000-0000-00000800000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304"/>
  <sheetViews>
    <sheetView zoomScaleNormal="100" workbookViewId="0">
      <pane xSplit="3" ySplit="1" topLeftCell="D2" activePane="bottomRight" state="frozen"/>
      <selection pane="topRight" activeCell="D1" sqref="D1"/>
      <selection pane="bottomLeft" activeCell="A2" sqref="A2"/>
      <selection pane="bottomRight" activeCell="E3" sqref="E3"/>
    </sheetView>
  </sheetViews>
  <sheetFormatPr defaultColWidth="8.6640625" defaultRowHeight="14.4" x14ac:dyDescent="0.3"/>
  <cols>
    <col min="1" max="1" width="12" customWidth="1"/>
    <col min="2" max="2" width="16" customWidth="1"/>
    <col min="3" max="3" width="30" customWidth="1"/>
    <col min="4" max="4" width="14" customWidth="1"/>
    <col min="5" max="5" width="15" customWidth="1"/>
    <col min="6" max="7" width="10" customWidth="1"/>
    <col min="8" max="8" width="11" customWidth="1"/>
    <col min="9" max="15" width="13" customWidth="1"/>
  </cols>
  <sheetData>
    <row r="1" spans="1:15" ht="33.75" customHeight="1" x14ac:dyDescent="0.3">
      <c r="A1" s="1" t="s">
        <v>7</v>
      </c>
      <c r="B1" s="1" t="s">
        <v>6</v>
      </c>
      <c r="C1" s="1" t="s">
        <v>903</v>
      </c>
      <c r="D1" s="1" t="s">
        <v>9</v>
      </c>
      <c r="E1" s="1" t="s">
        <v>904</v>
      </c>
      <c r="F1" s="1" t="s">
        <v>1256</v>
      </c>
      <c r="G1" s="1" t="s">
        <v>1257</v>
      </c>
      <c r="H1" s="1" t="s">
        <v>1258</v>
      </c>
      <c r="I1" s="1" t="s">
        <v>1249</v>
      </c>
      <c r="J1" s="1" t="s">
        <v>1250</v>
      </c>
      <c r="K1" s="1" t="s">
        <v>1251</v>
      </c>
      <c r="L1" s="1" t="s">
        <v>1252</v>
      </c>
      <c r="M1" s="1" t="s">
        <v>1253</v>
      </c>
      <c r="N1" s="1" t="s">
        <v>1254</v>
      </c>
      <c r="O1" s="1" t="s">
        <v>1255</v>
      </c>
    </row>
    <row r="2" spans="1:15" x14ac:dyDescent="0.3">
      <c r="A2" s="2" t="s">
        <v>44</v>
      </c>
      <c r="B2" s="2" t="s">
        <v>43</v>
      </c>
      <c r="C2" s="2" t="s">
        <v>727</v>
      </c>
      <c r="D2" s="2" t="s">
        <v>152</v>
      </c>
      <c r="E2" s="2" t="s">
        <v>38</v>
      </c>
      <c r="F2" s="3">
        <v>740</v>
      </c>
      <c r="G2" s="3">
        <v>740</v>
      </c>
      <c r="H2" s="4">
        <f t="shared" ref="H2:H65" si="0">IF(F2="","",F2+G2)</f>
        <v>1480</v>
      </c>
      <c r="I2" s="8"/>
      <c r="J2" s="8"/>
      <c r="K2" s="8"/>
      <c r="L2" s="8"/>
      <c r="M2" s="8"/>
      <c r="N2" s="8"/>
      <c r="O2" s="8"/>
    </row>
    <row r="3" spans="1:15" x14ac:dyDescent="0.3">
      <c r="A3" s="2" t="s">
        <v>44</v>
      </c>
      <c r="B3" s="2" t="s">
        <v>43</v>
      </c>
      <c r="C3" s="2" t="s">
        <v>292</v>
      </c>
      <c r="D3" s="2" t="s">
        <v>37</v>
      </c>
      <c r="E3" s="2" t="s">
        <v>38</v>
      </c>
      <c r="F3" s="3">
        <v>703</v>
      </c>
      <c r="G3" s="3">
        <v>703</v>
      </c>
      <c r="H3" s="4">
        <f t="shared" si="0"/>
        <v>1406</v>
      </c>
      <c r="I3" s="8"/>
      <c r="J3" s="8"/>
      <c r="K3" s="8"/>
      <c r="L3" s="8"/>
      <c r="M3" s="8"/>
      <c r="N3" s="8"/>
      <c r="O3" s="8"/>
    </row>
    <row r="4" spans="1:15" x14ac:dyDescent="0.3">
      <c r="A4" s="2" t="s">
        <v>44</v>
      </c>
      <c r="B4" s="2" t="s">
        <v>43</v>
      </c>
      <c r="C4" s="2" t="s">
        <v>25</v>
      </c>
      <c r="D4" s="2" t="s">
        <v>26</v>
      </c>
      <c r="E4" s="2" t="s">
        <v>38</v>
      </c>
      <c r="F4" s="3">
        <v>612</v>
      </c>
      <c r="G4" s="3">
        <v>612</v>
      </c>
      <c r="H4" s="4">
        <f t="shared" si="0"/>
        <v>1224</v>
      </c>
      <c r="I4" s="8"/>
      <c r="J4" s="8"/>
      <c r="K4" s="8"/>
      <c r="L4" s="8"/>
      <c r="M4" s="8"/>
      <c r="N4" s="8"/>
      <c r="O4" s="8"/>
    </row>
    <row r="5" spans="1:15" x14ac:dyDescent="0.3">
      <c r="A5" s="2" t="s">
        <v>44</v>
      </c>
      <c r="B5" s="2" t="s">
        <v>43</v>
      </c>
      <c r="C5" s="2" t="s">
        <v>160</v>
      </c>
      <c r="D5" s="2" t="s">
        <v>161</v>
      </c>
      <c r="E5" s="2" t="s">
        <v>133</v>
      </c>
      <c r="F5" s="3">
        <v>631</v>
      </c>
      <c r="G5" s="3">
        <v>631</v>
      </c>
      <c r="H5" s="4">
        <f t="shared" si="0"/>
        <v>1262</v>
      </c>
      <c r="I5" s="8"/>
      <c r="J5" s="8"/>
      <c r="K5" s="8"/>
      <c r="L5" s="8"/>
      <c r="M5" s="8"/>
      <c r="N5" s="8"/>
      <c r="O5" s="8"/>
    </row>
    <row r="6" spans="1:15" x14ac:dyDescent="0.3">
      <c r="A6" s="2" t="s">
        <v>44</v>
      </c>
      <c r="B6" s="2" t="s">
        <v>43</v>
      </c>
      <c r="C6" s="2" t="s">
        <v>174</v>
      </c>
      <c r="D6" s="2" t="s">
        <v>140</v>
      </c>
      <c r="E6" s="2" t="s">
        <v>133</v>
      </c>
      <c r="F6" s="3">
        <v>583</v>
      </c>
      <c r="G6" s="3">
        <v>583</v>
      </c>
      <c r="H6" s="4">
        <f t="shared" si="0"/>
        <v>1166</v>
      </c>
      <c r="I6" s="8"/>
      <c r="J6" s="8"/>
      <c r="K6" s="8"/>
      <c r="L6" s="8"/>
      <c r="M6" s="8"/>
      <c r="N6" s="8"/>
      <c r="O6" s="8"/>
    </row>
    <row r="7" spans="1:15" x14ac:dyDescent="0.3">
      <c r="A7" s="2" t="s">
        <v>44</v>
      </c>
      <c r="B7" s="2" t="s">
        <v>43</v>
      </c>
      <c r="C7" s="2" t="s">
        <v>246</v>
      </c>
      <c r="D7" s="2" t="s">
        <v>132</v>
      </c>
      <c r="E7" s="2" t="s">
        <v>133</v>
      </c>
      <c r="F7" s="3">
        <v>487</v>
      </c>
      <c r="G7" s="3">
        <v>487</v>
      </c>
      <c r="H7" s="4">
        <f t="shared" si="0"/>
        <v>974</v>
      </c>
      <c r="I7" s="8"/>
      <c r="J7" s="8"/>
      <c r="K7" s="8"/>
      <c r="L7" s="8"/>
      <c r="M7" s="8"/>
      <c r="N7" s="8"/>
      <c r="O7" s="8"/>
    </row>
    <row r="8" spans="1:15" x14ac:dyDescent="0.3">
      <c r="A8" s="2" t="s">
        <v>44</v>
      </c>
      <c r="B8" s="2" t="s">
        <v>43</v>
      </c>
      <c r="C8" s="2" t="s">
        <v>108</v>
      </c>
      <c r="D8" s="2" t="s">
        <v>82</v>
      </c>
      <c r="E8" s="2" t="s">
        <v>45</v>
      </c>
      <c r="F8" s="3">
        <v>338</v>
      </c>
      <c r="G8" s="3">
        <v>338</v>
      </c>
      <c r="H8" s="4">
        <f t="shared" si="0"/>
        <v>676</v>
      </c>
      <c r="I8" s="8"/>
      <c r="J8" s="8"/>
      <c r="K8" s="8"/>
      <c r="L8" s="8"/>
      <c r="M8" s="8"/>
      <c r="N8" s="8"/>
      <c r="O8" s="8"/>
    </row>
    <row r="9" spans="1:15" x14ac:dyDescent="0.3">
      <c r="A9" s="2" t="s">
        <v>44</v>
      </c>
      <c r="B9" s="2" t="s">
        <v>43</v>
      </c>
      <c r="C9" s="2" t="s">
        <v>89</v>
      </c>
      <c r="D9" s="2" t="s">
        <v>90</v>
      </c>
      <c r="E9" s="2" t="s">
        <v>45</v>
      </c>
      <c r="F9" s="3">
        <v>302</v>
      </c>
      <c r="G9" s="3">
        <v>302</v>
      </c>
      <c r="H9" s="4">
        <f t="shared" si="0"/>
        <v>604</v>
      </c>
      <c r="I9" s="8"/>
      <c r="J9" s="8"/>
      <c r="K9" s="8"/>
      <c r="L9" s="8"/>
      <c r="M9" s="8"/>
      <c r="N9" s="8"/>
      <c r="O9" s="8"/>
    </row>
    <row r="10" spans="1:15" x14ac:dyDescent="0.3">
      <c r="A10" s="2" t="s">
        <v>44</v>
      </c>
      <c r="B10" s="2" t="s">
        <v>43</v>
      </c>
      <c r="C10" s="2" t="s">
        <v>148</v>
      </c>
      <c r="D10" s="2" t="s">
        <v>82</v>
      </c>
      <c r="E10" s="2" t="s">
        <v>45</v>
      </c>
      <c r="F10" s="3">
        <v>285</v>
      </c>
      <c r="G10" s="3">
        <v>285</v>
      </c>
      <c r="H10" s="4">
        <f t="shared" si="0"/>
        <v>570</v>
      </c>
      <c r="I10" s="8"/>
      <c r="J10" s="8"/>
      <c r="K10" s="8"/>
      <c r="L10" s="8"/>
      <c r="M10" s="8"/>
      <c r="N10" s="8"/>
      <c r="O10" s="8"/>
    </row>
    <row r="11" spans="1:15" x14ac:dyDescent="0.3">
      <c r="A11" s="2" t="s">
        <v>44</v>
      </c>
      <c r="B11" s="2" t="s">
        <v>43</v>
      </c>
      <c r="C11" s="2" t="s">
        <v>390</v>
      </c>
      <c r="D11" s="2" t="s">
        <v>90</v>
      </c>
      <c r="E11" s="2" t="s">
        <v>45</v>
      </c>
      <c r="F11" s="3">
        <v>283</v>
      </c>
      <c r="G11" s="3">
        <v>283</v>
      </c>
      <c r="H11" s="4">
        <f t="shared" si="0"/>
        <v>566</v>
      </c>
      <c r="I11" s="8"/>
      <c r="J11" s="8"/>
      <c r="K11" s="8"/>
      <c r="L11" s="8"/>
      <c r="M11" s="8"/>
      <c r="N11" s="8"/>
      <c r="O11" s="8"/>
    </row>
    <row r="12" spans="1:15" x14ac:dyDescent="0.3">
      <c r="A12" s="2" t="s">
        <v>44</v>
      </c>
      <c r="B12" s="2" t="s">
        <v>43</v>
      </c>
      <c r="C12" s="2" t="s">
        <v>81</v>
      </c>
      <c r="D12" s="2" t="s">
        <v>82</v>
      </c>
      <c r="E12" s="2" t="s">
        <v>45</v>
      </c>
      <c r="F12" s="3">
        <v>241</v>
      </c>
      <c r="G12" s="3">
        <v>241</v>
      </c>
      <c r="H12" s="4">
        <f t="shared" si="0"/>
        <v>482</v>
      </c>
      <c r="I12" s="8"/>
      <c r="J12" s="8"/>
      <c r="K12" s="8"/>
      <c r="L12" s="8"/>
      <c r="M12" s="8"/>
      <c r="N12" s="8"/>
      <c r="O12" s="8"/>
    </row>
    <row r="13" spans="1:15" x14ac:dyDescent="0.3">
      <c r="A13" s="2" t="s">
        <v>44</v>
      </c>
      <c r="B13" s="2" t="s">
        <v>43</v>
      </c>
      <c r="C13" s="2" t="s">
        <v>743</v>
      </c>
      <c r="D13" s="2" t="s">
        <v>90</v>
      </c>
      <c r="E13" s="2" t="s">
        <v>45</v>
      </c>
      <c r="F13" s="3">
        <v>240</v>
      </c>
      <c r="G13" s="3">
        <v>240</v>
      </c>
      <c r="H13" s="4">
        <f t="shared" si="0"/>
        <v>480</v>
      </c>
      <c r="I13" s="8"/>
      <c r="J13" s="8"/>
      <c r="K13" s="8"/>
      <c r="L13" s="8"/>
      <c r="M13" s="8"/>
      <c r="N13" s="8"/>
      <c r="O13" s="8"/>
    </row>
    <row r="14" spans="1:15" x14ac:dyDescent="0.3">
      <c r="A14" s="2" t="s">
        <v>44</v>
      </c>
      <c r="B14" s="2" t="s">
        <v>43</v>
      </c>
      <c r="C14" s="2" t="s">
        <v>76</v>
      </c>
      <c r="D14" s="2" t="s">
        <v>77</v>
      </c>
      <c r="E14" s="2" t="s">
        <v>45</v>
      </c>
      <c r="F14" s="3">
        <v>229</v>
      </c>
      <c r="G14" s="3">
        <v>229</v>
      </c>
      <c r="H14" s="4">
        <f t="shared" si="0"/>
        <v>458</v>
      </c>
      <c r="I14" s="8"/>
      <c r="J14" s="8"/>
      <c r="K14" s="8"/>
      <c r="L14" s="8"/>
      <c r="M14" s="8"/>
      <c r="N14" s="8"/>
      <c r="O14" s="8"/>
    </row>
    <row r="15" spans="1:15" x14ac:dyDescent="0.3">
      <c r="A15" s="2" t="s">
        <v>44</v>
      </c>
      <c r="B15" s="2" t="s">
        <v>43</v>
      </c>
      <c r="C15" s="2" t="s">
        <v>750</v>
      </c>
      <c r="D15" s="2" t="s">
        <v>90</v>
      </c>
      <c r="E15" s="2" t="s">
        <v>45</v>
      </c>
      <c r="F15" s="3">
        <v>224</v>
      </c>
      <c r="G15" s="3">
        <v>224</v>
      </c>
      <c r="H15" s="4">
        <f t="shared" si="0"/>
        <v>448</v>
      </c>
      <c r="I15" s="8"/>
      <c r="J15" s="8"/>
      <c r="K15" s="8"/>
      <c r="L15" s="8"/>
      <c r="M15" s="8"/>
      <c r="N15" s="8"/>
      <c r="O15" s="8"/>
    </row>
    <row r="16" spans="1:15" x14ac:dyDescent="0.3">
      <c r="A16" s="2" t="s">
        <v>44</v>
      </c>
      <c r="B16" s="2" t="s">
        <v>43</v>
      </c>
      <c r="C16" s="2" t="s">
        <v>99</v>
      </c>
      <c r="D16" s="2" t="s">
        <v>90</v>
      </c>
      <c r="E16" s="2" t="s">
        <v>45</v>
      </c>
      <c r="F16" s="3">
        <v>211</v>
      </c>
      <c r="G16" s="3">
        <v>211</v>
      </c>
      <c r="H16" s="4">
        <f t="shared" si="0"/>
        <v>422</v>
      </c>
      <c r="I16" s="8"/>
      <c r="J16" s="8"/>
      <c r="K16" s="8"/>
      <c r="L16" s="8"/>
      <c r="M16" s="8"/>
      <c r="N16" s="8"/>
      <c r="O16" s="8"/>
    </row>
    <row r="17" spans="1:15" x14ac:dyDescent="0.3">
      <c r="A17" s="2" t="s">
        <v>44</v>
      </c>
      <c r="B17" s="2" t="s">
        <v>43</v>
      </c>
      <c r="C17" s="2" t="s">
        <v>87</v>
      </c>
      <c r="D17" s="2" t="s">
        <v>48</v>
      </c>
      <c r="E17" s="2" t="s">
        <v>45</v>
      </c>
      <c r="F17" s="3">
        <v>211</v>
      </c>
      <c r="G17" s="3">
        <v>211</v>
      </c>
      <c r="H17" s="4">
        <f t="shared" si="0"/>
        <v>422</v>
      </c>
      <c r="I17" s="8"/>
      <c r="J17" s="8"/>
      <c r="K17" s="8"/>
      <c r="L17" s="8"/>
      <c r="M17" s="8"/>
      <c r="N17" s="8"/>
      <c r="O17" s="8"/>
    </row>
    <row r="18" spans="1:15" x14ac:dyDescent="0.3">
      <c r="A18" s="2" t="s">
        <v>44</v>
      </c>
      <c r="B18" s="2" t="s">
        <v>43</v>
      </c>
      <c r="C18" s="2" t="s">
        <v>84</v>
      </c>
      <c r="D18" s="2" t="s">
        <v>35</v>
      </c>
      <c r="E18" s="2" t="s">
        <v>45</v>
      </c>
      <c r="F18" s="3">
        <v>167</v>
      </c>
      <c r="G18" s="3">
        <v>167</v>
      </c>
      <c r="H18" s="4">
        <f t="shared" si="0"/>
        <v>334</v>
      </c>
      <c r="I18" s="8"/>
      <c r="J18" s="8"/>
      <c r="K18" s="8"/>
      <c r="L18" s="8"/>
      <c r="M18" s="8"/>
      <c r="N18" s="8"/>
      <c r="O18" s="8"/>
    </row>
    <row r="19" spans="1:15" x14ac:dyDescent="0.3">
      <c r="A19" s="2" t="s">
        <v>44</v>
      </c>
      <c r="B19" s="2" t="s">
        <v>43</v>
      </c>
      <c r="C19" s="2" t="s">
        <v>62</v>
      </c>
      <c r="D19" s="2" t="s">
        <v>48</v>
      </c>
      <c r="E19" s="2" t="s">
        <v>45</v>
      </c>
      <c r="F19" s="3">
        <v>157</v>
      </c>
      <c r="G19" s="3">
        <v>157</v>
      </c>
      <c r="H19" s="4">
        <f t="shared" si="0"/>
        <v>314</v>
      </c>
      <c r="I19" s="8"/>
      <c r="J19" s="8"/>
      <c r="K19" s="8"/>
      <c r="L19" s="8"/>
      <c r="M19" s="8"/>
      <c r="N19" s="8"/>
      <c r="O19" s="8"/>
    </row>
    <row r="20" spans="1:15" x14ac:dyDescent="0.3">
      <c r="A20" s="2" t="s">
        <v>44</v>
      </c>
      <c r="B20" s="2" t="s">
        <v>43</v>
      </c>
      <c r="C20" s="2" t="s">
        <v>34</v>
      </c>
      <c r="D20" s="2" t="s">
        <v>35</v>
      </c>
      <c r="E20" s="2" t="s">
        <v>45</v>
      </c>
      <c r="F20" s="3">
        <v>62</v>
      </c>
      <c r="G20" s="3">
        <v>62</v>
      </c>
      <c r="H20" s="4">
        <f t="shared" si="0"/>
        <v>124</v>
      </c>
      <c r="I20" s="8"/>
      <c r="J20" s="8"/>
      <c r="K20" s="8"/>
      <c r="L20" s="8"/>
      <c r="M20" s="8"/>
      <c r="N20" s="8"/>
      <c r="O20" s="8"/>
    </row>
    <row r="21" spans="1:15" x14ac:dyDescent="0.3">
      <c r="A21" s="2" t="s">
        <v>44</v>
      </c>
      <c r="B21" s="2" t="s">
        <v>43</v>
      </c>
      <c r="C21" s="2" t="s">
        <v>47</v>
      </c>
      <c r="D21" s="2" t="s">
        <v>48</v>
      </c>
      <c r="E21" s="2" t="s">
        <v>45</v>
      </c>
      <c r="F21" s="3">
        <v>51</v>
      </c>
      <c r="G21" s="3">
        <v>51</v>
      </c>
      <c r="H21" s="4">
        <f t="shared" si="0"/>
        <v>102</v>
      </c>
      <c r="I21" s="8"/>
      <c r="J21" s="8"/>
      <c r="K21" s="8"/>
      <c r="L21" s="8"/>
      <c r="M21" s="8"/>
      <c r="N21" s="8"/>
      <c r="O21" s="8"/>
    </row>
    <row r="22" spans="1:15" x14ac:dyDescent="0.3">
      <c r="A22" s="2" t="s">
        <v>44</v>
      </c>
      <c r="B22" s="2" t="s">
        <v>43</v>
      </c>
      <c r="C22" s="2" t="s">
        <v>777</v>
      </c>
      <c r="D22" s="2" t="s">
        <v>35</v>
      </c>
      <c r="E22" s="2" t="s">
        <v>45</v>
      </c>
      <c r="F22" s="3">
        <v>17</v>
      </c>
      <c r="G22" s="3">
        <v>17</v>
      </c>
      <c r="H22" s="4">
        <f t="shared" si="0"/>
        <v>34</v>
      </c>
      <c r="I22" s="8"/>
      <c r="J22" s="8"/>
      <c r="K22" s="8"/>
      <c r="L22" s="8"/>
      <c r="M22" s="8"/>
      <c r="N22" s="8"/>
      <c r="O22" s="8"/>
    </row>
    <row r="23" spans="1:15" x14ac:dyDescent="0.3">
      <c r="A23" s="2" t="s">
        <v>44</v>
      </c>
      <c r="B23" s="2" t="s">
        <v>43</v>
      </c>
      <c r="C23" s="2" t="s">
        <v>119</v>
      </c>
      <c r="D23" s="2" t="s">
        <v>120</v>
      </c>
      <c r="E23" s="2" t="s">
        <v>54</v>
      </c>
      <c r="F23" s="3">
        <v>921</v>
      </c>
      <c r="G23" s="3">
        <v>921</v>
      </c>
      <c r="H23" s="4">
        <f t="shared" si="0"/>
        <v>1842</v>
      </c>
      <c r="I23" s="8"/>
      <c r="J23" s="8"/>
      <c r="K23" s="8"/>
      <c r="L23" s="8"/>
      <c r="M23" s="8"/>
      <c r="N23" s="8"/>
      <c r="O23" s="8"/>
    </row>
    <row r="24" spans="1:15" x14ac:dyDescent="0.3">
      <c r="A24" s="2" t="s">
        <v>44</v>
      </c>
      <c r="B24" s="2" t="s">
        <v>43</v>
      </c>
      <c r="C24" s="2" t="s">
        <v>113</v>
      </c>
      <c r="D24" s="2" t="s">
        <v>73</v>
      </c>
      <c r="E24" s="2" t="s">
        <v>54</v>
      </c>
      <c r="F24" s="3">
        <v>860</v>
      </c>
      <c r="G24" s="3">
        <v>860</v>
      </c>
      <c r="H24" s="4">
        <f t="shared" si="0"/>
        <v>1720</v>
      </c>
      <c r="I24" s="8"/>
      <c r="J24" s="8"/>
      <c r="K24" s="8"/>
      <c r="L24" s="8"/>
      <c r="M24" s="8"/>
      <c r="N24" s="8"/>
      <c r="O24" s="8"/>
    </row>
    <row r="25" spans="1:15" x14ac:dyDescent="0.3">
      <c r="A25" s="2" t="s">
        <v>44</v>
      </c>
      <c r="B25" s="2" t="s">
        <v>43</v>
      </c>
      <c r="C25" s="2" t="s">
        <v>724</v>
      </c>
      <c r="D25" s="2" t="s">
        <v>111</v>
      </c>
      <c r="E25" s="2" t="s">
        <v>54</v>
      </c>
      <c r="F25" s="3">
        <v>762</v>
      </c>
      <c r="G25" s="3">
        <v>762</v>
      </c>
      <c r="H25" s="4">
        <f t="shared" si="0"/>
        <v>1524</v>
      </c>
      <c r="I25" s="8"/>
      <c r="J25" s="8"/>
      <c r="K25" s="8"/>
      <c r="L25" s="8"/>
      <c r="M25" s="8"/>
      <c r="N25" s="8"/>
      <c r="O25" s="8"/>
    </row>
    <row r="26" spans="1:15" x14ac:dyDescent="0.3">
      <c r="A26" s="2" t="s">
        <v>44</v>
      </c>
      <c r="B26" s="2" t="s">
        <v>43</v>
      </c>
      <c r="C26" s="2" t="s">
        <v>72</v>
      </c>
      <c r="D26" s="2" t="s">
        <v>73</v>
      </c>
      <c r="E26" s="2" t="s">
        <v>54</v>
      </c>
      <c r="F26" s="3">
        <v>730</v>
      </c>
      <c r="G26" s="3">
        <v>730</v>
      </c>
      <c r="H26" s="4">
        <f t="shared" si="0"/>
        <v>1460</v>
      </c>
      <c r="I26" s="8"/>
      <c r="J26" s="8"/>
      <c r="K26" s="8"/>
      <c r="L26" s="8"/>
      <c r="M26" s="8"/>
      <c r="N26" s="8"/>
      <c r="O26" s="8"/>
    </row>
    <row r="27" spans="1:15" x14ac:dyDescent="0.3">
      <c r="A27" s="2" t="s">
        <v>44</v>
      </c>
      <c r="B27" s="2" t="s">
        <v>43</v>
      </c>
      <c r="C27" s="2" t="s">
        <v>56</v>
      </c>
      <c r="D27" s="2" t="s">
        <v>53</v>
      </c>
      <c r="E27" s="2" t="s">
        <v>54</v>
      </c>
      <c r="F27" s="3">
        <v>565</v>
      </c>
      <c r="G27" s="3">
        <v>565</v>
      </c>
      <c r="H27" s="4">
        <f t="shared" si="0"/>
        <v>1130</v>
      </c>
      <c r="I27" s="8"/>
      <c r="J27" s="8"/>
      <c r="K27" s="8"/>
      <c r="L27" s="8"/>
      <c r="M27" s="8"/>
      <c r="N27" s="8"/>
      <c r="O27" s="8"/>
    </row>
    <row r="28" spans="1:15" x14ac:dyDescent="0.3">
      <c r="A28" s="2" t="s">
        <v>44</v>
      </c>
      <c r="B28" s="2" t="s">
        <v>43</v>
      </c>
      <c r="C28" s="2" t="s">
        <v>60</v>
      </c>
      <c r="D28" s="2" t="s">
        <v>60</v>
      </c>
      <c r="E28" s="2" t="s">
        <v>54</v>
      </c>
      <c r="F28" s="3">
        <v>565</v>
      </c>
      <c r="G28" s="3">
        <v>565</v>
      </c>
      <c r="H28" s="4">
        <f t="shared" si="0"/>
        <v>1130</v>
      </c>
      <c r="I28" s="8"/>
      <c r="J28" s="8"/>
      <c r="K28" s="8"/>
      <c r="L28" s="8"/>
      <c r="M28" s="8"/>
      <c r="N28" s="8"/>
      <c r="O28" s="8"/>
    </row>
    <row r="29" spans="1:15" x14ac:dyDescent="0.3">
      <c r="A29" s="2" t="s">
        <v>44</v>
      </c>
      <c r="B29" s="2" t="s">
        <v>43</v>
      </c>
      <c r="C29" s="2" t="s">
        <v>70</v>
      </c>
      <c r="D29" s="2" t="s">
        <v>70</v>
      </c>
      <c r="E29" s="2" t="s">
        <v>54</v>
      </c>
      <c r="F29" s="3">
        <v>389</v>
      </c>
      <c r="G29" s="3">
        <v>389</v>
      </c>
      <c r="H29" s="4">
        <f t="shared" si="0"/>
        <v>778</v>
      </c>
      <c r="I29" s="8"/>
      <c r="J29" s="8"/>
      <c r="K29" s="8"/>
      <c r="L29" s="8"/>
      <c r="M29" s="8"/>
      <c r="N29" s="8"/>
      <c r="O29" s="8"/>
    </row>
    <row r="30" spans="1:15" x14ac:dyDescent="0.3">
      <c r="A30" s="2" t="s">
        <v>44</v>
      </c>
      <c r="B30" s="2" t="s">
        <v>43</v>
      </c>
      <c r="C30" s="2" t="s">
        <v>401</v>
      </c>
      <c r="D30" s="2" t="s">
        <v>104</v>
      </c>
      <c r="E30" s="2" t="s">
        <v>28</v>
      </c>
      <c r="F30" s="3">
        <v>694</v>
      </c>
      <c r="G30" s="3">
        <v>694</v>
      </c>
      <c r="H30" s="4">
        <f t="shared" si="0"/>
        <v>1388</v>
      </c>
      <c r="I30" s="8"/>
      <c r="J30" s="8"/>
      <c r="K30" s="8"/>
      <c r="L30" s="8"/>
      <c r="M30" s="8"/>
      <c r="N30" s="8"/>
      <c r="O30" s="8"/>
    </row>
    <row r="31" spans="1:15" x14ac:dyDescent="0.3">
      <c r="A31" s="2" t="s">
        <v>44</v>
      </c>
      <c r="B31" s="2" t="s">
        <v>43</v>
      </c>
      <c r="C31" s="2" t="s">
        <v>50</v>
      </c>
      <c r="D31" s="2" t="s">
        <v>50</v>
      </c>
      <c r="E31" s="2" t="s">
        <v>28</v>
      </c>
      <c r="F31" s="3">
        <v>676</v>
      </c>
      <c r="G31" s="3">
        <v>676</v>
      </c>
      <c r="H31" s="4">
        <f t="shared" si="0"/>
        <v>1352</v>
      </c>
      <c r="I31" s="8"/>
      <c r="J31" s="8"/>
      <c r="K31" s="8"/>
      <c r="L31" s="8"/>
      <c r="M31" s="8"/>
      <c r="N31" s="8"/>
      <c r="O31" s="8"/>
    </row>
    <row r="32" spans="1:15" x14ac:dyDescent="0.3">
      <c r="A32" s="2" t="s">
        <v>44</v>
      </c>
      <c r="B32" s="2" t="s">
        <v>43</v>
      </c>
      <c r="C32" s="2" t="s">
        <v>737</v>
      </c>
      <c r="D32" s="2" t="s">
        <v>93</v>
      </c>
      <c r="E32" s="2" t="s">
        <v>28</v>
      </c>
      <c r="F32" s="3">
        <v>476</v>
      </c>
      <c r="G32" s="3">
        <v>476</v>
      </c>
      <c r="H32" s="4">
        <f t="shared" si="0"/>
        <v>952</v>
      </c>
      <c r="I32" s="8"/>
      <c r="J32" s="8"/>
      <c r="K32" s="8"/>
      <c r="L32" s="8"/>
      <c r="M32" s="8"/>
      <c r="N32" s="8"/>
      <c r="O32" s="8"/>
    </row>
    <row r="33" spans="1:15" x14ac:dyDescent="0.3">
      <c r="A33" s="2" t="s">
        <v>44</v>
      </c>
      <c r="B33" s="2" t="s">
        <v>43</v>
      </c>
      <c r="C33" s="2" t="s">
        <v>27</v>
      </c>
      <c r="D33" s="2" t="s">
        <v>27</v>
      </c>
      <c r="E33" s="2" t="s">
        <v>28</v>
      </c>
      <c r="F33" s="3">
        <v>460</v>
      </c>
      <c r="G33" s="3">
        <v>460</v>
      </c>
      <c r="H33" s="4">
        <f t="shared" si="0"/>
        <v>920</v>
      </c>
      <c r="I33" s="8"/>
      <c r="J33" s="8"/>
      <c r="K33" s="8"/>
      <c r="L33" s="8"/>
      <c r="M33" s="8"/>
      <c r="N33" s="8"/>
      <c r="O33" s="8"/>
    </row>
    <row r="34" spans="1:15" x14ac:dyDescent="0.3">
      <c r="A34" s="2" t="s">
        <v>44</v>
      </c>
      <c r="B34" s="2" t="s">
        <v>43</v>
      </c>
      <c r="C34" s="2" t="s">
        <v>65</v>
      </c>
      <c r="D34" s="2" t="s">
        <v>65</v>
      </c>
      <c r="E34" s="2" t="s">
        <v>28</v>
      </c>
      <c r="F34" s="3">
        <v>212</v>
      </c>
      <c r="G34" s="3">
        <v>212</v>
      </c>
      <c r="H34" s="4">
        <f t="shared" si="0"/>
        <v>424</v>
      </c>
      <c r="I34" s="8"/>
      <c r="J34" s="8"/>
      <c r="K34" s="8"/>
      <c r="L34" s="8"/>
      <c r="M34" s="8"/>
      <c r="N34" s="8"/>
      <c r="O34" s="8"/>
    </row>
    <row r="35" spans="1:15" x14ac:dyDescent="0.3">
      <c r="A35" s="2" t="s">
        <v>152</v>
      </c>
      <c r="B35" s="2" t="s">
        <v>153</v>
      </c>
      <c r="C35" s="2" t="s">
        <v>142</v>
      </c>
      <c r="D35" s="2" t="s">
        <v>143</v>
      </c>
      <c r="E35" s="2" t="s">
        <v>137</v>
      </c>
      <c r="F35" s="3">
        <v>483</v>
      </c>
      <c r="G35" s="3">
        <v>483</v>
      </c>
      <c r="H35" s="4">
        <f t="shared" si="0"/>
        <v>966</v>
      </c>
      <c r="I35" s="8"/>
      <c r="J35" s="8"/>
      <c r="K35" s="8"/>
      <c r="L35" s="8"/>
      <c r="M35" s="8"/>
      <c r="N35" s="8"/>
      <c r="O35" s="8"/>
    </row>
    <row r="36" spans="1:15" x14ac:dyDescent="0.3">
      <c r="A36" s="2" t="s">
        <v>152</v>
      </c>
      <c r="B36" s="2" t="s">
        <v>153</v>
      </c>
      <c r="C36" s="2" t="s">
        <v>43</v>
      </c>
      <c r="D36" s="2" t="s">
        <v>44</v>
      </c>
      <c r="E36" s="2" t="s">
        <v>45</v>
      </c>
      <c r="F36" s="3">
        <v>763</v>
      </c>
      <c r="G36" s="3">
        <v>763</v>
      </c>
      <c r="H36" s="4">
        <f t="shared" si="0"/>
        <v>1526</v>
      </c>
      <c r="I36" s="8"/>
      <c r="J36" s="8"/>
      <c r="K36" s="8"/>
      <c r="L36" s="8"/>
      <c r="M36" s="8"/>
      <c r="N36" s="8"/>
      <c r="O36" s="8"/>
    </row>
    <row r="37" spans="1:15" x14ac:dyDescent="0.3">
      <c r="A37" s="2" t="s">
        <v>152</v>
      </c>
      <c r="B37" s="2" t="s">
        <v>153</v>
      </c>
      <c r="C37" s="2" t="s">
        <v>113</v>
      </c>
      <c r="D37" s="2" t="s">
        <v>73</v>
      </c>
      <c r="E37" s="2" t="s">
        <v>54</v>
      </c>
      <c r="F37" s="3">
        <v>1527</v>
      </c>
      <c r="G37" s="3">
        <v>1527</v>
      </c>
      <c r="H37" s="4">
        <f t="shared" si="0"/>
        <v>3054</v>
      </c>
      <c r="I37" s="8"/>
      <c r="J37" s="8"/>
      <c r="K37" s="8"/>
      <c r="L37" s="8"/>
      <c r="M37" s="8"/>
      <c r="N37" s="8"/>
      <c r="O37" s="8"/>
    </row>
    <row r="38" spans="1:15" x14ac:dyDescent="0.3">
      <c r="A38" s="2" t="s">
        <v>152</v>
      </c>
      <c r="B38" s="2" t="s">
        <v>153</v>
      </c>
      <c r="C38" s="2" t="s">
        <v>72</v>
      </c>
      <c r="D38" s="2" t="s">
        <v>73</v>
      </c>
      <c r="E38" s="2" t="s">
        <v>54</v>
      </c>
      <c r="F38" s="3">
        <v>1375</v>
      </c>
      <c r="G38" s="3">
        <v>1375</v>
      </c>
      <c r="H38" s="4">
        <f t="shared" si="0"/>
        <v>2750</v>
      </c>
      <c r="I38" s="8"/>
      <c r="J38" s="8"/>
      <c r="K38" s="8"/>
      <c r="L38" s="8"/>
      <c r="M38" s="8"/>
      <c r="N38" s="8"/>
      <c r="O38" s="8"/>
    </row>
    <row r="39" spans="1:15" x14ac:dyDescent="0.3">
      <c r="A39" s="2" t="s">
        <v>152</v>
      </c>
      <c r="B39" s="2" t="s">
        <v>153</v>
      </c>
      <c r="C39" s="2" t="s">
        <v>60</v>
      </c>
      <c r="D39" s="2" t="s">
        <v>60</v>
      </c>
      <c r="E39" s="2" t="s">
        <v>54</v>
      </c>
      <c r="F39" s="3">
        <v>1253</v>
      </c>
      <c r="G39" s="3">
        <v>1253</v>
      </c>
      <c r="H39" s="4">
        <f t="shared" si="0"/>
        <v>2506</v>
      </c>
      <c r="I39" s="8"/>
      <c r="J39" s="8"/>
      <c r="K39" s="8"/>
      <c r="L39" s="8"/>
      <c r="M39" s="8"/>
      <c r="N39" s="8"/>
      <c r="O39" s="8"/>
    </row>
    <row r="40" spans="1:15" x14ac:dyDescent="0.3">
      <c r="A40" s="2" t="s">
        <v>152</v>
      </c>
      <c r="B40" s="2" t="s">
        <v>153</v>
      </c>
      <c r="C40" s="2" t="s">
        <v>56</v>
      </c>
      <c r="D40" s="2" t="s">
        <v>53</v>
      </c>
      <c r="E40" s="2" t="s">
        <v>54</v>
      </c>
      <c r="F40" s="3">
        <v>1207</v>
      </c>
      <c r="G40" s="3">
        <v>1207</v>
      </c>
      <c r="H40" s="4">
        <f t="shared" si="0"/>
        <v>2414</v>
      </c>
      <c r="I40" s="8"/>
      <c r="J40" s="8"/>
      <c r="K40" s="8"/>
      <c r="L40" s="8"/>
      <c r="M40" s="8"/>
      <c r="N40" s="8"/>
      <c r="O40" s="8"/>
    </row>
    <row r="41" spans="1:15" x14ac:dyDescent="0.3">
      <c r="A41" s="2" t="s">
        <v>152</v>
      </c>
      <c r="B41" s="2" t="s">
        <v>153</v>
      </c>
      <c r="C41" s="2" t="s">
        <v>68</v>
      </c>
      <c r="D41" s="2" t="s">
        <v>68</v>
      </c>
      <c r="E41" s="2" t="s">
        <v>28</v>
      </c>
      <c r="F41" s="3">
        <v>1051</v>
      </c>
      <c r="G41" s="3">
        <v>1051</v>
      </c>
      <c r="H41" s="4">
        <f t="shared" si="0"/>
        <v>2102</v>
      </c>
      <c r="I41" s="8"/>
      <c r="J41" s="8"/>
      <c r="K41" s="8"/>
      <c r="L41" s="8"/>
      <c r="M41" s="8"/>
      <c r="N41" s="8"/>
      <c r="O41" s="8"/>
    </row>
    <row r="42" spans="1:15" x14ac:dyDescent="0.3">
      <c r="A42" s="2" t="s">
        <v>152</v>
      </c>
      <c r="B42" s="2" t="s">
        <v>153</v>
      </c>
      <c r="C42" s="2" t="s">
        <v>27</v>
      </c>
      <c r="D42" s="2" t="s">
        <v>27</v>
      </c>
      <c r="E42" s="2" t="s">
        <v>28</v>
      </c>
      <c r="F42" s="3">
        <v>1021</v>
      </c>
      <c r="G42" s="3">
        <v>1021</v>
      </c>
      <c r="H42" s="4">
        <f t="shared" si="0"/>
        <v>2042</v>
      </c>
      <c r="I42" s="8"/>
      <c r="J42" s="8"/>
      <c r="K42" s="8"/>
      <c r="L42" s="8"/>
      <c r="M42" s="8"/>
      <c r="N42" s="8"/>
      <c r="O42" s="8"/>
    </row>
    <row r="43" spans="1:15" x14ac:dyDescent="0.3">
      <c r="A43" s="2" t="s">
        <v>152</v>
      </c>
      <c r="B43" s="2" t="s">
        <v>153</v>
      </c>
      <c r="C43" s="2" t="s">
        <v>50</v>
      </c>
      <c r="D43" s="2" t="s">
        <v>50</v>
      </c>
      <c r="E43" s="2" t="s">
        <v>28</v>
      </c>
      <c r="F43" s="3">
        <v>928</v>
      </c>
      <c r="G43" s="3">
        <v>928</v>
      </c>
      <c r="H43" s="4">
        <f t="shared" si="0"/>
        <v>1856</v>
      </c>
      <c r="I43" s="8"/>
      <c r="J43" s="8"/>
      <c r="K43" s="8"/>
      <c r="L43" s="8"/>
      <c r="M43" s="8"/>
      <c r="N43" s="8"/>
      <c r="O43" s="8"/>
    </row>
    <row r="44" spans="1:15" x14ac:dyDescent="0.3">
      <c r="A44" s="2" t="s">
        <v>152</v>
      </c>
      <c r="B44" s="2" t="s">
        <v>153</v>
      </c>
      <c r="C44" s="2" t="s">
        <v>67</v>
      </c>
      <c r="D44" s="2" t="s">
        <v>68</v>
      </c>
      <c r="E44" s="2" t="s">
        <v>28</v>
      </c>
      <c r="F44" s="3">
        <v>868</v>
      </c>
      <c r="G44" s="3">
        <v>868</v>
      </c>
      <c r="H44" s="4">
        <f t="shared" si="0"/>
        <v>1736</v>
      </c>
      <c r="I44" s="8"/>
      <c r="J44" s="8"/>
      <c r="K44" s="8"/>
      <c r="L44" s="8"/>
      <c r="M44" s="8"/>
      <c r="N44" s="8"/>
      <c r="O44" s="8"/>
    </row>
    <row r="45" spans="1:15" x14ac:dyDescent="0.3">
      <c r="A45" s="2" t="s">
        <v>152</v>
      </c>
      <c r="B45" s="2" t="s">
        <v>153</v>
      </c>
      <c r="C45" s="2" t="s">
        <v>64</v>
      </c>
      <c r="D45" s="2" t="s">
        <v>65</v>
      </c>
      <c r="E45" s="2" t="s">
        <v>28</v>
      </c>
      <c r="F45" s="3">
        <v>858</v>
      </c>
      <c r="G45" s="3">
        <v>858</v>
      </c>
      <c r="H45" s="4">
        <f t="shared" si="0"/>
        <v>1716</v>
      </c>
      <c r="I45" s="8"/>
      <c r="J45" s="8"/>
      <c r="K45" s="8"/>
      <c r="L45" s="8"/>
      <c r="M45" s="8"/>
      <c r="N45" s="8"/>
      <c r="O45" s="8"/>
    </row>
    <row r="46" spans="1:15" x14ac:dyDescent="0.3">
      <c r="A46" s="2" t="s">
        <v>152</v>
      </c>
      <c r="B46" s="2" t="s">
        <v>153</v>
      </c>
      <c r="C46" s="2" t="s">
        <v>65</v>
      </c>
      <c r="D46" s="2" t="s">
        <v>65</v>
      </c>
      <c r="E46" s="2" t="s">
        <v>28</v>
      </c>
      <c r="F46" s="3">
        <v>779</v>
      </c>
      <c r="G46" s="3">
        <v>779</v>
      </c>
      <c r="H46" s="4">
        <f t="shared" si="0"/>
        <v>1558</v>
      </c>
      <c r="I46" s="8"/>
      <c r="J46" s="8"/>
      <c r="K46" s="8"/>
      <c r="L46" s="8"/>
      <c r="M46" s="8"/>
      <c r="N46" s="8"/>
      <c r="O46" s="8"/>
    </row>
    <row r="47" spans="1:15" x14ac:dyDescent="0.3">
      <c r="A47" s="2" t="s">
        <v>152</v>
      </c>
      <c r="B47" s="2" t="s">
        <v>172</v>
      </c>
      <c r="C47" s="2" t="s">
        <v>25</v>
      </c>
      <c r="D47" s="2" t="s">
        <v>26</v>
      </c>
      <c r="E47" s="2" t="s">
        <v>38</v>
      </c>
      <c r="F47" s="3">
        <v>156</v>
      </c>
      <c r="G47" s="3">
        <v>156</v>
      </c>
      <c r="H47" s="4">
        <f t="shared" si="0"/>
        <v>312</v>
      </c>
      <c r="I47" s="8"/>
      <c r="J47" s="8"/>
      <c r="K47" s="8"/>
      <c r="L47" s="8"/>
      <c r="M47" s="8"/>
      <c r="N47" s="8"/>
      <c r="O47" s="8"/>
    </row>
    <row r="48" spans="1:15" x14ac:dyDescent="0.3">
      <c r="A48" s="2" t="s">
        <v>152</v>
      </c>
      <c r="B48" s="2" t="s">
        <v>172</v>
      </c>
      <c r="C48" s="2" t="s">
        <v>212</v>
      </c>
      <c r="D48" s="2" t="s">
        <v>37</v>
      </c>
      <c r="E48" s="2" t="s">
        <v>38</v>
      </c>
      <c r="F48" s="3">
        <v>96</v>
      </c>
      <c r="G48" s="3">
        <v>96</v>
      </c>
      <c r="H48" s="4">
        <f t="shared" si="0"/>
        <v>192</v>
      </c>
      <c r="I48" s="8"/>
      <c r="J48" s="8"/>
      <c r="K48" s="8"/>
      <c r="L48" s="8"/>
      <c r="M48" s="8"/>
      <c r="N48" s="8"/>
      <c r="O48" s="8"/>
    </row>
    <row r="49" spans="1:15" x14ac:dyDescent="0.3">
      <c r="A49" s="2" t="s">
        <v>152</v>
      </c>
      <c r="B49" s="2" t="s">
        <v>172</v>
      </c>
      <c r="C49" s="2" t="s">
        <v>36</v>
      </c>
      <c r="D49" s="2" t="s">
        <v>37</v>
      </c>
      <c r="E49" s="2" t="s">
        <v>38</v>
      </c>
      <c r="F49" s="3">
        <v>83</v>
      </c>
      <c r="G49" s="3">
        <v>83</v>
      </c>
      <c r="H49" s="4">
        <f t="shared" si="0"/>
        <v>166</v>
      </c>
      <c r="I49" s="8"/>
      <c r="J49" s="8"/>
      <c r="K49" s="8"/>
      <c r="L49" s="8"/>
      <c r="M49" s="8"/>
      <c r="N49" s="8"/>
      <c r="O49" s="8"/>
    </row>
    <row r="50" spans="1:15" x14ac:dyDescent="0.3">
      <c r="A50" s="2" t="s">
        <v>152</v>
      </c>
      <c r="B50" s="2" t="s">
        <v>172</v>
      </c>
      <c r="C50" s="2" t="s">
        <v>208</v>
      </c>
      <c r="D50" s="2" t="s">
        <v>37</v>
      </c>
      <c r="E50" s="2" t="s">
        <v>38</v>
      </c>
      <c r="F50" s="3">
        <v>81</v>
      </c>
      <c r="G50" s="3">
        <v>81</v>
      </c>
      <c r="H50" s="4">
        <f t="shared" si="0"/>
        <v>162</v>
      </c>
      <c r="I50" s="8"/>
      <c r="J50" s="8"/>
      <c r="K50" s="8"/>
      <c r="L50" s="8"/>
      <c r="M50" s="8"/>
      <c r="N50" s="8"/>
      <c r="O50" s="8"/>
    </row>
    <row r="51" spans="1:15" x14ac:dyDescent="0.3">
      <c r="A51" s="2" t="s">
        <v>152</v>
      </c>
      <c r="B51" s="2" t="s">
        <v>172</v>
      </c>
      <c r="C51" s="2" t="s">
        <v>204</v>
      </c>
      <c r="D51" s="2" t="s">
        <v>37</v>
      </c>
      <c r="E51" s="2" t="s">
        <v>38</v>
      </c>
      <c r="F51" s="3">
        <v>70</v>
      </c>
      <c r="G51" s="3">
        <v>70</v>
      </c>
      <c r="H51" s="4">
        <f t="shared" si="0"/>
        <v>140</v>
      </c>
      <c r="I51" s="8"/>
      <c r="J51" s="8"/>
      <c r="K51" s="8"/>
      <c r="L51" s="8"/>
      <c r="M51" s="8"/>
      <c r="N51" s="8"/>
      <c r="O51" s="8"/>
    </row>
    <row r="52" spans="1:15" x14ac:dyDescent="0.3">
      <c r="A52" s="2" t="s">
        <v>152</v>
      </c>
      <c r="B52" s="2" t="s">
        <v>172</v>
      </c>
      <c r="C52" s="2" t="s">
        <v>206</v>
      </c>
      <c r="D52" s="2" t="s">
        <v>37</v>
      </c>
      <c r="E52" s="2" t="s">
        <v>38</v>
      </c>
      <c r="F52" s="3">
        <v>53</v>
      </c>
      <c r="G52" s="3">
        <v>53</v>
      </c>
      <c r="H52" s="4">
        <f t="shared" si="0"/>
        <v>106</v>
      </c>
      <c r="I52" s="8"/>
      <c r="J52" s="8"/>
      <c r="K52" s="8"/>
      <c r="L52" s="8"/>
      <c r="M52" s="8"/>
      <c r="N52" s="8"/>
      <c r="O52" s="8"/>
    </row>
    <row r="53" spans="1:15" x14ac:dyDescent="0.3">
      <c r="A53" s="2" t="s">
        <v>152</v>
      </c>
      <c r="B53" s="2" t="s">
        <v>172</v>
      </c>
      <c r="C53" s="2" t="s">
        <v>185</v>
      </c>
      <c r="D53" s="2" t="s">
        <v>37</v>
      </c>
      <c r="E53" s="2" t="s">
        <v>38</v>
      </c>
      <c r="F53" s="3">
        <v>43</v>
      </c>
      <c r="G53" s="3">
        <v>43</v>
      </c>
      <c r="H53" s="4">
        <f t="shared" si="0"/>
        <v>86</v>
      </c>
      <c r="I53" s="8"/>
      <c r="J53" s="8"/>
      <c r="K53" s="8"/>
      <c r="L53" s="8"/>
      <c r="M53" s="8"/>
      <c r="N53" s="8"/>
      <c r="O53" s="8"/>
    </row>
    <row r="54" spans="1:15" x14ac:dyDescent="0.3">
      <c r="A54" s="2" t="s">
        <v>152</v>
      </c>
      <c r="B54" s="2" t="s">
        <v>172</v>
      </c>
      <c r="C54" s="2" t="s">
        <v>192</v>
      </c>
      <c r="D54" s="2" t="s">
        <v>37</v>
      </c>
      <c r="E54" s="2" t="s">
        <v>38</v>
      </c>
      <c r="F54" s="3">
        <v>42</v>
      </c>
      <c r="G54" s="3">
        <v>42</v>
      </c>
      <c r="H54" s="4">
        <f t="shared" si="0"/>
        <v>84</v>
      </c>
      <c r="I54" s="8"/>
      <c r="J54" s="8"/>
      <c r="K54" s="8"/>
      <c r="L54" s="8"/>
      <c r="M54" s="8"/>
      <c r="N54" s="8"/>
      <c r="O54" s="8"/>
    </row>
    <row r="55" spans="1:15" x14ac:dyDescent="0.3">
      <c r="A55" s="2" t="s">
        <v>152</v>
      </c>
      <c r="B55" s="2" t="s">
        <v>172</v>
      </c>
      <c r="C55" s="2" t="s">
        <v>198</v>
      </c>
      <c r="D55" s="2" t="s">
        <v>37</v>
      </c>
      <c r="E55" s="2" t="s">
        <v>38</v>
      </c>
      <c r="F55" s="3">
        <v>39</v>
      </c>
      <c r="G55" s="3">
        <v>39</v>
      </c>
      <c r="H55" s="4">
        <f t="shared" si="0"/>
        <v>78</v>
      </c>
      <c r="I55" s="8"/>
      <c r="J55" s="8"/>
      <c r="K55" s="8"/>
      <c r="L55" s="8"/>
      <c r="M55" s="8"/>
      <c r="N55" s="8"/>
      <c r="O55" s="8"/>
    </row>
    <row r="56" spans="1:15" x14ac:dyDescent="0.3">
      <c r="A56" s="2" t="s">
        <v>152</v>
      </c>
      <c r="B56" s="2" t="s">
        <v>172</v>
      </c>
      <c r="C56" s="2" t="s">
        <v>235</v>
      </c>
      <c r="D56" s="2" t="s">
        <v>236</v>
      </c>
      <c r="E56" s="2" t="s">
        <v>133</v>
      </c>
      <c r="F56" s="3">
        <v>742</v>
      </c>
      <c r="G56" s="3">
        <v>742</v>
      </c>
      <c r="H56" s="4">
        <f t="shared" si="0"/>
        <v>1484</v>
      </c>
      <c r="I56" s="8"/>
      <c r="J56" s="8"/>
      <c r="K56" s="8"/>
      <c r="L56" s="8"/>
      <c r="M56" s="8"/>
      <c r="N56" s="8"/>
      <c r="O56" s="8"/>
    </row>
    <row r="57" spans="1:15" x14ac:dyDescent="0.3">
      <c r="A57" s="2" t="s">
        <v>152</v>
      </c>
      <c r="B57" s="2" t="s">
        <v>172</v>
      </c>
      <c r="C57" s="2" t="s">
        <v>365</v>
      </c>
      <c r="D57" s="2" t="s">
        <v>348</v>
      </c>
      <c r="E57" s="2" t="s">
        <v>133</v>
      </c>
      <c r="F57" s="3">
        <v>683</v>
      </c>
      <c r="G57" s="3">
        <v>683</v>
      </c>
      <c r="H57" s="4">
        <f t="shared" si="0"/>
        <v>1366</v>
      </c>
      <c r="I57" s="8"/>
      <c r="J57" s="8"/>
      <c r="K57" s="8"/>
      <c r="L57" s="8"/>
      <c r="M57" s="8"/>
      <c r="N57" s="8"/>
      <c r="O57" s="8"/>
    </row>
    <row r="58" spans="1:15" x14ac:dyDescent="0.3">
      <c r="A58" s="2" t="s">
        <v>152</v>
      </c>
      <c r="B58" s="2" t="s">
        <v>172</v>
      </c>
      <c r="C58" s="2" t="s">
        <v>347</v>
      </c>
      <c r="D58" s="2" t="s">
        <v>348</v>
      </c>
      <c r="E58" s="2" t="s">
        <v>133</v>
      </c>
      <c r="F58" s="3">
        <v>649</v>
      </c>
      <c r="G58" s="3">
        <v>649</v>
      </c>
      <c r="H58" s="4">
        <f t="shared" si="0"/>
        <v>1298</v>
      </c>
      <c r="I58" s="8"/>
      <c r="J58" s="8"/>
      <c r="K58" s="8"/>
      <c r="L58" s="8"/>
      <c r="M58" s="8"/>
      <c r="N58" s="8"/>
      <c r="O58" s="8"/>
    </row>
    <row r="59" spans="1:15" x14ac:dyDescent="0.3">
      <c r="A59" s="2" t="s">
        <v>152</v>
      </c>
      <c r="B59" s="2" t="s">
        <v>172</v>
      </c>
      <c r="C59" s="2" t="s">
        <v>160</v>
      </c>
      <c r="D59" s="2" t="s">
        <v>161</v>
      </c>
      <c r="E59" s="2" t="s">
        <v>133</v>
      </c>
      <c r="F59" s="3">
        <v>606</v>
      </c>
      <c r="G59" s="3">
        <v>606</v>
      </c>
      <c r="H59" s="4">
        <f t="shared" si="0"/>
        <v>1212</v>
      </c>
      <c r="I59" s="8"/>
      <c r="J59" s="8"/>
      <c r="K59" s="8"/>
      <c r="L59" s="8"/>
      <c r="M59" s="8"/>
      <c r="N59" s="8"/>
      <c r="O59" s="8"/>
    </row>
    <row r="60" spans="1:15" x14ac:dyDescent="0.3">
      <c r="A60" s="2" t="s">
        <v>152</v>
      </c>
      <c r="B60" s="2" t="s">
        <v>172</v>
      </c>
      <c r="C60" s="2" t="s">
        <v>352</v>
      </c>
      <c r="D60" s="2" t="s">
        <v>353</v>
      </c>
      <c r="E60" s="2" t="s">
        <v>133</v>
      </c>
      <c r="F60" s="3">
        <v>529</v>
      </c>
      <c r="G60" s="3">
        <v>529</v>
      </c>
      <c r="H60" s="4">
        <f t="shared" si="0"/>
        <v>1058</v>
      </c>
      <c r="I60" s="8"/>
      <c r="J60" s="8"/>
      <c r="K60" s="8"/>
      <c r="L60" s="8"/>
      <c r="M60" s="8"/>
      <c r="N60" s="8"/>
      <c r="O60" s="8"/>
    </row>
    <row r="61" spans="1:15" x14ac:dyDescent="0.3">
      <c r="A61" s="2" t="s">
        <v>152</v>
      </c>
      <c r="B61" s="2" t="s">
        <v>172</v>
      </c>
      <c r="C61" s="2" t="s">
        <v>458</v>
      </c>
      <c r="D61" s="2" t="s">
        <v>140</v>
      </c>
      <c r="E61" s="2" t="s">
        <v>133</v>
      </c>
      <c r="F61" s="3">
        <v>453</v>
      </c>
      <c r="G61" s="3">
        <v>453</v>
      </c>
      <c r="H61" s="4">
        <f t="shared" si="0"/>
        <v>906</v>
      </c>
      <c r="I61" s="8"/>
      <c r="J61" s="8"/>
      <c r="K61" s="8"/>
      <c r="L61" s="8"/>
      <c r="M61" s="8"/>
      <c r="N61" s="8"/>
      <c r="O61" s="8"/>
    </row>
    <row r="62" spans="1:15" x14ac:dyDescent="0.3">
      <c r="A62" s="2" t="s">
        <v>152</v>
      </c>
      <c r="B62" s="2" t="s">
        <v>172</v>
      </c>
      <c r="C62" s="2" t="s">
        <v>174</v>
      </c>
      <c r="D62" s="2" t="s">
        <v>140</v>
      </c>
      <c r="E62" s="2" t="s">
        <v>133</v>
      </c>
      <c r="F62" s="3">
        <v>425</v>
      </c>
      <c r="G62" s="3">
        <v>425</v>
      </c>
      <c r="H62" s="4">
        <f t="shared" si="0"/>
        <v>850</v>
      </c>
      <c r="I62" s="8"/>
      <c r="J62" s="8"/>
      <c r="K62" s="8"/>
      <c r="L62" s="8"/>
      <c r="M62" s="8"/>
      <c r="N62" s="8"/>
      <c r="O62" s="8"/>
    </row>
    <row r="63" spans="1:15" x14ac:dyDescent="0.3">
      <c r="A63" s="2" t="s">
        <v>152</v>
      </c>
      <c r="B63" s="2" t="s">
        <v>172</v>
      </c>
      <c r="C63" s="2" t="s">
        <v>145</v>
      </c>
      <c r="D63" s="2" t="s">
        <v>146</v>
      </c>
      <c r="E63" s="2" t="s">
        <v>137</v>
      </c>
      <c r="F63" s="3">
        <v>663</v>
      </c>
      <c r="G63" s="3">
        <v>663</v>
      </c>
      <c r="H63" s="4">
        <f t="shared" si="0"/>
        <v>1326</v>
      </c>
      <c r="I63" s="8"/>
      <c r="J63" s="8"/>
      <c r="K63" s="8"/>
      <c r="L63" s="8"/>
      <c r="M63" s="8"/>
      <c r="N63" s="8"/>
      <c r="O63" s="8"/>
    </row>
    <row r="64" spans="1:15" x14ac:dyDescent="0.3">
      <c r="A64" s="2" t="s">
        <v>152</v>
      </c>
      <c r="B64" s="2" t="s">
        <v>172</v>
      </c>
      <c r="C64" s="2" t="s">
        <v>135</v>
      </c>
      <c r="D64" s="2" t="s">
        <v>136</v>
      </c>
      <c r="E64" s="2" t="s">
        <v>137</v>
      </c>
      <c r="F64" s="3">
        <v>612</v>
      </c>
      <c r="G64" s="3">
        <v>612</v>
      </c>
      <c r="H64" s="4">
        <f t="shared" si="0"/>
        <v>1224</v>
      </c>
      <c r="I64" s="8"/>
      <c r="J64" s="8"/>
      <c r="K64" s="8"/>
      <c r="L64" s="8"/>
      <c r="M64" s="8"/>
      <c r="N64" s="8"/>
      <c r="O64" s="8"/>
    </row>
    <row r="65" spans="1:15" x14ac:dyDescent="0.3">
      <c r="A65" s="2" t="s">
        <v>152</v>
      </c>
      <c r="B65" s="2" t="s">
        <v>172</v>
      </c>
      <c r="C65" s="2" t="s">
        <v>358</v>
      </c>
      <c r="D65" s="2" t="s">
        <v>358</v>
      </c>
      <c r="E65" s="2" t="s">
        <v>137</v>
      </c>
      <c r="F65" s="3">
        <v>577</v>
      </c>
      <c r="G65" s="3">
        <v>577</v>
      </c>
      <c r="H65" s="4">
        <f t="shared" si="0"/>
        <v>1154</v>
      </c>
      <c r="I65" s="8"/>
      <c r="J65" s="8"/>
      <c r="K65" s="8"/>
      <c r="L65" s="8"/>
      <c r="M65" s="8"/>
      <c r="N65" s="8"/>
      <c r="O65" s="8"/>
    </row>
    <row r="66" spans="1:15" x14ac:dyDescent="0.3">
      <c r="A66" s="2" t="s">
        <v>152</v>
      </c>
      <c r="B66" s="2" t="s">
        <v>172</v>
      </c>
      <c r="C66" s="2" t="s">
        <v>362</v>
      </c>
      <c r="D66" s="2" t="s">
        <v>363</v>
      </c>
      <c r="E66" s="2" t="s">
        <v>137</v>
      </c>
      <c r="F66" s="3">
        <v>542</v>
      </c>
      <c r="G66" s="3">
        <v>542</v>
      </c>
      <c r="H66" s="4">
        <f t="shared" ref="H66:H129" si="1">IF(F66="","",F66+G66)</f>
        <v>1084</v>
      </c>
      <c r="I66" s="8"/>
      <c r="J66" s="8"/>
      <c r="K66" s="8"/>
      <c r="L66" s="8"/>
      <c r="M66" s="8"/>
      <c r="N66" s="8"/>
      <c r="O66" s="8"/>
    </row>
    <row r="67" spans="1:15" x14ac:dyDescent="0.3">
      <c r="A67" s="2" t="s">
        <v>152</v>
      </c>
      <c r="B67" s="2" t="s">
        <v>172</v>
      </c>
      <c r="C67" s="2" t="s">
        <v>142</v>
      </c>
      <c r="D67" s="2" t="s">
        <v>143</v>
      </c>
      <c r="E67" s="2" t="s">
        <v>137</v>
      </c>
      <c r="F67" s="3">
        <v>475</v>
      </c>
      <c r="G67" s="3">
        <v>475</v>
      </c>
      <c r="H67" s="4">
        <f t="shared" si="1"/>
        <v>950</v>
      </c>
      <c r="I67" s="8"/>
      <c r="J67" s="8"/>
      <c r="K67" s="8"/>
      <c r="L67" s="8"/>
      <c r="M67" s="8"/>
      <c r="N67" s="8"/>
      <c r="O67" s="8"/>
    </row>
    <row r="68" spans="1:15" x14ac:dyDescent="0.3">
      <c r="A68" s="2" t="s">
        <v>152</v>
      </c>
      <c r="B68" s="2" t="s">
        <v>172</v>
      </c>
      <c r="C68" s="2" t="s">
        <v>84</v>
      </c>
      <c r="D68" s="2" t="s">
        <v>35</v>
      </c>
      <c r="E68" s="2" t="s">
        <v>45</v>
      </c>
      <c r="F68" s="3">
        <v>857</v>
      </c>
      <c r="G68" s="3">
        <v>857</v>
      </c>
      <c r="H68" s="4">
        <f t="shared" si="1"/>
        <v>1714</v>
      </c>
      <c r="I68" s="8"/>
      <c r="J68" s="8"/>
      <c r="K68" s="8"/>
      <c r="L68" s="8"/>
      <c r="M68" s="8"/>
      <c r="N68" s="8"/>
      <c r="O68" s="8"/>
    </row>
    <row r="69" spans="1:15" x14ac:dyDescent="0.3">
      <c r="A69" s="2" t="s">
        <v>152</v>
      </c>
      <c r="B69" s="2" t="s">
        <v>172</v>
      </c>
      <c r="C69" s="2" t="s">
        <v>43</v>
      </c>
      <c r="D69" s="2" t="s">
        <v>44</v>
      </c>
      <c r="E69" s="2" t="s">
        <v>45</v>
      </c>
      <c r="F69" s="3">
        <v>756</v>
      </c>
      <c r="G69" s="3">
        <v>756</v>
      </c>
      <c r="H69" s="4">
        <f t="shared" si="1"/>
        <v>1512</v>
      </c>
      <c r="I69" s="8"/>
      <c r="J69" s="8"/>
      <c r="K69" s="8"/>
      <c r="L69" s="8"/>
      <c r="M69" s="8"/>
      <c r="N69" s="8"/>
      <c r="O69" s="8"/>
    </row>
    <row r="70" spans="1:15" x14ac:dyDescent="0.3">
      <c r="A70" s="2" t="s">
        <v>152</v>
      </c>
      <c r="B70" s="2" t="s">
        <v>172</v>
      </c>
      <c r="C70" s="2" t="s">
        <v>99</v>
      </c>
      <c r="D70" s="2" t="s">
        <v>90</v>
      </c>
      <c r="E70" s="2" t="s">
        <v>45</v>
      </c>
      <c r="F70" s="3">
        <v>563</v>
      </c>
      <c r="G70" s="3">
        <v>563</v>
      </c>
      <c r="H70" s="4">
        <f t="shared" si="1"/>
        <v>1126</v>
      </c>
      <c r="I70" s="8"/>
      <c r="J70" s="8"/>
      <c r="K70" s="8"/>
      <c r="L70" s="8"/>
      <c r="M70" s="8"/>
      <c r="N70" s="8"/>
      <c r="O70" s="8"/>
    </row>
    <row r="71" spans="1:15" x14ac:dyDescent="0.3">
      <c r="A71" s="2" t="s">
        <v>152</v>
      </c>
      <c r="B71" s="2" t="s">
        <v>172</v>
      </c>
      <c r="C71" s="2" t="s">
        <v>229</v>
      </c>
      <c r="D71" s="2" t="s">
        <v>230</v>
      </c>
      <c r="E71" s="2" t="s">
        <v>45</v>
      </c>
      <c r="F71" s="3">
        <v>367</v>
      </c>
      <c r="G71" s="3">
        <v>367</v>
      </c>
      <c r="H71" s="4">
        <f t="shared" si="1"/>
        <v>734</v>
      </c>
      <c r="I71" s="8"/>
      <c r="J71" s="8"/>
      <c r="K71" s="8"/>
      <c r="L71" s="8"/>
      <c r="M71" s="8"/>
      <c r="N71" s="8"/>
      <c r="O71" s="8"/>
    </row>
    <row r="72" spans="1:15" x14ac:dyDescent="0.3">
      <c r="A72" s="2" t="s">
        <v>152</v>
      </c>
      <c r="B72" s="2" t="s">
        <v>172</v>
      </c>
      <c r="C72" s="2" t="s">
        <v>119</v>
      </c>
      <c r="D72" s="2" t="s">
        <v>120</v>
      </c>
      <c r="E72" s="2" t="s">
        <v>54</v>
      </c>
      <c r="F72" s="3">
        <v>1600</v>
      </c>
      <c r="G72" s="3">
        <v>1600</v>
      </c>
      <c r="H72" s="4">
        <f t="shared" si="1"/>
        <v>3200</v>
      </c>
      <c r="I72" s="8"/>
      <c r="J72" s="8"/>
      <c r="K72" s="8"/>
      <c r="L72" s="8"/>
      <c r="M72" s="8"/>
      <c r="N72" s="8"/>
      <c r="O72" s="8"/>
    </row>
    <row r="73" spans="1:15" x14ac:dyDescent="0.3">
      <c r="A73" s="2" t="s">
        <v>152</v>
      </c>
      <c r="B73" s="2" t="s">
        <v>172</v>
      </c>
      <c r="C73" s="2" t="s">
        <v>27</v>
      </c>
      <c r="D73" s="2" t="s">
        <v>27</v>
      </c>
      <c r="E73" s="2" t="s">
        <v>28</v>
      </c>
      <c r="F73" s="3">
        <v>1017</v>
      </c>
      <c r="G73" s="3">
        <v>1017</v>
      </c>
      <c r="H73" s="4">
        <f t="shared" si="1"/>
        <v>2034</v>
      </c>
      <c r="I73" s="8"/>
      <c r="J73" s="8"/>
      <c r="K73" s="8"/>
      <c r="L73" s="8"/>
      <c r="M73" s="8"/>
      <c r="N73" s="8"/>
      <c r="O73" s="8"/>
    </row>
    <row r="74" spans="1:15" x14ac:dyDescent="0.3">
      <c r="A74" s="2" t="s">
        <v>152</v>
      </c>
      <c r="B74" s="2" t="s">
        <v>172</v>
      </c>
      <c r="C74" s="2" t="s">
        <v>65</v>
      </c>
      <c r="D74" s="2" t="s">
        <v>65</v>
      </c>
      <c r="E74" s="2" t="s">
        <v>28</v>
      </c>
      <c r="F74" s="3">
        <v>774</v>
      </c>
      <c r="G74" s="3">
        <v>774</v>
      </c>
      <c r="H74" s="4">
        <f t="shared" si="1"/>
        <v>1548</v>
      </c>
      <c r="I74" s="8"/>
      <c r="J74" s="8"/>
      <c r="K74" s="8"/>
      <c r="L74" s="8"/>
      <c r="M74" s="8"/>
      <c r="N74" s="8"/>
      <c r="O74" s="8"/>
    </row>
    <row r="75" spans="1:15" x14ac:dyDescent="0.3">
      <c r="A75" s="2" t="s">
        <v>152</v>
      </c>
      <c r="B75" s="2" t="s">
        <v>190</v>
      </c>
      <c r="C75" s="2" t="s">
        <v>119</v>
      </c>
      <c r="D75" s="2" t="s">
        <v>120</v>
      </c>
      <c r="E75" s="2" t="s">
        <v>54</v>
      </c>
      <c r="F75" s="3">
        <v>1557</v>
      </c>
      <c r="G75" s="3">
        <v>1557</v>
      </c>
      <c r="H75" s="4">
        <f t="shared" si="1"/>
        <v>3114</v>
      </c>
      <c r="I75" s="8"/>
      <c r="J75" s="8"/>
      <c r="K75" s="8"/>
      <c r="L75" s="8"/>
      <c r="M75" s="8"/>
      <c r="N75" s="8"/>
      <c r="O75" s="8"/>
    </row>
    <row r="76" spans="1:15" x14ac:dyDescent="0.3">
      <c r="A76" s="2" t="s">
        <v>152</v>
      </c>
      <c r="B76" s="2" t="s">
        <v>190</v>
      </c>
      <c r="C76" s="2" t="s">
        <v>27</v>
      </c>
      <c r="D76" s="2" t="s">
        <v>27</v>
      </c>
      <c r="E76" s="2" t="s">
        <v>28</v>
      </c>
      <c r="F76" s="3">
        <v>990</v>
      </c>
      <c r="G76" s="3">
        <v>990</v>
      </c>
      <c r="H76" s="4">
        <f t="shared" si="1"/>
        <v>1980</v>
      </c>
      <c r="I76" s="8"/>
      <c r="J76" s="8"/>
      <c r="K76" s="8"/>
      <c r="L76" s="8"/>
      <c r="M76" s="8"/>
      <c r="N76" s="8"/>
      <c r="O76" s="8"/>
    </row>
    <row r="77" spans="1:15" x14ac:dyDescent="0.3">
      <c r="A77" s="2" t="s">
        <v>152</v>
      </c>
      <c r="B77" s="2" t="s">
        <v>159</v>
      </c>
      <c r="C77" s="2" t="s">
        <v>276</v>
      </c>
      <c r="D77" s="2" t="s">
        <v>277</v>
      </c>
      <c r="E77" s="2" t="s">
        <v>38</v>
      </c>
      <c r="F77" s="3">
        <v>305</v>
      </c>
      <c r="G77" s="3">
        <v>305</v>
      </c>
      <c r="H77" s="4">
        <f t="shared" si="1"/>
        <v>610</v>
      </c>
      <c r="I77" s="8"/>
      <c r="J77" s="8"/>
      <c r="K77" s="8"/>
      <c r="L77" s="8"/>
      <c r="M77" s="8"/>
      <c r="N77" s="8"/>
      <c r="O77" s="8"/>
    </row>
    <row r="78" spans="1:15" x14ac:dyDescent="0.3">
      <c r="A78" s="2" t="s">
        <v>152</v>
      </c>
      <c r="B78" s="2" t="s">
        <v>159</v>
      </c>
      <c r="C78" s="2" t="s">
        <v>278</v>
      </c>
      <c r="D78" s="2" t="s">
        <v>277</v>
      </c>
      <c r="E78" s="2" t="s">
        <v>38</v>
      </c>
      <c r="F78" s="3">
        <v>305</v>
      </c>
      <c r="G78" s="3">
        <v>305</v>
      </c>
      <c r="H78" s="4">
        <f t="shared" si="1"/>
        <v>610</v>
      </c>
      <c r="I78" s="8"/>
      <c r="J78" s="8"/>
      <c r="K78" s="8"/>
      <c r="L78" s="8"/>
      <c r="M78" s="8"/>
      <c r="N78" s="8"/>
      <c r="O78" s="8"/>
    </row>
    <row r="79" spans="1:15" x14ac:dyDescent="0.3">
      <c r="A79" s="2" t="s">
        <v>152</v>
      </c>
      <c r="B79" s="2" t="s">
        <v>159</v>
      </c>
      <c r="C79" s="2" t="s">
        <v>280</v>
      </c>
      <c r="D79" s="2" t="s">
        <v>281</v>
      </c>
      <c r="E79" s="2" t="s">
        <v>38</v>
      </c>
      <c r="F79" s="3">
        <v>278</v>
      </c>
      <c r="G79" s="3">
        <v>278</v>
      </c>
      <c r="H79" s="4">
        <f t="shared" si="1"/>
        <v>556</v>
      </c>
      <c r="I79" s="8"/>
      <c r="J79" s="8"/>
      <c r="K79" s="8"/>
      <c r="L79" s="8"/>
      <c r="M79" s="8"/>
      <c r="N79" s="8"/>
      <c r="O79" s="8"/>
    </row>
    <row r="80" spans="1:15" x14ac:dyDescent="0.3">
      <c r="A80" s="2" t="s">
        <v>152</v>
      </c>
      <c r="B80" s="2" t="s">
        <v>159</v>
      </c>
      <c r="C80" s="2" t="s">
        <v>282</v>
      </c>
      <c r="D80" s="2" t="s">
        <v>281</v>
      </c>
      <c r="E80" s="2" t="s">
        <v>38</v>
      </c>
      <c r="F80" s="3">
        <v>278</v>
      </c>
      <c r="G80" s="3">
        <v>278</v>
      </c>
      <c r="H80" s="4">
        <f t="shared" si="1"/>
        <v>556</v>
      </c>
      <c r="I80" s="8"/>
      <c r="J80" s="8"/>
      <c r="K80" s="8"/>
      <c r="L80" s="8"/>
      <c r="M80" s="8"/>
      <c r="N80" s="8"/>
      <c r="O80" s="8"/>
    </row>
    <row r="81" spans="1:15" x14ac:dyDescent="0.3">
      <c r="A81" s="2" t="s">
        <v>152</v>
      </c>
      <c r="B81" s="2" t="s">
        <v>159</v>
      </c>
      <c r="C81" s="2" t="s">
        <v>284</v>
      </c>
      <c r="D81" s="2" t="s">
        <v>285</v>
      </c>
      <c r="E81" s="2" t="s">
        <v>38</v>
      </c>
      <c r="F81" s="3">
        <v>243</v>
      </c>
      <c r="G81" s="3">
        <v>243</v>
      </c>
      <c r="H81" s="4">
        <f t="shared" si="1"/>
        <v>486</v>
      </c>
      <c r="I81" s="8"/>
      <c r="J81" s="8"/>
      <c r="K81" s="8"/>
      <c r="L81" s="8"/>
      <c r="M81" s="8"/>
      <c r="N81" s="8"/>
      <c r="O81" s="8"/>
    </row>
    <row r="82" spans="1:15" x14ac:dyDescent="0.3">
      <c r="A82" s="2" t="s">
        <v>152</v>
      </c>
      <c r="B82" s="2" t="s">
        <v>159</v>
      </c>
      <c r="C82" s="2" t="s">
        <v>870</v>
      </c>
      <c r="D82" s="2" t="s">
        <v>285</v>
      </c>
      <c r="E82" s="2" t="s">
        <v>38</v>
      </c>
      <c r="F82" s="3">
        <v>215</v>
      </c>
      <c r="G82" s="3">
        <v>215</v>
      </c>
      <c r="H82" s="4">
        <f t="shared" si="1"/>
        <v>430</v>
      </c>
      <c r="I82" s="8"/>
      <c r="J82" s="8"/>
      <c r="K82" s="8"/>
      <c r="L82" s="8"/>
      <c r="M82" s="8"/>
      <c r="N82" s="8"/>
      <c r="O82" s="8"/>
    </row>
    <row r="83" spans="1:15" x14ac:dyDescent="0.3">
      <c r="A83" s="2" t="s">
        <v>152</v>
      </c>
      <c r="B83" s="2" t="s">
        <v>159</v>
      </c>
      <c r="C83" s="2" t="s">
        <v>420</v>
      </c>
      <c r="D83" s="2" t="s">
        <v>26</v>
      </c>
      <c r="E83" s="2" t="s">
        <v>38</v>
      </c>
      <c r="F83" s="3">
        <v>206</v>
      </c>
      <c r="G83" s="3">
        <v>206</v>
      </c>
      <c r="H83" s="4">
        <f t="shared" si="1"/>
        <v>412</v>
      </c>
      <c r="I83" s="8"/>
      <c r="J83" s="8"/>
      <c r="K83" s="8"/>
      <c r="L83" s="8"/>
      <c r="M83" s="8"/>
      <c r="N83" s="8"/>
      <c r="O83" s="8"/>
    </row>
    <row r="84" spans="1:15" x14ac:dyDescent="0.3">
      <c r="A84" s="2" t="s">
        <v>152</v>
      </c>
      <c r="B84" s="2" t="s">
        <v>159</v>
      </c>
      <c r="C84" s="2" t="s">
        <v>25</v>
      </c>
      <c r="D84" s="2" t="s">
        <v>26</v>
      </c>
      <c r="E84" s="2" t="s">
        <v>38</v>
      </c>
      <c r="F84" s="3">
        <v>124</v>
      </c>
      <c r="G84" s="3">
        <v>124</v>
      </c>
      <c r="H84" s="4">
        <f t="shared" si="1"/>
        <v>248</v>
      </c>
      <c r="I84" s="8"/>
      <c r="J84" s="8"/>
      <c r="K84" s="8"/>
      <c r="L84" s="8"/>
      <c r="M84" s="8"/>
      <c r="N84" s="8"/>
      <c r="O84" s="8"/>
    </row>
    <row r="85" spans="1:15" x14ac:dyDescent="0.3">
      <c r="A85" s="2" t="s">
        <v>152</v>
      </c>
      <c r="B85" s="2" t="s">
        <v>159</v>
      </c>
      <c r="C85" s="2" t="s">
        <v>292</v>
      </c>
      <c r="D85" s="2" t="s">
        <v>37</v>
      </c>
      <c r="E85" s="2" t="s">
        <v>38</v>
      </c>
      <c r="F85" s="3">
        <v>85</v>
      </c>
      <c r="G85" s="3">
        <v>85</v>
      </c>
      <c r="H85" s="4">
        <f t="shared" si="1"/>
        <v>170</v>
      </c>
      <c r="I85" s="8"/>
      <c r="J85" s="8"/>
      <c r="K85" s="8"/>
      <c r="L85" s="8"/>
      <c r="M85" s="8"/>
      <c r="N85" s="8"/>
      <c r="O85" s="8"/>
    </row>
    <row r="86" spans="1:15" x14ac:dyDescent="0.3">
      <c r="A86" s="2" t="s">
        <v>152</v>
      </c>
      <c r="B86" s="2" t="s">
        <v>159</v>
      </c>
      <c r="C86" s="2" t="s">
        <v>212</v>
      </c>
      <c r="D86" s="2" t="s">
        <v>37</v>
      </c>
      <c r="E86" s="2" t="s">
        <v>38</v>
      </c>
      <c r="F86" s="3">
        <v>85</v>
      </c>
      <c r="G86" s="3">
        <v>85</v>
      </c>
      <c r="H86" s="4">
        <f t="shared" si="1"/>
        <v>170</v>
      </c>
      <c r="I86" s="8"/>
      <c r="J86" s="8"/>
      <c r="K86" s="8"/>
      <c r="L86" s="8"/>
      <c r="M86" s="8"/>
      <c r="N86" s="8"/>
      <c r="O86" s="8"/>
    </row>
    <row r="87" spans="1:15" x14ac:dyDescent="0.3">
      <c r="A87" s="2" t="s">
        <v>152</v>
      </c>
      <c r="B87" s="2" t="s">
        <v>159</v>
      </c>
      <c r="C87" s="2" t="s">
        <v>873</v>
      </c>
      <c r="D87" s="2" t="s">
        <v>37</v>
      </c>
      <c r="E87" s="2" t="s">
        <v>38</v>
      </c>
      <c r="F87" s="3">
        <v>85</v>
      </c>
      <c r="G87" s="3">
        <v>85</v>
      </c>
      <c r="H87" s="4">
        <f t="shared" si="1"/>
        <v>170</v>
      </c>
      <c r="I87" s="8"/>
      <c r="J87" s="8"/>
      <c r="K87" s="8"/>
      <c r="L87" s="8"/>
      <c r="M87" s="8"/>
      <c r="N87" s="8"/>
      <c r="O87" s="8"/>
    </row>
    <row r="88" spans="1:15" x14ac:dyDescent="0.3">
      <c r="A88" s="2" t="s">
        <v>152</v>
      </c>
      <c r="B88" s="2" t="s">
        <v>159</v>
      </c>
      <c r="C88" s="2" t="s">
        <v>204</v>
      </c>
      <c r="D88" s="2" t="s">
        <v>37</v>
      </c>
      <c r="E88" s="2" t="s">
        <v>38</v>
      </c>
      <c r="F88" s="3">
        <v>55</v>
      </c>
      <c r="G88" s="3">
        <v>55</v>
      </c>
      <c r="H88" s="4">
        <f t="shared" si="1"/>
        <v>110</v>
      </c>
      <c r="I88" s="8"/>
      <c r="J88" s="8"/>
      <c r="K88" s="8"/>
      <c r="L88" s="8"/>
      <c r="M88" s="8"/>
      <c r="N88" s="8"/>
      <c r="O88" s="8"/>
    </row>
    <row r="89" spans="1:15" x14ac:dyDescent="0.3">
      <c r="A89" s="2" t="s">
        <v>152</v>
      </c>
      <c r="B89" s="2" t="s">
        <v>159</v>
      </c>
      <c r="C89" s="2" t="s">
        <v>295</v>
      </c>
      <c r="D89" s="2" t="s">
        <v>37</v>
      </c>
      <c r="E89" s="2" t="s">
        <v>38</v>
      </c>
      <c r="F89" s="3">
        <v>46</v>
      </c>
      <c r="G89" s="3">
        <v>17</v>
      </c>
      <c r="H89" s="4">
        <f t="shared" si="1"/>
        <v>63</v>
      </c>
      <c r="I89" s="8"/>
      <c r="J89" s="8"/>
      <c r="K89" s="8"/>
      <c r="L89" s="8"/>
      <c r="M89" s="8"/>
      <c r="N89" s="8"/>
      <c r="O89" s="8"/>
    </row>
    <row r="90" spans="1:15" x14ac:dyDescent="0.3">
      <c r="A90" s="2" t="s">
        <v>152</v>
      </c>
      <c r="B90" s="2" t="s">
        <v>159</v>
      </c>
      <c r="C90" s="2" t="s">
        <v>185</v>
      </c>
      <c r="D90" s="2" t="s">
        <v>37</v>
      </c>
      <c r="E90" s="2" t="s">
        <v>38</v>
      </c>
      <c r="F90" s="3">
        <v>46</v>
      </c>
      <c r="G90" s="3">
        <v>46</v>
      </c>
      <c r="H90" s="4">
        <f t="shared" si="1"/>
        <v>92</v>
      </c>
      <c r="I90" s="8"/>
      <c r="J90" s="8"/>
      <c r="K90" s="8"/>
      <c r="L90" s="8"/>
      <c r="M90" s="8"/>
      <c r="N90" s="8"/>
      <c r="O90" s="8"/>
    </row>
    <row r="91" spans="1:15" x14ac:dyDescent="0.3">
      <c r="A91" s="2" t="s">
        <v>152</v>
      </c>
      <c r="B91" s="2" t="s">
        <v>159</v>
      </c>
      <c r="C91" s="2" t="s">
        <v>327</v>
      </c>
      <c r="D91" s="2" t="s">
        <v>37</v>
      </c>
      <c r="E91" s="2" t="s">
        <v>38</v>
      </c>
      <c r="F91" s="3">
        <v>41</v>
      </c>
      <c r="G91" s="3">
        <v>39</v>
      </c>
      <c r="H91" s="4">
        <f t="shared" si="1"/>
        <v>80</v>
      </c>
      <c r="I91" s="8"/>
      <c r="J91" s="8"/>
      <c r="K91" s="8"/>
      <c r="L91" s="8"/>
      <c r="M91" s="8"/>
      <c r="N91" s="8"/>
      <c r="O91" s="8"/>
    </row>
    <row r="92" spans="1:15" x14ac:dyDescent="0.3">
      <c r="A92" s="2" t="s">
        <v>152</v>
      </c>
      <c r="B92" s="2" t="s">
        <v>159</v>
      </c>
      <c r="C92" s="2" t="s">
        <v>206</v>
      </c>
      <c r="D92" s="2" t="s">
        <v>37</v>
      </c>
      <c r="E92" s="2" t="s">
        <v>38</v>
      </c>
      <c r="F92" s="3">
        <v>39</v>
      </c>
      <c r="G92" s="3">
        <v>39</v>
      </c>
      <c r="H92" s="4">
        <f t="shared" si="1"/>
        <v>78</v>
      </c>
      <c r="I92" s="8"/>
      <c r="J92" s="8"/>
      <c r="K92" s="8"/>
      <c r="L92" s="8"/>
      <c r="M92" s="8"/>
      <c r="N92" s="8"/>
      <c r="O92" s="8"/>
    </row>
    <row r="93" spans="1:15" x14ac:dyDescent="0.3">
      <c r="A93" s="2" t="s">
        <v>152</v>
      </c>
      <c r="B93" s="2" t="s">
        <v>159</v>
      </c>
      <c r="C93" s="2" t="s">
        <v>192</v>
      </c>
      <c r="D93" s="2" t="s">
        <v>37</v>
      </c>
      <c r="E93" s="2" t="s">
        <v>38</v>
      </c>
      <c r="F93" s="3">
        <v>31</v>
      </c>
      <c r="G93" s="3">
        <v>31</v>
      </c>
      <c r="H93" s="4">
        <f t="shared" si="1"/>
        <v>62</v>
      </c>
      <c r="I93" s="8"/>
      <c r="J93" s="8"/>
      <c r="K93" s="8"/>
      <c r="L93" s="8"/>
      <c r="M93" s="8"/>
      <c r="N93" s="8"/>
      <c r="O93" s="8"/>
    </row>
    <row r="94" spans="1:15" x14ac:dyDescent="0.3">
      <c r="A94" s="2" t="s">
        <v>152</v>
      </c>
      <c r="B94" s="2" t="s">
        <v>159</v>
      </c>
      <c r="C94" s="2" t="s">
        <v>517</v>
      </c>
      <c r="D94" s="2" t="s">
        <v>37</v>
      </c>
      <c r="E94" s="2" t="s">
        <v>38</v>
      </c>
      <c r="F94" s="3">
        <v>24</v>
      </c>
      <c r="G94" s="3">
        <v>24</v>
      </c>
      <c r="H94" s="4">
        <f t="shared" si="1"/>
        <v>48</v>
      </c>
      <c r="I94" s="8"/>
      <c r="J94" s="8"/>
      <c r="K94" s="8"/>
      <c r="L94" s="8"/>
      <c r="M94" s="8"/>
      <c r="N94" s="8"/>
      <c r="O94" s="8"/>
    </row>
    <row r="95" spans="1:15" x14ac:dyDescent="0.3">
      <c r="A95" s="2" t="s">
        <v>152</v>
      </c>
      <c r="B95" s="2" t="s">
        <v>159</v>
      </c>
      <c r="C95" s="2" t="s">
        <v>559</v>
      </c>
      <c r="D95" s="2" t="s">
        <v>37</v>
      </c>
      <c r="E95" s="2" t="s">
        <v>38</v>
      </c>
      <c r="F95" s="3">
        <v>24</v>
      </c>
      <c r="G95" s="3">
        <v>24</v>
      </c>
      <c r="H95" s="4">
        <f t="shared" si="1"/>
        <v>48</v>
      </c>
      <c r="I95" s="8"/>
      <c r="J95" s="8"/>
      <c r="K95" s="8"/>
      <c r="L95" s="8"/>
      <c r="M95" s="8"/>
      <c r="N95" s="8"/>
      <c r="O95" s="8"/>
    </row>
    <row r="96" spans="1:15" x14ac:dyDescent="0.3">
      <c r="A96" s="2" t="s">
        <v>152</v>
      </c>
      <c r="B96" s="2" t="s">
        <v>159</v>
      </c>
      <c r="C96" s="2" t="s">
        <v>561</v>
      </c>
      <c r="D96" s="2" t="s">
        <v>37</v>
      </c>
      <c r="E96" s="2" t="s">
        <v>38</v>
      </c>
      <c r="F96" s="3">
        <v>19</v>
      </c>
      <c r="G96" s="3">
        <v>19</v>
      </c>
      <c r="H96" s="4">
        <f t="shared" si="1"/>
        <v>38</v>
      </c>
      <c r="I96" s="8"/>
      <c r="J96" s="8"/>
      <c r="K96" s="8"/>
      <c r="L96" s="8"/>
      <c r="M96" s="8"/>
      <c r="N96" s="8"/>
      <c r="O96" s="8"/>
    </row>
    <row r="97" spans="1:15" x14ac:dyDescent="0.3">
      <c r="A97" s="2" t="s">
        <v>152</v>
      </c>
      <c r="B97" s="2" t="s">
        <v>159</v>
      </c>
      <c r="C97" s="2" t="s">
        <v>657</v>
      </c>
      <c r="D97" s="2" t="s">
        <v>348</v>
      </c>
      <c r="E97" s="2" t="s">
        <v>133</v>
      </c>
      <c r="F97" s="3">
        <v>681</v>
      </c>
      <c r="G97" s="3">
        <v>681</v>
      </c>
      <c r="H97" s="4">
        <f t="shared" si="1"/>
        <v>1362</v>
      </c>
      <c r="I97" s="8"/>
      <c r="J97" s="8"/>
      <c r="K97" s="8"/>
      <c r="L97" s="8"/>
      <c r="M97" s="8"/>
      <c r="N97" s="8"/>
      <c r="O97" s="8"/>
    </row>
    <row r="98" spans="1:15" x14ac:dyDescent="0.3">
      <c r="A98" s="2" t="s">
        <v>152</v>
      </c>
      <c r="B98" s="2" t="s">
        <v>159</v>
      </c>
      <c r="C98" s="2" t="s">
        <v>160</v>
      </c>
      <c r="D98" s="2" t="s">
        <v>161</v>
      </c>
      <c r="E98" s="2" t="s">
        <v>133</v>
      </c>
      <c r="F98" s="3">
        <v>603</v>
      </c>
      <c r="G98" s="3">
        <v>603</v>
      </c>
      <c r="H98" s="4">
        <f t="shared" si="1"/>
        <v>1206</v>
      </c>
      <c r="I98" s="8"/>
      <c r="J98" s="8"/>
      <c r="K98" s="8"/>
      <c r="L98" s="8"/>
      <c r="M98" s="8"/>
      <c r="N98" s="8"/>
      <c r="O98" s="8"/>
    </row>
    <row r="99" spans="1:15" x14ac:dyDescent="0.3">
      <c r="A99" s="2" t="s">
        <v>152</v>
      </c>
      <c r="B99" s="2" t="s">
        <v>159</v>
      </c>
      <c r="C99" s="2" t="s">
        <v>582</v>
      </c>
      <c r="D99" s="2" t="s">
        <v>140</v>
      </c>
      <c r="E99" s="2" t="s">
        <v>133</v>
      </c>
      <c r="F99" s="3">
        <v>463</v>
      </c>
      <c r="G99" s="3">
        <v>463</v>
      </c>
      <c r="H99" s="4">
        <f t="shared" si="1"/>
        <v>926</v>
      </c>
      <c r="I99" s="8"/>
      <c r="J99" s="8"/>
      <c r="K99" s="8"/>
      <c r="L99" s="8"/>
      <c r="M99" s="8"/>
      <c r="N99" s="8"/>
      <c r="O99" s="8"/>
    </row>
    <row r="100" spans="1:15" x14ac:dyDescent="0.3">
      <c r="A100" s="2" t="s">
        <v>152</v>
      </c>
      <c r="B100" s="2" t="s">
        <v>159</v>
      </c>
      <c r="C100" s="2" t="s">
        <v>174</v>
      </c>
      <c r="D100" s="2" t="s">
        <v>140</v>
      </c>
      <c r="E100" s="2" t="s">
        <v>133</v>
      </c>
      <c r="F100" s="3">
        <v>423</v>
      </c>
      <c r="G100" s="3">
        <v>423</v>
      </c>
      <c r="H100" s="4">
        <f t="shared" si="1"/>
        <v>846</v>
      </c>
      <c r="I100" s="8"/>
      <c r="J100" s="8"/>
      <c r="K100" s="8"/>
      <c r="L100" s="8"/>
      <c r="M100" s="8"/>
      <c r="N100" s="8"/>
      <c r="O100" s="8"/>
    </row>
    <row r="101" spans="1:15" x14ac:dyDescent="0.3">
      <c r="A101" s="2" t="s">
        <v>152</v>
      </c>
      <c r="B101" s="2" t="s">
        <v>159</v>
      </c>
      <c r="C101" s="2" t="s">
        <v>246</v>
      </c>
      <c r="D101" s="2" t="s">
        <v>132</v>
      </c>
      <c r="E101" s="2" t="s">
        <v>133</v>
      </c>
      <c r="F101" s="3">
        <v>303</v>
      </c>
      <c r="G101" s="3">
        <v>303</v>
      </c>
      <c r="H101" s="4">
        <f t="shared" si="1"/>
        <v>606</v>
      </c>
      <c r="I101" s="8"/>
      <c r="J101" s="8"/>
      <c r="K101" s="8"/>
      <c r="L101" s="8"/>
      <c r="M101" s="8"/>
      <c r="N101" s="8"/>
      <c r="O101" s="8"/>
    </row>
    <row r="102" spans="1:15" x14ac:dyDescent="0.3">
      <c r="A102" s="2" t="s">
        <v>152</v>
      </c>
      <c r="B102" s="2" t="s">
        <v>159</v>
      </c>
      <c r="C102" s="2" t="s">
        <v>581</v>
      </c>
      <c r="D102" s="2" t="s">
        <v>132</v>
      </c>
      <c r="E102" s="2" t="s">
        <v>133</v>
      </c>
      <c r="F102" s="3">
        <v>303</v>
      </c>
      <c r="G102" s="3">
        <v>303</v>
      </c>
      <c r="H102" s="4">
        <f t="shared" si="1"/>
        <v>606</v>
      </c>
      <c r="I102" s="8"/>
      <c r="J102" s="8"/>
      <c r="K102" s="8"/>
      <c r="L102" s="8"/>
      <c r="M102" s="8"/>
      <c r="N102" s="8"/>
      <c r="O102" s="8"/>
    </row>
    <row r="103" spans="1:15" x14ac:dyDescent="0.3">
      <c r="A103" s="2" t="s">
        <v>152</v>
      </c>
      <c r="B103" s="2" t="s">
        <v>159</v>
      </c>
      <c r="C103" s="2" t="s">
        <v>619</v>
      </c>
      <c r="D103" s="2" t="s">
        <v>143</v>
      </c>
      <c r="E103" s="2" t="s">
        <v>137</v>
      </c>
      <c r="F103" s="3">
        <v>512</v>
      </c>
      <c r="G103" s="3">
        <v>512</v>
      </c>
      <c r="H103" s="4">
        <f t="shared" si="1"/>
        <v>1024</v>
      </c>
      <c r="I103" s="8"/>
      <c r="J103" s="8"/>
      <c r="K103" s="8"/>
      <c r="L103" s="8"/>
      <c r="M103" s="8"/>
      <c r="N103" s="8"/>
      <c r="O103" s="8"/>
    </row>
    <row r="104" spans="1:15" x14ac:dyDescent="0.3">
      <c r="A104" s="2" t="s">
        <v>152</v>
      </c>
      <c r="B104" s="2" t="s">
        <v>159</v>
      </c>
      <c r="C104" s="2" t="s">
        <v>142</v>
      </c>
      <c r="D104" s="2" t="s">
        <v>143</v>
      </c>
      <c r="E104" s="2" t="s">
        <v>137</v>
      </c>
      <c r="F104" s="3">
        <v>472</v>
      </c>
      <c r="G104" s="3">
        <v>472</v>
      </c>
      <c r="H104" s="4">
        <f t="shared" si="1"/>
        <v>944</v>
      </c>
      <c r="I104" s="8"/>
      <c r="J104" s="8"/>
      <c r="K104" s="8"/>
      <c r="L104" s="8"/>
      <c r="M104" s="8"/>
      <c r="N104" s="8"/>
      <c r="O104" s="8"/>
    </row>
    <row r="105" spans="1:15" x14ac:dyDescent="0.3">
      <c r="A105" s="2" t="s">
        <v>152</v>
      </c>
      <c r="B105" s="2" t="s">
        <v>159</v>
      </c>
      <c r="C105" s="2" t="s">
        <v>43</v>
      </c>
      <c r="D105" s="2" t="s">
        <v>44</v>
      </c>
      <c r="E105" s="2" t="s">
        <v>45</v>
      </c>
      <c r="F105" s="3">
        <v>740</v>
      </c>
      <c r="G105" s="3">
        <v>740</v>
      </c>
      <c r="H105" s="4">
        <f t="shared" si="1"/>
        <v>1480</v>
      </c>
      <c r="I105" s="8"/>
      <c r="J105" s="8"/>
      <c r="K105" s="8"/>
      <c r="L105" s="8"/>
      <c r="M105" s="8"/>
      <c r="N105" s="8"/>
      <c r="O105" s="8"/>
    </row>
    <row r="106" spans="1:15" x14ac:dyDescent="0.3">
      <c r="A106" s="2" t="s">
        <v>152</v>
      </c>
      <c r="B106" s="2" t="s">
        <v>159</v>
      </c>
      <c r="C106" s="2" t="s">
        <v>584</v>
      </c>
      <c r="D106" s="2" t="s">
        <v>44</v>
      </c>
      <c r="E106" s="2" t="s">
        <v>45</v>
      </c>
      <c r="F106" s="3">
        <v>740</v>
      </c>
      <c r="G106" s="3">
        <v>740</v>
      </c>
      <c r="H106" s="4">
        <f t="shared" si="1"/>
        <v>1480</v>
      </c>
      <c r="I106" s="8"/>
      <c r="J106" s="8"/>
      <c r="K106" s="8"/>
      <c r="L106" s="8"/>
      <c r="M106" s="8"/>
      <c r="N106" s="8"/>
      <c r="O106" s="8"/>
    </row>
    <row r="107" spans="1:15" x14ac:dyDescent="0.3">
      <c r="A107" s="2" t="s">
        <v>152</v>
      </c>
      <c r="B107" s="2" t="s">
        <v>159</v>
      </c>
      <c r="C107" s="2" t="s">
        <v>290</v>
      </c>
      <c r="D107" s="2" t="s">
        <v>230</v>
      </c>
      <c r="E107" s="2" t="s">
        <v>45</v>
      </c>
      <c r="F107" s="3">
        <v>361</v>
      </c>
      <c r="G107" s="3">
        <v>361</v>
      </c>
      <c r="H107" s="4">
        <f t="shared" si="1"/>
        <v>722</v>
      </c>
      <c r="I107" s="8"/>
      <c r="J107" s="8"/>
      <c r="K107" s="8"/>
      <c r="L107" s="8"/>
      <c r="M107" s="8"/>
      <c r="N107" s="8"/>
      <c r="O107" s="8"/>
    </row>
    <row r="108" spans="1:15" x14ac:dyDescent="0.3">
      <c r="A108" s="2" t="s">
        <v>152</v>
      </c>
      <c r="B108" s="2" t="s">
        <v>159</v>
      </c>
      <c r="C108" s="2" t="s">
        <v>288</v>
      </c>
      <c r="D108" s="2" t="s">
        <v>230</v>
      </c>
      <c r="E108" s="2" t="s">
        <v>45</v>
      </c>
      <c r="F108" s="3">
        <v>351</v>
      </c>
      <c r="G108" s="3">
        <v>351</v>
      </c>
      <c r="H108" s="4">
        <f t="shared" si="1"/>
        <v>702</v>
      </c>
      <c r="I108" s="8"/>
      <c r="J108" s="8"/>
      <c r="K108" s="8"/>
      <c r="L108" s="8"/>
      <c r="M108" s="8"/>
      <c r="N108" s="8"/>
      <c r="O108" s="8"/>
    </row>
    <row r="109" spans="1:15" x14ac:dyDescent="0.3">
      <c r="A109" s="2" t="s">
        <v>152</v>
      </c>
      <c r="B109" s="2" t="s">
        <v>159</v>
      </c>
      <c r="C109" s="2" t="s">
        <v>229</v>
      </c>
      <c r="D109" s="2" t="s">
        <v>230</v>
      </c>
      <c r="E109" s="2" t="s">
        <v>45</v>
      </c>
      <c r="F109" s="3">
        <v>351</v>
      </c>
      <c r="G109" s="3">
        <v>351</v>
      </c>
      <c r="H109" s="4">
        <f t="shared" si="1"/>
        <v>702</v>
      </c>
      <c r="I109" s="8"/>
      <c r="J109" s="8"/>
      <c r="K109" s="8"/>
      <c r="L109" s="8"/>
      <c r="M109" s="8"/>
      <c r="N109" s="8"/>
      <c r="O109" s="8"/>
    </row>
    <row r="110" spans="1:15" x14ac:dyDescent="0.3">
      <c r="A110" s="2" t="s">
        <v>152</v>
      </c>
      <c r="B110" s="2" t="s">
        <v>159</v>
      </c>
      <c r="C110" s="2" t="s">
        <v>27</v>
      </c>
      <c r="D110" s="2" t="s">
        <v>27</v>
      </c>
      <c r="E110" s="2" t="s">
        <v>28</v>
      </c>
      <c r="F110" s="3">
        <v>984</v>
      </c>
      <c r="G110" s="3">
        <v>984</v>
      </c>
      <c r="H110" s="4">
        <f t="shared" si="1"/>
        <v>1968</v>
      </c>
      <c r="I110" s="8"/>
      <c r="J110" s="8"/>
      <c r="K110" s="8"/>
      <c r="L110" s="8"/>
      <c r="M110" s="8"/>
      <c r="N110" s="8"/>
      <c r="O110" s="8"/>
    </row>
    <row r="111" spans="1:15" x14ac:dyDescent="0.3">
      <c r="A111" s="2" t="s">
        <v>152</v>
      </c>
      <c r="B111" s="2" t="s">
        <v>159</v>
      </c>
      <c r="C111" s="2" t="s">
        <v>65</v>
      </c>
      <c r="D111" s="2" t="s">
        <v>65</v>
      </c>
      <c r="E111" s="2" t="s">
        <v>28</v>
      </c>
      <c r="F111" s="3">
        <v>762</v>
      </c>
      <c r="G111" s="3">
        <v>762</v>
      </c>
      <c r="H111" s="4">
        <f t="shared" si="1"/>
        <v>1524</v>
      </c>
      <c r="I111" s="8"/>
      <c r="J111" s="8"/>
      <c r="K111" s="8"/>
      <c r="L111" s="8"/>
      <c r="M111" s="8"/>
      <c r="N111" s="8"/>
      <c r="O111" s="8"/>
    </row>
    <row r="112" spans="1:15" x14ac:dyDescent="0.3">
      <c r="A112" s="2" t="s">
        <v>152</v>
      </c>
      <c r="B112" s="2" t="s">
        <v>343</v>
      </c>
      <c r="C112" s="2" t="s">
        <v>344</v>
      </c>
      <c r="D112" s="2" t="s">
        <v>140</v>
      </c>
      <c r="E112" s="2" t="s">
        <v>133</v>
      </c>
      <c r="F112" s="3">
        <v>466</v>
      </c>
      <c r="G112" s="3">
        <v>466</v>
      </c>
      <c r="H112" s="4">
        <f t="shared" si="1"/>
        <v>932</v>
      </c>
      <c r="I112" s="8"/>
      <c r="J112" s="8"/>
      <c r="K112" s="8"/>
      <c r="L112" s="8"/>
      <c r="M112" s="8"/>
      <c r="N112" s="8"/>
      <c r="O112" s="8"/>
    </row>
    <row r="113" spans="1:15" x14ac:dyDescent="0.3">
      <c r="A113" s="2" t="s">
        <v>152</v>
      </c>
      <c r="B113" s="2" t="s">
        <v>240</v>
      </c>
      <c r="C113" s="2" t="s">
        <v>448</v>
      </c>
      <c r="D113" s="2" t="s">
        <v>281</v>
      </c>
      <c r="E113" s="2" t="s">
        <v>38</v>
      </c>
      <c r="F113" s="3">
        <v>366</v>
      </c>
      <c r="G113" s="3">
        <v>366</v>
      </c>
      <c r="H113" s="4">
        <f t="shared" si="1"/>
        <v>732</v>
      </c>
      <c r="I113" s="8"/>
      <c r="J113" s="8"/>
      <c r="K113" s="8"/>
      <c r="L113" s="8"/>
      <c r="M113" s="8"/>
      <c r="N113" s="8"/>
      <c r="O113" s="8"/>
    </row>
    <row r="114" spans="1:15" x14ac:dyDescent="0.3">
      <c r="A114" s="2" t="s">
        <v>152</v>
      </c>
      <c r="B114" s="2" t="s">
        <v>240</v>
      </c>
      <c r="C114" s="2" t="s">
        <v>278</v>
      </c>
      <c r="D114" s="2" t="s">
        <v>277</v>
      </c>
      <c r="E114" s="2" t="s">
        <v>38</v>
      </c>
      <c r="F114" s="3">
        <v>320</v>
      </c>
      <c r="G114" s="3">
        <v>320</v>
      </c>
      <c r="H114" s="4">
        <f t="shared" si="1"/>
        <v>640</v>
      </c>
      <c r="I114" s="8"/>
      <c r="J114" s="8"/>
      <c r="K114" s="8"/>
      <c r="L114" s="8"/>
      <c r="M114" s="8"/>
      <c r="N114" s="8"/>
      <c r="O114" s="8"/>
    </row>
    <row r="115" spans="1:15" x14ac:dyDescent="0.3">
      <c r="A115" s="2" t="s">
        <v>152</v>
      </c>
      <c r="B115" s="2" t="s">
        <v>240</v>
      </c>
      <c r="C115" s="2" t="s">
        <v>282</v>
      </c>
      <c r="D115" s="2" t="s">
        <v>281</v>
      </c>
      <c r="E115" s="2" t="s">
        <v>38</v>
      </c>
      <c r="F115" s="3">
        <v>293</v>
      </c>
      <c r="G115" s="3">
        <v>293</v>
      </c>
      <c r="H115" s="4">
        <f t="shared" si="1"/>
        <v>586</v>
      </c>
      <c r="I115" s="8"/>
      <c r="J115" s="8"/>
      <c r="K115" s="8"/>
      <c r="L115" s="8"/>
      <c r="M115" s="8"/>
      <c r="N115" s="8"/>
      <c r="O115" s="8"/>
    </row>
    <row r="116" spans="1:15" x14ac:dyDescent="0.3">
      <c r="A116" s="2" t="s">
        <v>152</v>
      </c>
      <c r="B116" s="2" t="s">
        <v>240</v>
      </c>
      <c r="C116" s="2" t="s">
        <v>286</v>
      </c>
      <c r="D116" s="2" t="s">
        <v>285</v>
      </c>
      <c r="E116" s="2" t="s">
        <v>38</v>
      </c>
      <c r="F116" s="3">
        <v>259</v>
      </c>
      <c r="G116" s="3">
        <v>259</v>
      </c>
      <c r="H116" s="4">
        <f t="shared" si="1"/>
        <v>518</v>
      </c>
      <c r="I116" s="8"/>
      <c r="J116" s="8"/>
      <c r="K116" s="8"/>
      <c r="L116" s="8"/>
      <c r="M116" s="8"/>
      <c r="N116" s="8"/>
      <c r="O116" s="8"/>
    </row>
    <row r="117" spans="1:15" x14ac:dyDescent="0.3">
      <c r="A117" s="2" t="s">
        <v>152</v>
      </c>
      <c r="B117" s="2" t="s">
        <v>240</v>
      </c>
      <c r="C117" s="2" t="s">
        <v>420</v>
      </c>
      <c r="D117" s="2" t="s">
        <v>26</v>
      </c>
      <c r="E117" s="2" t="s">
        <v>38</v>
      </c>
      <c r="F117" s="3">
        <v>221</v>
      </c>
      <c r="G117" s="3">
        <v>221</v>
      </c>
      <c r="H117" s="4">
        <f t="shared" si="1"/>
        <v>442</v>
      </c>
      <c r="I117" s="8"/>
      <c r="J117" s="8"/>
      <c r="K117" s="8"/>
      <c r="L117" s="8"/>
      <c r="M117" s="8"/>
      <c r="N117" s="8"/>
      <c r="O117" s="8"/>
    </row>
    <row r="118" spans="1:15" x14ac:dyDescent="0.3">
      <c r="A118" s="2" t="s">
        <v>152</v>
      </c>
      <c r="B118" s="2" t="s">
        <v>240</v>
      </c>
      <c r="C118" s="2" t="s">
        <v>25</v>
      </c>
      <c r="D118" s="2" t="s">
        <v>26</v>
      </c>
      <c r="E118" s="2" t="s">
        <v>38</v>
      </c>
      <c r="F118" s="3">
        <v>157</v>
      </c>
      <c r="G118" s="3">
        <v>157</v>
      </c>
      <c r="H118" s="4">
        <f t="shared" si="1"/>
        <v>314</v>
      </c>
      <c r="I118" s="8"/>
      <c r="J118" s="8"/>
      <c r="K118" s="8"/>
      <c r="L118" s="8"/>
      <c r="M118" s="8"/>
      <c r="N118" s="8"/>
      <c r="O118" s="8"/>
    </row>
    <row r="119" spans="1:15" x14ac:dyDescent="0.3">
      <c r="A119" s="2" t="s">
        <v>152</v>
      </c>
      <c r="B119" s="2" t="s">
        <v>240</v>
      </c>
      <c r="C119" s="2" t="s">
        <v>432</v>
      </c>
      <c r="D119" s="2" t="s">
        <v>37</v>
      </c>
      <c r="E119" s="2" t="s">
        <v>38</v>
      </c>
      <c r="F119" s="3">
        <v>157</v>
      </c>
      <c r="G119" s="3">
        <v>157</v>
      </c>
      <c r="H119" s="4">
        <f t="shared" si="1"/>
        <v>314</v>
      </c>
      <c r="I119" s="8"/>
      <c r="J119" s="8"/>
      <c r="K119" s="8"/>
      <c r="L119" s="8"/>
      <c r="M119" s="8"/>
      <c r="N119" s="8"/>
      <c r="O119" s="8"/>
    </row>
    <row r="120" spans="1:15" x14ac:dyDescent="0.3">
      <c r="A120" s="2" t="s">
        <v>152</v>
      </c>
      <c r="B120" s="2" t="s">
        <v>240</v>
      </c>
      <c r="C120" s="2" t="s">
        <v>422</v>
      </c>
      <c r="D120" s="2" t="s">
        <v>37</v>
      </c>
      <c r="E120" s="2" t="s">
        <v>38</v>
      </c>
      <c r="F120" s="3">
        <v>135</v>
      </c>
      <c r="G120" s="3">
        <v>135</v>
      </c>
      <c r="H120" s="4">
        <f t="shared" si="1"/>
        <v>270</v>
      </c>
      <c r="I120" s="8"/>
      <c r="J120" s="8"/>
      <c r="K120" s="8"/>
      <c r="L120" s="8"/>
      <c r="M120" s="8"/>
      <c r="N120" s="8"/>
      <c r="O120" s="8"/>
    </row>
    <row r="121" spans="1:15" x14ac:dyDescent="0.3">
      <c r="A121" s="2" t="s">
        <v>152</v>
      </c>
      <c r="B121" s="2" t="s">
        <v>240</v>
      </c>
      <c r="C121" s="2" t="s">
        <v>428</v>
      </c>
      <c r="D121" s="2" t="s">
        <v>37</v>
      </c>
      <c r="E121" s="2" t="s">
        <v>38</v>
      </c>
      <c r="F121" s="3">
        <v>90</v>
      </c>
      <c r="G121" s="3">
        <v>90</v>
      </c>
      <c r="H121" s="4">
        <f t="shared" si="1"/>
        <v>180</v>
      </c>
      <c r="I121" s="8"/>
      <c r="J121" s="8"/>
      <c r="K121" s="8"/>
      <c r="L121" s="8"/>
      <c r="M121" s="8"/>
      <c r="N121" s="8"/>
      <c r="O121" s="8"/>
    </row>
    <row r="122" spans="1:15" x14ac:dyDescent="0.3">
      <c r="A122" s="2" t="s">
        <v>152</v>
      </c>
      <c r="B122" s="2" t="s">
        <v>240</v>
      </c>
      <c r="C122" s="2" t="s">
        <v>373</v>
      </c>
      <c r="D122" s="2" t="s">
        <v>236</v>
      </c>
      <c r="E122" s="2" t="s">
        <v>133</v>
      </c>
      <c r="F122" s="3">
        <v>758</v>
      </c>
      <c r="G122" s="3">
        <v>758</v>
      </c>
      <c r="H122" s="4">
        <f t="shared" si="1"/>
        <v>1516</v>
      </c>
      <c r="I122" s="8"/>
      <c r="J122" s="8"/>
      <c r="K122" s="8"/>
      <c r="L122" s="8"/>
      <c r="M122" s="8"/>
      <c r="N122" s="8"/>
      <c r="O122" s="8"/>
    </row>
    <row r="123" spans="1:15" x14ac:dyDescent="0.3">
      <c r="A123" s="2" t="s">
        <v>152</v>
      </c>
      <c r="B123" s="2" t="s">
        <v>240</v>
      </c>
      <c r="C123" s="2" t="s">
        <v>235</v>
      </c>
      <c r="D123" s="2" t="s">
        <v>236</v>
      </c>
      <c r="E123" s="2" t="s">
        <v>133</v>
      </c>
      <c r="F123" s="3">
        <v>749</v>
      </c>
      <c r="G123" s="3">
        <v>749</v>
      </c>
      <c r="H123" s="4">
        <f t="shared" si="1"/>
        <v>1498</v>
      </c>
      <c r="I123" s="8"/>
      <c r="J123" s="8"/>
      <c r="K123" s="8"/>
      <c r="L123" s="8"/>
      <c r="M123" s="8"/>
      <c r="N123" s="8"/>
      <c r="O123" s="8"/>
    </row>
    <row r="124" spans="1:15" x14ac:dyDescent="0.3">
      <c r="A124" s="2" t="s">
        <v>152</v>
      </c>
      <c r="B124" s="2" t="s">
        <v>240</v>
      </c>
      <c r="C124" s="2" t="s">
        <v>350</v>
      </c>
      <c r="D124" s="2" t="s">
        <v>348</v>
      </c>
      <c r="E124" s="2" t="s">
        <v>133</v>
      </c>
      <c r="F124" s="3">
        <v>745</v>
      </c>
      <c r="G124" s="3">
        <v>745</v>
      </c>
      <c r="H124" s="4">
        <f t="shared" si="1"/>
        <v>1490</v>
      </c>
      <c r="I124" s="8"/>
      <c r="J124" s="8"/>
      <c r="K124" s="8"/>
      <c r="L124" s="8"/>
      <c r="M124" s="8"/>
      <c r="N124" s="8"/>
      <c r="O124" s="8"/>
    </row>
    <row r="125" spans="1:15" x14ac:dyDescent="0.3">
      <c r="A125" s="2" t="s">
        <v>152</v>
      </c>
      <c r="B125" s="2" t="s">
        <v>240</v>
      </c>
      <c r="C125" s="2" t="s">
        <v>379</v>
      </c>
      <c r="D125" s="2" t="s">
        <v>348</v>
      </c>
      <c r="E125" s="2" t="s">
        <v>133</v>
      </c>
      <c r="F125" s="3">
        <v>723</v>
      </c>
      <c r="G125" s="3">
        <v>723</v>
      </c>
      <c r="H125" s="4">
        <f t="shared" si="1"/>
        <v>1446</v>
      </c>
      <c r="I125" s="8"/>
      <c r="J125" s="8"/>
      <c r="K125" s="8"/>
      <c r="L125" s="8"/>
      <c r="M125" s="8"/>
      <c r="N125" s="8"/>
      <c r="O125" s="8"/>
    </row>
    <row r="126" spans="1:15" x14ac:dyDescent="0.3">
      <c r="A126" s="2" t="s">
        <v>152</v>
      </c>
      <c r="B126" s="2" t="s">
        <v>240</v>
      </c>
      <c r="C126" s="2" t="s">
        <v>375</v>
      </c>
      <c r="D126" s="2" t="s">
        <v>236</v>
      </c>
      <c r="E126" s="2" t="s">
        <v>133</v>
      </c>
      <c r="F126" s="3">
        <v>703</v>
      </c>
      <c r="G126" s="3">
        <v>703</v>
      </c>
      <c r="H126" s="4">
        <f t="shared" si="1"/>
        <v>1406</v>
      </c>
      <c r="I126" s="8"/>
      <c r="J126" s="8"/>
      <c r="K126" s="8"/>
      <c r="L126" s="8"/>
      <c r="M126" s="8"/>
      <c r="N126" s="8"/>
      <c r="O126" s="8"/>
    </row>
    <row r="127" spans="1:15" x14ac:dyDescent="0.3">
      <c r="A127" s="2" t="s">
        <v>152</v>
      </c>
      <c r="B127" s="2" t="s">
        <v>240</v>
      </c>
      <c r="C127" s="2" t="s">
        <v>365</v>
      </c>
      <c r="D127" s="2" t="s">
        <v>348</v>
      </c>
      <c r="E127" s="2" t="s">
        <v>133</v>
      </c>
      <c r="F127" s="3">
        <v>690</v>
      </c>
      <c r="G127" s="3">
        <v>690</v>
      </c>
      <c r="H127" s="4">
        <f t="shared" si="1"/>
        <v>1380</v>
      </c>
      <c r="I127" s="8"/>
      <c r="J127" s="8"/>
      <c r="K127" s="8"/>
      <c r="L127" s="8"/>
      <c r="M127" s="8"/>
      <c r="N127" s="8"/>
      <c r="O127" s="8"/>
    </row>
    <row r="128" spans="1:15" x14ac:dyDescent="0.3">
      <c r="A128" s="2" t="s">
        <v>152</v>
      </c>
      <c r="B128" s="2" t="s">
        <v>240</v>
      </c>
      <c r="C128" s="2" t="s">
        <v>369</v>
      </c>
      <c r="D128" s="2" t="s">
        <v>348</v>
      </c>
      <c r="E128" s="2" t="s">
        <v>133</v>
      </c>
      <c r="F128" s="3">
        <v>679</v>
      </c>
      <c r="G128" s="3">
        <v>679</v>
      </c>
      <c r="H128" s="4">
        <f t="shared" si="1"/>
        <v>1358</v>
      </c>
      <c r="I128" s="8"/>
      <c r="J128" s="8"/>
      <c r="K128" s="8"/>
      <c r="L128" s="8"/>
      <c r="M128" s="8"/>
      <c r="N128" s="8"/>
      <c r="O128" s="8"/>
    </row>
    <row r="129" spans="1:15" x14ac:dyDescent="0.3">
      <c r="A129" s="2" t="s">
        <v>152</v>
      </c>
      <c r="B129" s="2" t="s">
        <v>240</v>
      </c>
      <c r="C129" s="2" t="s">
        <v>377</v>
      </c>
      <c r="D129" s="2" t="s">
        <v>161</v>
      </c>
      <c r="E129" s="2" t="s">
        <v>133</v>
      </c>
      <c r="F129" s="3">
        <v>659</v>
      </c>
      <c r="G129" s="3">
        <v>659</v>
      </c>
      <c r="H129" s="4">
        <f t="shared" si="1"/>
        <v>1318</v>
      </c>
      <c r="I129" s="8"/>
      <c r="J129" s="8"/>
      <c r="K129" s="8"/>
      <c r="L129" s="8"/>
      <c r="M129" s="8"/>
      <c r="N129" s="8"/>
      <c r="O129" s="8"/>
    </row>
    <row r="130" spans="1:15" x14ac:dyDescent="0.3">
      <c r="A130" s="2" t="s">
        <v>152</v>
      </c>
      <c r="B130" s="2" t="s">
        <v>240</v>
      </c>
      <c r="C130" s="2" t="s">
        <v>347</v>
      </c>
      <c r="D130" s="2" t="s">
        <v>348</v>
      </c>
      <c r="E130" s="2" t="s">
        <v>133</v>
      </c>
      <c r="F130" s="3">
        <v>656</v>
      </c>
      <c r="G130" s="3">
        <v>656</v>
      </c>
      <c r="H130" s="4">
        <f t="shared" ref="H130:H193" si="2">IF(F130="","",F130+G130)</f>
        <v>1312</v>
      </c>
      <c r="I130" s="8"/>
      <c r="J130" s="8"/>
      <c r="K130" s="8"/>
      <c r="L130" s="8"/>
      <c r="M130" s="8"/>
      <c r="N130" s="8"/>
      <c r="O130" s="8"/>
    </row>
    <row r="131" spans="1:15" x14ac:dyDescent="0.3">
      <c r="A131" s="2" t="s">
        <v>152</v>
      </c>
      <c r="B131" s="2" t="s">
        <v>240</v>
      </c>
      <c r="C131" s="2" t="s">
        <v>160</v>
      </c>
      <c r="D131" s="2" t="s">
        <v>161</v>
      </c>
      <c r="E131" s="2" t="s">
        <v>133</v>
      </c>
      <c r="F131" s="3">
        <v>612</v>
      </c>
      <c r="G131" s="3">
        <v>612</v>
      </c>
      <c r="H131" s="4">
        <f t="shared" si="2"/>
        <v>1224</v>
      </c>
      <c r="I131" s="8"/>
      <c r="J131" s="8"/>
      <c r="K131" s="8"/>
      <c r="L131" s="8"/>
      <c r="M131" s="8"/>
      <c r="N131" s="8"/>
      <c r="O131" s="8"/>
    </row>
    <row r="132" spans="1:15" x14ac:dyDescent="0.3">
      <c r="A132" s="2" t="s">
        <v>152</v>
      </c>
      <c r="B132" s="2" t="s">
        <v>240</v>
      </c>
      <c r="C132" s="2" t="s">
        <v>352</v>
      </c>
      <c r="D132" s="2" t="s">
        <v>353</v>
      </c>
      <c r="E132" s="2" t="s">
        <v>133</v>
      </c>
      <c r="F132" s="3">
        <v>536</v>
      </c>
      <c r="G132" s="3">
        <v>536</v>
      </c>
      <c r="H132" s="4">
        <f t="shared" si="2"/>
        <v>1072</v>
      </c>
      <c r="I132" s="8"/>
      <c r="J132" s="8"/>
      <c r="K132" s="8"/>
      <c r="L132" s="8"/>
      <c r="M132" s="8"/>
      <c r="N132" s="8"/>
      <c r="O132" s="8"/>
    </row>
    <row r="133" spans="1:15" x14ac:dyDescent="0.3">
      <c r="A133" s="2" t="s">
        <v>152</v>
      </c>
      <c r="B133" s="2" t="s">
        <v>240</v>
      </c>
      <c r="C133" s="2" t="s">
        <v>174</v>
      </c>
      <c r="D133" s="2" t="s">
        <v>140</v>
      </c>
      <c r="E133" s="2" t="s">
        <v>133</v>
      </c>
      <c r="F133" s="3">
        <v>432</v>
      </c>
      <c r="G133" s="3">
        <v>432</v>
      </c>
      <c r="H133" s="4">
        <f t="shared" si="2"/>
        <v>864</v>
      </c>
      <c r="I133" s="8"/>
      <c r="J133" s="8"/>
      <c r="K133" s="8"/>
      <c r="L133" s="8"/>
      <c r="M133" s="8"/>
      <c r="N133" s="8"/>
      <c r="O133" s="8"/>
    </row>
    <row r="134" spans="1:15" x14ac:dyDescent="0.3">
      <c r="A134" s="2" t="s">
        <v>152</v>
      </c>
      <c r="B134" s="2" t="s">
        <v>240</v>
      </c>
      <c r="C134" s="2" t="s">
        <v>434</v>
      </c>
      <c r="D134" s="2" t="s">
        <v>132</v>
      </c>
      <c r="E134" s="2" t="s">
        <v>133</v>
      </c>
      <c r="F134" s="3">
        <v>408</v>
      </c>
      <c r="G134" s="3">
        <v>408</v>
      </c>
      <c r="H134" s="4">
        <f t="shared" si="2"/>
        <v>816</v>
      </c>
      <c r="I134" s="8"/>
      <c r="J134" s="8"/>
      <c r="K134" s="8"/>
      <c r="L134" s="8"/>
      <c r="M134" s="8"/>
      <c r="N134" s="8"/>
      <c r="O134" s="8"/>
    </row>
    <row r="135" spans="1:15" x14ac:dyDescent="0.3">
      <c r="A135" s="2" t="s">
        <v>152</v>
      </c>
      <c r="B135" s="2" t="s">
        <v>240</v>
      </c>
      <c r="C135" s="2" t="s">
        <v>426</v>
      </c>
      <c r="D135" s="2" t="s">
        <v>132</v>
      </c>
      <c r="E135" s="2" t="s">
        <v>133</v>
      </c>
      <c r="F135" s="3">
        <v>406</v>
      </c>
      <c r="G135" s="3">
        <v>406</v>
      </c>
      <c r="H135" s="4">
        <f t="shared" si="2"/>
        <v>812</v>
      </c>
      <c r="I135" s="8"/>
      <c r="J135" s="8"/>
      <c r="K135" s="8"/>
      <c r="L135" s="8"/>
      <c r="M135" s="8"/>
      <c r="N135" s="8"/>
      <c r="O135" s="8"/>
    </row>
    <row r="136" spans="1:15" x14ac:dyDescent="0.3">
      <c r="A136" s="2" t="s">
        <v>152</v>
      </c>
      <c r="B136" s="2" t="s">
        <v>240</v>
      </c>
      <c r="C136" s="2" t="s">
        <v>246</v>
      </c>
      <c r="D136" s="2" t="s">
        <v>132</v>
      </c>
      <c r="E136" s="2" t="s">
        <v>133</v>
      </c>
      <c r="F136" s="3">
        <v>312</v>
      </c>
      <c r="G136" s="3">
        <v>312</v>
      </c>
      <c r="H136" s="4">
        <f t="shared" si="2"/>
        <v>624</v>
      </c>
      <c r="I136" s="8"/>
      <c r="J136" s="8"/>
      <c r="K136" s="8"/>
      <c r="L136" s="8"/>
      <c r="M136" s="8"/>
      <c r="N136" s="8"/>
      <c r="O136" s="8"/>
    </row>
    <row r="137" spans="1:15" x14ac:dyDescent="0.3">
      <c r="A137" s="2" t="s">
        <v>152</v>
      </c>
      <c r="B137" s="2" t="s">
        <v>240</v>
      </c>
      <c r="C137" s="2" t="s">
        <v>145</v>
      </c>
      <c r="D137" s="2" t="s">
        <v>146</v>
      </c>
      <c r="E137" s="2" t="s">
        <v>137</v>
      </c>
      <c r="F137" s="3">
        <v>669</v>
      </c>
      <c r="G137" s="3">
        <v>669</v>
      </c>
      <c r="H137" s="4">
        <f t="shared" si="2"/>
        <v>1338</v>
      </c>
      <c r="I137" s="8"/>
      <c r="J137" s="8"/>
      <c r="K137" s="8"/>
      <c r="L137" s="8"/>
      <c r="M137" s="8"/>
      <c r="N137" s="8"/>
      <c r="O137" s="8"/>
    </row>
    <row r="138" spans="1:15" x14ac:dyDescent="0.3">
      <c r="A138" s="2" t="s">
        <v>152</v>
      </c>
      <c r="B138" s="2" t="s">
        <v>240</v>
      </c>
      <c r="C138" s="2" t="s">
        <v>135</v>
      </c>
      <c r="D138" s="2" t="s">
        <v>136</v>
      </c>
      <c r="E138" s="2" t="s">
        <v>137</v>
      </c>
      <c r="F138" s="3">
        <v>619</v>
      </c>
      <c r="G138" s="3">
        <v>619</v>
      </c>
      <c r="H138" s="4">
        <f t="shared" si="2"/>
        <v>1238</v>
      </c>
      <c r="I138" s="8"/>
      <c r="J138" s="8"/>
      <c r="K138" s="8"/>
      <c r="L138" s="8"/>
      <c r="M138" s="8"/>
      <c r="N138" s="8"/>
      <c r="O138" s="8"/>
    </row>
    <row r="139" spans="1:15" x14ac:dyDescent="0.3">
      <c r="A139" s="2" t="s">
        <v>152</v>
      </c>
      <c r="B139" s="2" t="s">
        <v>240</v>
      </c>
      <c r="C139" s="2" t="s">
        <v>358</v>
      </c>
      <c r="D139" s="2" t="s">
        <v>358</v>
      </c>
      <c r="E139" s="2" t="s">
        <v>137</v>
      </c>
      <c r="F139" s="3">
        <v>583</v>
      </c>
      <c r="G139" s="3">
        <v>583</v>
      </c>
      <c r="H139" s="4">
        <f t="shared" si="2"/>
        <v>1166</v>
      </c>
      <c r="I139" s="8"/>
      <c r="J139" s="8"/>
      <c r="K139" s="8"/>
      <c r="L139" s="8"/>
      <c r="M139" s="8"/>
      <c r="N139" s="8"/>
      <c r="O139" s="8"/>
    </row>
    <row r="140" spans="1:15" x14ac:dyDescent="0.3">
      <c r="A140" s="2" t="s">
        <v>152</v>
      </c>
      <c r="B140" s="2" t="s">
        <v>240</v>
      </c>
      <c r="C140" s="2" t="s">
        <v>360</v>
      </c>
      <c r="D140" s="2" t="s">
        <v>358</v>
      </c>
      <c r="E140" s="2" t="s">
        <v>137</v>
      </c>
      <c r="F140" s="3">
        <v>577</v>
      </c>
      <c r="G140" s="3">
        <v>577</v>
      </c>
      <c r="H140" s="4">
        <f t="shared" si="2"/>
        <v>1154</v>
      </c>
      <c r="I140" s="8"/>
      <c r="J140" s="8"/>
      <c r="K140" s="8"/>
      <c r="L140" s="8"/>
      <c r="M140" s="8"/>
      <c r="N140" s="8"/>
      <c r="O140" s="8"/>
    </row>
    <row r="141" spans="1:15" x14ac:dyDescent="0.3">
      <c r="A141" s="2" t="s">
        <v>152</v>
      </c>
      <c r="B141" s="2" t="s">
        <v>240</v>
      </c>
      <c r="C141" s="2" t="s">
        <v>362</v>
      </c>
      <c r="D141" s="2" t="s">
        <v>363</v>
      </c>
      <c r="E141" s="2" t="s">
        <v>137</v>
      </c>
      <c r="F141" s="3">
        <v>549</v>
      </c>
      <c r="G141" s="3">
        <v>549</v>
      </c>
      <c r="H141" s="4">
        <f t="shared" si="2"/>
        <v>1098</v>
      </c>
      <c r="I141" s="8"/>
      <c r="J141" s="8"/>
      <c r="K141" s="8"/>
      <c r="L141" s="8"/>
      <c r="M141" s="8"/>
      <c r="N141" s="8"/>
      <c r="O141" s="8"/>
    </row>
    <row r="142" spans="1:15" x14ac:dyDescent="0.3">
      <c r="A142" s="2" t="s">
        <v>152</v>
      </c>
      <c r="B142" s="2" t="s">
        <v>240</v>
      </c>
      <c r="C142" s="2" t="s">
        <v>367</v>
      </c>
      <c r="D142" s="2" t="s">
        <v>143</v>
      </c>
      <c r="E142" s="2" t="s">
        <v>137</v>
      </c>
      <c r="F142" s="3">
        <v>548</v>
      </c>
      <c r="G142" s="3">
        <v>548</v>
      </c>
      <c r="H142" s="4">
        <f t="shared" si="2"/>
        <v>1096</v>
      </c>
      <c r="I142" s="8"/>
      <c r="J142" s="8"/>
      <c r="K142" s="8"/>
      <c r="L142" s="8"/>
      <c r="M142" s="8"/>
      <c r="N142" s="8"/>
      <c r="O142" s="8"/>
    </row>
    <row r="143" spans="1:15" x14ac:dyDescent="0.3">
      <c r="A143" s="2" t="s">
        <v>152</v>
      </c>
      <c r="B143" s="2" t="s">
        <v>240</v>
      </c>
      <c r="C143" s="2" t="s">
        <v>371</v>
      </c>
      <c r="D143" s="2" t="s">
        <v>143</v>
      </c>
      <c r="E143" s="2" t="s">
        <v>137</v>
      </c>
      <c r="F143" s="3">
        <v>521</v>
      </c>
      <c r="G143" s="3">
        <v>521</v>
      </c>
      <c r="H143" s="4">
        <f t="shared" si="2"/>
        <v>1042</v>
      </c>
      <c r="I143" s="8"/>
      <c r="J143" s="8"/>
      <c r="K143" s="8"/>
      <c r="L143" s="8"/>
      <c r="M143" s="8"/>
      <c r="N143" s="8"/>
      <c r="O143" s="8"/>
    </row>
    <row r="144" spans="1:15" x14ac:dyDescent="0.3">
      <c r="A144" s="2" t="s">
        <v>152</v>
      </c>
      <c r="B144" s="2" t="s">
        <v>240</v>
      </c>
      <c r="C144" s="2" t="s">
        <v>142</v>
      </c>
      <c r="D144" s="2" t="s">
        <v>143</v>
      </c>
      <c r="E144" s="2" t="s">
        <v>137</v>
      </c>
      <c r="F144" s="3">
        <v>481</v>
      </c>
      <c r="G144" s="3">
        <v>481</v>
      </c>
      <c r="H144" s="4">
        <f t="shared" si="2"/>
        <v>962</v>
      </c>
      <c r="I144" s="8"/>
      <c r="J144" s="8"/>
      <c r="K144" s="8"/>
      <c r="L144" s="8"/>
      <c r="M144" s="8"/>
      <c r="N144" s="8"/>
      <c r="O144" s="8"/>
    </row>
    <row r="145" spans="1:15" x14ac:dyDescent="0.3">
      <c r="A145" s="2" t="s">
        <v>152</v>
      </c>
      <c r="B145" s="2" t="s">
        <v>240</v>
      </c>
      <c r="C145" s="2" t="s">
        <v>122</v>
      </c>
      <c r="D145" s="2" t="s">
        <v>77</v>
      </c>
      <c r="E145" s="2" t="s">
        <v>45</v>
      </c>
      <c r="F145" s="3">
        <v>1030</v>
      </c>
      <c r="G145" s="3">
        <v>1030</v>
      </c>
      <c r="H145" s="4">
        <f t="shared" si="2"/>
        <v>2060</v>
      </c>
      <c r="I145" s="8"/>
      <c r="J145" s="8"/>
      <c r="K145" s="8"/>
      <c r="L145" s="8"/>
      <c r="M145" s="8"/>
      <c r="N145" s="8"/>
      <c r="O145" s="8"/>
    </row>
    <row r="146" spans="1:15" x14ac:dyDescent="0.3">
      <c r="A146" s="2" t="s">
        <v>152</v>
      </c>
      <c r="B146" s="2" t="s">
        <v>240</v>
      </c>
      <c r="C146" s="2" t="s">
        <v>76</v>
      </c>
      <c r="D146" s="2" t="s">
        <v>77</v>
      </c>
      <c r="E146" s="2" t="s">
        <v>45</v>
      </c>
      <c r="F146" s="3">
        <v>1007</v>
      </c>
      <c r="G146" s="3">
        <v>1007</v>
      </c>
      <c r="H146" s="4">
        <f t="shared" si="2"/>
        <v>2014</v>
      </c>
      <c r="I146" s="8"/>
      <c r="J146" s="8"/>
      <c r="K146" s="8"/>
      <c r="L146" s="8"/>
      <c r="M146" s="8"/>
      <c r="N146" s="8"/>
      <c r="O146" s="8"/>
    </row>
    <row r="147" spans="1:15" x14ac:dyDescent="0.3">
      <c r="A147" s="2" t="s">
        <v>152</v>
      </c>
      <c r="B147" s="2" t="s">
        <v>240</v>
      </c>
      <c r="C147" s="2" t="s">
        <v>437</v>
      </c>
      <c r="D147" s="2" t="s">
        <v>82</v>
      </c>
      <c r="E147" s="2" t="s">
        <v>45</v>
      </c>
      <c r="F147" s="3">
        <v>987</v>
      </c>
      <c r="G147" s="3">
        <v>987</v>
      </c>
      <c r="H147" s="4">
        <f t="shared" si="2"/>
        <v>1974</v>
      </c>
      <c r="I147" s="8"/>
      <c r="J147" s="8"/>
      <c r="K147" s="8"/>
      <c r="L147" s="8"/>
      <c r="M147" s="8"/>
      <c r="N147" s="8"/>
      <c r="O147" s="8"/>
    </row>
    <row r="148" spans="1:15" x14ac:dyDescent="0.3">
      <c r="A148" s="2" t="s">
        <v>152</v>
      </c>
      <c r="B148" s="2" t="s">
        <v>240</v>
      </c>
      <c r="C148" s="2" t="s">
        <v>439</v>
      </c>
      <c r="D148" s="2" t="s">
        <v>82</v>
      </c>
      <c r="E148" s="2" t="s">
        <v>45</v>
      </c>
      <c r="F148" s="3">
        <v>929</v>
      </c>
      <c r="G148" s="3">
        <v>929</v>
      </c>
      <c r="H148" s="4">
        <f t="shared" si="2"/>
        <v>1858</v>
      </c>
      <c r="I148" s="8"/>
      <c r="J148" s="8"/>
      <c r="K148" s="8"/>
      <c r="L148" s="8"/>
      <c r="M148" s="8"/>
      <c r="N148" s="8"/>
      <c r="O148" s="8"/>
    </row>
    <row r="149" spans="1:15" x14ac:dyDescent="0.3">
      <c r="A149" s="2" t="s">
        <v>152</v>
      </c>
      <c r="B149" s="2" t="s">
        <v>240</v>
      </c>
      <c r="C149" s="2" t="s">
        <v>441</v>
      </c>
      <c r="D149" s="2" t="s">
        <v>82</v>
      </c>
      <c r="E149" s="2" t="s">
        <v>45</v>
      </c>
      <c r="F149" s="3">
        <v>917</v>
      </c>
      <c r="G149" s="3">
        <v>917</v>
      </c>
      <c r="H149" s="4">
        <f t="shared" si="2"/>
        <v>1834</v>
      </c>
      <c r="I149" s="8"/>
      <c r="J149" s="8"/>
      <c r="K149" s="8"/>
      <c r="L149" s="8"/>
      <c r="M149" s="8"/>
      <c r="N149" s="8"/>
      <c r="O149" s="8"/>
    </row>
    <row r="150" spans="1:15" x14ac:dyDescent="0.3">
      <c r="A150" s="2" t="s">
        <v>152</v>
      </c>
      <c r="B150" s="2" t="s">
        <v>240</v>
      </c>
      <c r="C150" s="2" t="s">
        <v>392</v>
      </c>
      <c r="D150" s="2" t="s">
        <v>35</v>
      </c>
      <c r="E150" s="2" t="s">
        <v>45</v>
      </c>
      <c r="F150" s="3">
        <v>872</v>
      </c>
      <c r="G150" s="3">
        <v>872</v>
      </c>
      <c r="H150" s="4">
        <f t="shared" si="2"/>
        <v>1744</v>
      </c>
      <c r="I150" s="8"/>
      <c r="J150" s="8"/>
      <c r="K150" s="8"/>
      <c r="L150" s="8"/>
      <c r="M150" s="8"/>
      <c r="N150" s="8"/>
      <c r="O150" s="8"/>
    </row>
    <row r="151" spans="1:15" x14ac:dyDescent="0.3">
      <c r="A151" s="2" t="s">
        <v>152</v>
      </c>
      <c r="B151" s="2" t="s">
        <v>240</v>
      </c>
      <c r="C151" s="2" t="s">
        <v>84</v>
      </c>
      <c r="D151" s="2" t="s">
        <v>35</v>
      </c>
      <c r="E151" s="2" t="s">
        <v>45</v>
      </c>
      <c r="F151" s="3">
        <v>863</v>
      </c>
      <c r="G151" s="3">
        <v>863</v>
      </c>
      <c r="H151" s="4">
        <f t="shared" si="2"/>
        <v>1726</v>
      </c>
      <c r="I151" s="8"/>
      <c r="J151" s="8"/>
      <c r="K151" s="8"/>
      <c r="L151" s="8"/>
      <c r="M151" s="8"/>
      <c r="N151" s="8"/>
      <c r="O151" s="8"/>
    </row>
    <row r="152" spans="1:15" x14ac:dyDescent="0.3">
      <c r="A152" s="2" t="s">
        <v>152</v>
      </c>
      <c r="B152" s="2" t="s">
        <v>240</v>
      </c>
      <c r="C152" s="2" t="s">
        <v>81</v>
      </c>
      <c r="D152" s="2" t="s">
        <v>82</v>
      </c>
      <c r="E152" s="2" t="s">
        <v>45</v>
      </c>
      <c r="F152" s="3">
        <v>828</v>
      </c>
      <c r="G152" s="3">
        <v>828</v>
      </c>
      <c r="H152" s="4">
        <f t="shared" si="2"/>
        <v>1656</v>
      </c>
      <c r="I152" s="8"/>
      <c r="J152" s="8"/>
      <c r="K152" s="8"/>
      <c r="L152" s="8"/>
      <c r="M152" s="8"/>
      <c r="N152" s="8"/>
      <c r="O152" s="8"/>
    </row>
    <row r="153" spans="1:15" x14ac:dyDescent="0.3">
      <c r="A153" s="2" t="s">
        <v>152</v>
      </c>
      <c r="B153" s="2" t="s">
        <v>240</v>
      </c>
      <c r="C153" s="2" t="s">
        <v>34</v>
      </c>
      <c r="D153" s="2" t="s">
        <v>35</v>
      </c>
      <c r="E153" s="2" t="s">
        <v>45</v>
      </c>
      <c r="F153" s="3">
        <v>795</v>
      </c>
      <c r="G153" s="3">
        <v>795</v>
      </c>
      <c r="H153" s="4">
        <f t="shared" si="2"/>
        <v>1590</v>
      </c>
      <c r="I153" s="8"/>
      <c r="J153" s="8"/>
      <c r="K153" s="8"/>
      <c r="L153" s="8"/>
      <c r="M153" s="8"/>
      <c r="N153" s="8"/>
      <c r="O153" s="8"/>
    </row>
    <row r="154" spans="1:15" x14ac:dyDescent="0.3">
      <c r="A154" s="2" t="s">
        <v>152</v>
      </c>
      <c r="B154" s="2" t="s">
        <v>240</v>
      </c>
      <c r="C154" s="2" t="s">
        <v>43</v>
      </c>
      <c r="D154" s="2" t="s">
        <v>44</v>
      </c>
      <c r="E154" s="2" t="s">
        <v>45</v>
      </c>
      <c r="F154" s="3">
        <v>761</v>
      </c>
      <c r="G154" s="3">
        <v>761</v>
      </c>
      <c r="H154" s="4">
        <f t="shared" si="2"/>
        <v>1522</v>
      </c>
      <c r="I154" s="8"/>
      <c r="J154" s="8"/>
      <c r="K154" s="8"/>
      <c r="L154" s="8"/>
      <c r="M154" s="8"/>
      <c r="N154" s="8"/>
      <c r="O154" s="8"/>
    </row>
    <row r="155" spans="1:15" x14ac:dyDescent="0.3">
      <c r="A155" s="2" t="s">
        <v>152</v>
      </c>
      <c r="B155" s="2" t="s">
        <v>240</v>
      </c>
      <c r="C155" s="2" t="s">
        <v>62</v>
      </c>
      <c r="D155" s="2" t="s">
        <v>48</v>
      </c>
      <c r="E155" s="2" t="s">
        <v>45</v>
      </c>
      <c r="F155" s="3">
        <v>699</v>
      </c>
      <c r="G155" s="3">
        <v>699</v>
      </c>
      <c r="H155" s="4">
        <f t="shared" si="2"/>
        <v>1398</v>
      </c>
      <c r="I155" s="8"/>
      <c r="J155" s="8"/>
      <c r="K155" s="8"/>
      <c r="L155" s="8"/>
      <c r="M155" s="8"/>
      <c r="N155" s="8"/>
      <c r="O155" s="8"/>
    </row>
    <row r="156" spans="1:15" x14ac:dyDescent="0.3">
      <c r="A156" s="2" t="s">
        <v>152</v>
      </c>
      <c r="B156" s="2" t="s">
        <v>240</v>
      </c>
      <c r="C156" s="2" t="s">
        <v>58</v>
      </c>
      <c r="D156" s="2" t="s">
        <v>48</v>
      </c>
      <c r="E156" s="2" t="s">
        <v>45</v>
      </c>
      <c r="F156" s="3">
        <v>696</v>
      </c>
      <c r="G156" s="3">
        <v>696</v>
      </c>
      <c r="H156" s="4">
        <f t="shared" si="2"/>
        <v>1392</v>
      </c>
      <c r="I156" s="8"/>
      <c r="J156" s="8"/>
      <c r="K156" s="8"/>
      <c r="L156" s="8"/>
      <c r="M156" s="8"/>
      <c r="N156" s="8"/>
      <c r="O156" s="8"/>
    </row>
    <row r="157" spans="1:15" x14ac:dyDescent="0.3">
      <c r="A157" s="2" t="s">
        <v>152</v>
      </c>
      <c r="B157" s="2" t="s">
        <v>240</v>
      </c>
      <c r="C157" s="2" t="s">
        <v>101</v>
      </c>
      <c r="D157" s="2" t="s">
        <v>90</v>
      </c>
      <c r="E157" s="2" t="s">
        <v>45</v>
      </c>
      <c r="F157" s="3">
        <v>612</v>
      </c>
      <c r="G157" s="3">
        <v>612</v>
      </c>
      <c r="H157" s="4">
        <f t="shared" si="2"/>
        <v>1224</v>
      </c>
      <c r="I157" s="8"/>
      <c r="J157" s="8"/>
      <c r="K157" s="8"/>
      <c r="L157" s="8"/>
      <c r="M157" s="8"/>
      <c r="N157" s="8"/>
      <c r="O157" s="8"/>
    </row>
    <row r="158" spans="1:15" x14ac:dyDescent="0.3">
      <c r="A158" s="2" t="s">
        <v>152</v>
      </c>
      <c r="B158" s="2" t="s">
        <v>240</v>
      </c>
      <c r="C158" s="2" t="s">
        <v>87</v>
      </c>
      <c r="D158" s="2" t="s">
        <v>48</v>
      </c>
      <c r="E158" s="2" t="s">
        <v>45</v>
      </c>
      <c r="F158" s="3">
        <v>583</v>
      </c>
      <c r="G158" s="3">
        <v>583</v>
      </c>
      <c r="H158" s="4">
        <f t="shared" si="2"/>
        <v>1166</v>
      </c>
      <c r="I158" s="8"/>
      <c r="J158" s="8"/>
      <c r="K158" s="8"/>
      <c r="L158" s="8"/>
      <c r="M158" s="8"/>
      <c r="N158" s="8"/>
      <c r="O158" s="8"/>
    </row>
    <row r="159" spans="1:15" x14ac:dyDescent="0.3">
      <c r="A159" s="2" t="s">
        <v>152</v>
      </c>
      <c r="B159" s="2" t="s">
        <v>240</v>
      </c>
      <c r="C159" s="2" t="s">
        <v>99</v>
      </c>
      <c r="D159" s="2" t="s">
        <v>90</v>
      </c>
      <c r="E159" s="2" t="s">
        <v>45</v>
      </c>
      <c r="F159" s="3">
        <v>569</v>
      </c>
      <c r="G159" s="3">
        <v>569</v>
      </c>
      <c r="H159" s="4">
        <f t="shared" si="2"/>
        <v>1138</v>
      </c>
      <c r="I159" s="8"/>
      <c r="J159" s="8"/>
      <c r="K159" s="8"/>
      <c r="L159" s="8"/>
      <c r="M159" s="8"/>
      <c r="N159" s="8"/>
      <c r="O159" s="8"/>
    </row>
    <row r="160" spans="1:15" x14ac:dyDescent="0.3">
      <c r="A160" s="2" t="s">
        <v>152</v>
      </c>
      <c r="B160" s="2" t="s">
        <v>240</v>
      </c>
      <c r="C160" s="2" t="s">
        <v>386</v>
      </c>
      <c r="D160" s="2" t="s">
        <v>90</v>
      </c>
      <c r="E160" s="2" t="s">
        <v>45</v>
      </c>
      <c r="F160" s="3">
        <v>543</v>
      </c>
      <c r="G160" s="3">
        <v>543</v>
      </c>
      <c r="H160" s="4">
        <f t="shared" si="2"/>
        <v>1086</v>
      </c>
      <c r="I160" s="8"/>
      <c r="J160" s="8"/>
      <c r="K160" s="8"/>
      <c r="L160" s="8"/>
      <c r="M160" s="8"/>
      <c r="N160" s="8"/>
      <c r="O160" s="8"/>
    </row>
    <row r="161" spans="1:15" x14ac:dyDescent="0.3">
      <c r="A161" s="2" t="s">
        <v>152</v>
      </c>
      <c r="B161" s="2" t="s">
        <v>240</v>
      </c>
      <c r="C161" s="2" t="s">
        <v>430</v>
      </c>
      <c r="D161" s="2" t="s">
        <v>230</v>
      </c>
      <c r="E161" s="2" t="s">
        <v>45</v>
      </c>
      <c r="F161" s="3">
        <v>500</v>
      </c>
      <c r="G161" s="3">
        <v>500</v>
      </c>
      <c r="H161" s="4">
        <f t="shared" si="2"/>
        <v>1000</v>
      </c>
      <c r="I161" s="8"/>
      <c r="J161" s="8"/>
      <c r="K161" s="8"/>
      <c r="L161" s="8"/>
      <c r="M161" s="8"/>
      <c r="N161" s="8"/>
      <c r="O161" s="8"/>
    </row>
    <row r="162" spans="1:15" x14ac:dyDescent="0.3">
      <c r="A162" s="2" t="s">
        <v>152</v>
      </c>
      <c r="B162" s="2" t="s">
        <v>240</v>
      </c>
      <c r="C162" s="2" t="s">
        <v>390</v>
      </c>
      <c r="D162" s="2" t="s">
        <v>90</v>
      </c>
      <c r="E162" s="2" t="s">
        <v>45</v>
      </c>
      <c r="F162" s="3">
        <v>482</v>
      </c>
      <c r="G162" s="3">
        <v>482</v>
      </c>
      <c r="H162" s="4">
        <f t="shared" si="2"/>
        <v>964</v>
      </c>
      <c r="I162" s="8"/>
      <c r="J162" s="8"/>
      <c r="K162" s="8"/>
      <c r="L162" s="8"/>
      <c r="M162" s="8"/>
      <c r="N162" s="8"/>
      <c r="O162" s="8"/>
    </row>
    <row r="163" spans="1:15" x14ac:dyDescent="0.3">
      <c r="A163" s="2" t="s">
        <v>152</v>
      </c>
      <c r="B163" s="2" t="s">
        <v>240</v>
      </c>
      <c r="C163" s="2" t="s">
        <v>414</v>
      </c>
      <c r="D163" s="2" t="s">
        <v>230</v>
      </c>
      <c r="E163" s="2" t="s">
        <v>45</v>
      </c>
      <c r="F163" s="3">
        <v>477</v>
      </c>
      <c r="G163" s="3">
        <v>477</v>
      </c>
      <c r="H163" s="4">
        <f t="shared" si="2"/>
        <v>954</v>
      </c>
      <c r="I163" s="8"/>
      <c r="J163" s="8"/>
      <c r="K163" s="8"/>
      <c r="L163" s="8"/>
      <c r="M163" s="8"/>
      <c r="N163" s="8"/>
      <c r="O163" s="8"/>
    </row>
    <row r="164" spans="1:15" x14ac:dyDescent="0.3">
      <c r="A164" s="2" t="s">
        <v>152</v>
      </c>
      <c r="B164" s="2" t="s">
        <v>240</v>
      </c>
      <c r="C164" s="2" t="s">
        <v>446</v>
      </c>
      <c r="D164" s="2" t="s">
        <v>230</v>
      </c>
      <c r="E164" s="2" t="s">
        <v>45</v>
      </c>
      <c r="F164" s="3">
        <v>408</v>
      </c>
      <c r="G164" s="3">
        <v>408</v>
      </c>
      <c r="H164" s="4">
        <f t="shared" si="2"/>
        <v>816</v>
      </c>
      <c r="I164" s="8"/>
      <c r="J164" s="8"/>
      <c r="K164" s="8"/>
      <c r="L164" s="8"/>
      <c r="M164" s="8"/>
      <c r="N164" s="8"/>
      <c r="O164" s="8"/>
    </row>
    <row r="165" spans="1:15" x14ac:dyDescent="0.3">
      <c r="A165" s="2" t="s">
        <v>152</v>
      </c>
      <c r="B165" s="2" t="s">
        <v>240</v>
      </c>
      <c r="C165" s="2" t="s">
        <v>229</v>
      </c>
      <c r="D165" s="2" t="s">
        <v>230</v>
      </c>
      <c r="E165" s="2" t="s">
        <v>45</v>
      </c>
      <c r="F165" s="3">
        <v>369</v>
      </c>
      <c r="G165" s="3">
        <v>369</v>
      </c>
      <c r="H165" s="4">
        <f t="shared" si="2"/>
        <v>738</v>
      </c>
      <c r="I165" s="8"/>
      <c r="J165" s="8"/>
      <c r="K165" s="8"/>
      <c r="L165" s="8"/>
      <c r="M165" s="8"/>
      <c r="N165" s="8"/>
      <c r="O165" s="8"/>
    </row>
    <row r="166" spans="1:15" x14ac:dyDescent="0.3">
      <c r="A166" s="2" t="s">
        <v>152</v>
      </c>
      <c r="B166" s="2" t="s">
        <v>240</v>
      </c>
      <c r="C166" s="2" t="s">
        <v>417</v>
      </c>
      <c r="D166" s="2" t="s">
        <v>230</v>
      </c>
      <c r="E166" s="2" t="s">
        <v>45</v>
      </c>
      <c r="F166" s="3">
        <v>316</v>
      </c>
      <c r="G166" s="3">
        <v>316</v>
      </c>
      <c r="H166" s="4">
        <f t="shared" si="2"/>
        <v>632</v>
      </c>
      <c r="I166" s="8"/>
      <c r="J166" s="8"/>
      <c r="K166" s="8"/>
      <c r="L166" s="8"/>
      <c r="M166" s="8"/>
      <c r="N166" s="8"/>
      <c r="O166" s="8"/>
    </row>
    <row r="167" spans="1:15" x14ac:dyDescent="0.3">
      <c r="A167" s="2" t="s">
        <v>152</v>
      </c>
      <c r="B167" s="2" t="s">
        <v>240</v>
      </c>
      <c r="C167" s="2" t="s">
        <v>410</v>
      </c>
      <c r="D167" s="2" t="s">
        <v>73</v>
      </c>
      <c r="E167" s="2" t="s">
        <v>54</v>
      </c>
      <c r="F167" s="3">
        <v>1606</v>
      </c>
      <c r="G167" s="3">
        <v>1606</v>
      </c>
      <c r="H167" s="4">
        <f t="shared" si="2"/>
        <v>3212</v>
      </c>
      <c r="I167" s="8"/>
      <c r="J167" s="8"/>
      <c r="K167" s="8"/>
      <c r="L167" s="8"/>
      <c r="M167" s="8"/>
      <c r="N167" s="8"/>
      <c r="O167" s="8"/>
    </row>
    <row r="168" spans="1:15" x14ac:dyDescent="0.3">
      <c r="A168" s="2" t="s">
        <v>152</v>
      </c>
      <c r="B168" s="2" t="s">
        <v>240</v>
      </c>
      <c r="C168" s="2" t="s">
        <v>119</v>
      </c>
      <c r="D168" s="2" t="s">
        <v>120</v>
      </c>
      <c r="E168" s="2" t="s">
        <v>54</v>
      </c>
      <c r="F168" s="3">
        <v>1605</v>
      </c>
      <c r="G168" s="3">
        <v>1605</v>
      </c>
      <c r="H168" s="4">
        <f t="shared" si="2"/>
        <v>3210</v>
      </c>
      <c r="I168" s="8"/>
      <c r="J168" s="8"/>
      <c r="K168" s="8"/>
      <c r="L168" s="8"/>
      <c r="M168" s="8"/>
      <c r="N168" s="8"/>
      <c r="O168" s="8"/>
    </row>
    <row r="169" spans="1:15" x14ac:dyDescent="0.3">
      <c r="A169" s="2" t="s">
        <v>152</v>
      </c>
      <c r="B169" s="2" t="s">
        <v>240</v>
      </c>
      <c r="C169" s="2" t="s">
        <v>113</v>
      </c>
      <c r="D169" s="2" t="s">
        <v>73</v>
      </c>
      <c r="E169" s="2" t="s">
        <v>54</v>
      </c>
      <c r="F169" s="3">
        <v>1525</v>
      </c>
      <c r="G169" s="3">
        <v>1525</v>
      </c>
      <c r="H169" s="4">
        <f t="shared" si="2"/>
        <v>3050</v>
      </c>
      <c r="I169" s="8"/>
      <c r="J169" s="8"/>
      <c r="K169" s="8"/>
      <c r="L169" s="8"/>
      <c r="M169" s="8"/>
      <c r="N169" s="8"/>
      <c r="O169" s="8"/>
    </row>
    <row r="170" spans="1:15" x14ac:dyDescent="0.3">
      <c r="A170" s="2" t="s">
        <v>152</v>
      </c>
      <c r="B170" s="2" t="s">
        <v>240</v>
      </c>
      <c r="C170" s="2" t="s">
        <v>72</v>
      </c>
      <c r="D170" s="2" t="s">
        <v>73</v>
      </c>
      <c r="E170" s="2" t="s">
        <v>54</v>
      </c>
      <c r="F170" s="3">
        <v>1373</v>
      </c>
      <c r="G170" s="3">
        <v>1373</v>
      </c>
      <c r="H170" s="4">
        <f t="shared" si="2"/>
        <v>2746</v>
      </c>
      <c r="I170" s="8"/>
      <c r="J170" s="8"/>
      <c r="K170" s="8"/>
      <c r="L170" s="8"/>
      <c r="M170" s="8"/>
      <c r="N170" s="8"/>
      <c r="O170" s="8"/>
    </row>
    <row r="171" spans="1:15" x14ac:dyDescent="0.3">
      <c r="A171" s="2" t="s">
        <v>152</v>
      </c>
      <c r="B171" s="2" t="s">
        <v>240</v>
      </c>
      <c r="C171" s="2" t="s">
        <v>60</v>
      </c>
      <c r="D171" s="2" t="s">
        <v>60</v>
      </c>
      <c r="E171" s="2" t="s">
        <v>54</v>
      </c>
      <c r="F171" s="3">
        <v>1251</v>
      </c>
      <c r="G171" s="3">
        <v>1251</v>
      </c>
      <c r="H171" s="4">
        <f t="shared" si="2"/>
        <v>2502</v>
      </c>
      <c r="I171" s="8"/>
      <c r="J171" s="8"/>
      <c r="K171" s="8"/>
      <c r="L171" s="8"/>
      <c r="M171" s="8"/>
      <c r="N171" s="8"/>
      <c r="O171" s="8"/>
    </row>
    <row r="172" spans="1:15" x14ac:dyDescent="0.3">
      <c r="A172" s="2" t="s">
        <v>152</v>
      </c>
      <c r="B172" s="2" t="s">
        <v>240</v>
      </c>
      <c r="C172" s="2" t="s">
        <v>56</v>
      </c>
      <c r="D172" s="2" t="s">
        <v>53</v>
      </c>
      <c r="E172" s="2" t="s">
        <v>54</v>
      </c>
      <c r="F172" s="3">
        <v>1205</v>
      </c>
      <c r="G172" s="3">
        <v>1205</v>
      </c>
      <c r="H172" s="4">
        <f t="shared" si="2"/>
        <v>2410</v>
      </c>
      <c r="I172" s="8"/>
      <c r="J172" s="8"/>
      <c r="K172" s="8"/>
      <c r="L172" s="8"/>
      <c r="M172" s="8"/>
      <c r="N172" s="8"/>
      <c r="O172" s="8"/>
    </row>
    <row r="173" spans="1:15" x14ac:dyDescent="0.3">
      <c r="A173" s="2" t="s">
        <v>152</v>
      </c>
      <c r="B173" s="2" t="s">
        <v>240</v>
      </c>
      <c r="C173" s="2" t="s">
        <v>444</v>
      </c>
      <c r="D173" s="2" t="s">
        <v>53</v>
      </c>
      <c r="E173" s="2" t="s">
        <v>54</v>
      </c>
      <c r="F173" s="3">
        <v>1116</v>
      </c>
      <c r="G173" s="3">
        <v>1116</v>
      </c>
      <c r="H173" s="4">
        <f t="shared" si="2"/>
        <v>2232</v>
      </c>
      <c r="I173" s="8"/>
      <c r="J173" s="8"/>
      <c r="K173" s="8"/>
      <c r="L173" s="8"/>
      <c r="M173" s="8"/>
      <c r="N173" s="8"/>
      <c r="O173" s="8"/>
    </row>
    <row r="174" spans="1:15" x14ac:dyDescent="0.3">
      <c r="A174" s="2" t="s">
        <v>152</v>
      </c>
      <c r="B174" s="2" t="s">
        <v>240</v>
      </c>
      <c r="C174" s="2" t="s">
        <v>70</v>
      </c>
      <c r="D174" s="2" t="s">
        <v>70</v>
      </c>
      <c r="E174" s="2" t="s">
        <v>54</v>
      </c>
      <c r="F174" s="3">
        <v>1086</v>
      </c>
      <c r="G174" s="3">
        <v>1086</v>
      </c>
      <c r="H174" s="4">
        <f t="shared" si="2"/>
        <v>2172</v>
      </c>
      <c r="I174" s="8"/>
      <c r="J174" s="8"/>
      <c r="K174" s="8"/>
      <c r="L174" s="8"/>
      <c r="M174" s="8"/>
      <c r="N174" s="8"/>
      <c r="O174" s="8"/>
    </row>
    <row r="175" spans="1:15" x14ac:dyDescent="0.3">
      <c r="A175" s="2" t="s">
        <v>152</v>
      </c>
      <c r="B175" s="2" t="s">
        <v>240</v>
      </c>
      <c r="C175" s="2" t="s">
        <v>97</v>
      </c>
      <c r="D175" s="2" t="s">
        <v>53</v>
      </c>
      <c r="E175" s="2" t="s">
        <v>54</v>
      </c>
      <c r="F175" s="3">
        <v>964</v>
      </c>
      <c r="G175" s="3">
        <v>964</v>
      </c>
      <c r="H175" s="4">
        <f t="shared" si="2"/>
        <v>1928</v>
      </c>
      <c r="I175" s="8"/>
      <c r="J175" s="8"/>
      <c r="K175" s="8"/>
      <c r="L175" s="8"/>
      <c r="M175" s="8"/>
      <c r="N175" s="8"/>
      <c r="O175" s="8"/>
    </row>
    <row r="176" spans="1:15" x14ac:dyDescent="0.3">
      <c r="A176" s="2" t="s">
        <v>152</v>
      </c>
      <c r="B176" s="2" t="s">
        <v>240</v>
      </c>
      <c r="C176" s="2" t="s">
        <v>52</v>
      </c>
      <c r="D176" s="2" t="s">
        <v>53</v>
      </c>
      <c r="E176" s="2" t="s">
        <v>54</v>
      </c>
      <c r="F176" s="3">
        <v>949</v>
      </c>
      <c r="G176" s="3">
        <v>949</v>
      </c>
      <c r="H176" s="4">
        <f t="shared" si="2"/>
        <v>1898</v>
      </c>
      <c r="I176" s="8"/>
      <c r="J176" s="8"/>
      <c r="K176" s="8"/>
      <c r="L176" s="8"/>
      <c r="M176" s="8"/>
      <c r="N176" s="8"/>
      <c r="O176" s="8"/>
    </row>
    <row r="177" spans="1:15" x14ac:dyDescent="0.3">
      <c r="A177" s="2" t="s">
        <v>152</v>
      </c>
      <c r="B177" s="2" t="s">
        <v>240</v>
      </c>
      <c r="C177" s="2" t="s">
        <v>68</v>
      </c>
      <c r="D177" s="2" t="s">
        <v>68</v>
      </c>
      <c r="E177" s="2" t="s">
        <v>28</v>
      </c>
      <c r="F177" s="3">
        <v>1050</v>
      </c>
      <c r="G177" s="3">
        <v>1050</v>
      </c>
      <c r="H177" s="4">
        <f t="shared" si="2"/>
        <v>2100</v>
      </c>
      <c r="I177" s="8"/>
      <c r="J177" s="8"/>
      <c r="K177" s="8"/>
      <c r="L177" s="8"/>
      <c r="M177" s="8"/>
      <c r="N177" s="8"/>
      <c r="O177" s="8"/>
    </row>
    <row r="178" spans="1:15" x14ac:dyDescent="0.3">
      <c r="A178" s="2" t="s">
        <v>152</v>
      </c>
      <c r="B178" s="2" t="s">
        <v>240</v>
      </c>
      <c r="C178" s="2" t="s">
        <v>27</v>
      </c>
      <c r="D178" s="2" t="s">
        <v>27</v>
      </c>
      <c r="E178" s="2" t="s">
        <v>28</v>
      </c>
      <c r="F178" s="3">
        <v>1020</v>
      </c>
      <c r="G178" s="3">
        <v>1020</v>
      </c>
      <c r="H178" s="4">
        <f t="shared" si="2"/>
        <v>2040</v>
      </c>
      <c r="I178" s="8"/>
      <c r="J178" s="8"/>
      <c r="K178" s="8"/>
      <c r="L178" s="8"/>
      <c r="M178" s="8"/>
      <c r="N178" s="8"/>
      <c r="O178" s="8"/>
    </row>
    <row r="179" spans="1:15" x14ac:dyDescent="0.3">
      <c r="A179" s="2" t="s">
        <v>152</v>
      </c>
      <c r="B179" s="2" t="s">
        <v>240</v>
      </c>
      <c r="C179" s="2" t="s">
        <v>403</v>
      </c>
      <c r="D179" s="2" t="s">
        <v>50</v>
      </c>
      <c r="E179" s="2" t="s">
        <v>28</v>
      </c>
      <c r="F179" s="3">
        <v>1016</v>
      </c>
      <c r="G179" s="3">
        <v>1016</v>
      </c>
      <c r="H179" s="4">
        <f t="shared" si="2"/>
        <v>2032</v>
      </c>
      <c r="I179" s="8"/>
      <c r="J179" s="8"/>
      <c r="K179" s="8"/>
      <c r="L179" s="8"/>
      <c r="M179" s="8"/>
      <c r="N179" s="8"/>
      <c r="O179" s="8"/>
    </row>
    <row r="180" spans="1:15" x14ac:dyDescent="0.3">
      <c r="A180" s="2" t="s">
        <v>152</v>
      </c>
      <c r="B180" s="2" t="s">
        <v>240</v>
      </c>
      <c r="C180" s="2" t="s">
        <v>50</v>
      </c>
      <c r="D180" s="2" t="s">
        <v>50</v>
      </c>
      <c r="E180" s="2" t="s">
        <v>28</v>
      </c>
      <c r="F180" s="3">
        <v>927</v>
      </c>
      <c r="G180" s="3">
        <v>927</v>
      </c>
      <c r="H180" s="4">
        <f t="shared" si="2"/>
        <v>1854</v>
      </c>
      <c r="I180" s="8"/>
      <c r="J180" s="8"/>
      <c r="K180" s="8"/>
      <c r="L180" s="8"/>
      <c r="M180" s="8"/>
      <c r="N180" s="8"/>
      <c r="O180" s="8"/>
    </row>
    <row r="181" spans="1:15" x14ac:dyDescent="0.3">
      <c r="A181" s="2" t="s">
        <v>152</v>
      </c>
      <c r="B181" s="2" t="s">
        <v>240</v>
      </c>
      <c r="C181" s="2" t="s">
        <v>92</v>
      </c>
      <c r="D181" s="2" t="s">
        <v>93</v>
      </c>
      <c r="E181" s="2" t="s">
        <v>28</v>
      </c>
      <c r="F181" s="3">
        <v>891</v>
      </c>
      <c r="G181" s="3">
        <v>891</v>
      </c>
      <c r="H181" s="4">
        <f t="shared" si="2"/>
        <v>1782</v>
      </c>
      <c r="I181" s="8"/>
      <c r="J181" s="8"/>
      <c r="K181" s="8"/>
      <c r="L181" s="8"/>
      <c r="M181" s="8"/>
      <c r="N181" s="8"/>
      <c r="O181" s="8"/>
    </row>
    <row r="182" spans="1:15" x14ac:dyDescent="0.3">
      <c r="A182" s="2" t="s">
        <v>152</v>
      </c>
      <c r="B182" s="2" t="s">
        <v>240</v>
      </c>
      <c r="C182" s="2" t="s">
        <v>64</v>
      </c>
      <c r="D182" s="2" t="s">
        <v>65</v>
      </c>
      <c r="E182" s="2" t="s">
        <v>28</v>
      </c>
      <c r="F182" s="3">
        <v>856</v>
      </c>
      <c r="G182" s="3">
        <v>856</v>
      </c>
      <c r="H182" s="4">
        <f t="shared" si="2"/>
        <v>1712</v>
      </c>
      <c r="I182" s="8"/>
      <c r="J182" s="8"/>
      <c r="K182" s="8"/>
      <c r="L182" s="8"/>
      <c r="M182" s="8"/>
      <c r="N182" s="8"/>
      <c r="O182" s="8"/>
    </row>
    <row r="183" spans="1:15" x14ac:dyDescent="0.3">
      <c r="A183" s="2" t="s">
        <v>152</v>
      </c>
      <c r="B183" s="2" t="s">
        <v>240</v>
      </c>
      <c r="C183" s="2" t="s">
        <v>401</v>
      </c>
      <c r="D183" s="2" t="s">
        <v>104</v>
      </c>
      <c r="E183" s="2" t="s">
        <v>28</v>
      </c>
      <c r="F183" s="3">
        <v>817</v>
      </c>
      <c r="G183" s="3">
        <v>817</v>
      </c>
      <c r="H183" s="4">
        <f t="shared" si="2"/>
        <v>1634</v>
      </c>
      <c r="I183" s="8"/>
      <c r="J183" s="8"/>
      <c r="K183" s="8"/>
      <c r="L183" s="8"/>
      <c r="M183" s="8"/>
      <c r="N183" s="8"/>
      <c r="O183" s="8"/>
    </row>
    <row r="184" spans="1:15" x14ac:dyDescent="0.3">
      <c r="A184" s="2" t="s">
        <v>152</v>
      </c>
      <c r="B184" s="2" t="s">
        <v>240</v>
      </c>
      <c r="C184" s="2" t="s">
        <v>65</v>
      </c>
      <c r="D184" s="2" t="s">
        <v>65</v>
      </c>
      <c r="E184" s="2" t="s">
        <v>28</v>
      </c>
      <c r="F184" s="3">
        <v>777</v>
      </c>
      <c r="G184" s="3">
        <v>777</v>
      </c>
      <c r="H184" s="4">
        <f t="shared" si="2"/>
        <v>1554</v>
      </c>
      <c r="I184" s="8"/>
      <c r="J184" s="8"/>
      <c r="K184" s="8"/>
      <c r="L184" s="8"/>
      <c r="M184" s="8"/>
      <c r="N184" s="8"/>
      <c r="O184" s="8"/>
    </row>
    <row r="185" spans="1:15" x14ac:dyDescent="0.3">
      <c r="A185" s="2" t="s">
        <v>35</v>
      </c>
      <c r="B185" s="2" t="s">
        <v>34</v>
      </c>
      <c r="C185" s="2" t="s">
        <v>36</v>
      </c>
      <c r="D185" s="2" t="s">
        <v>37</v>
      </c>
      <c r="E185" s="2" t="s">
        <v>38</v>
      </c>
      <c r="F185" s="3">
        <v>728</v>
      </c>
      <c r="G185" s="3">
        <v>728</v>
      </c>
      <c r="H185" s="4">
        <f t="shared" si="2"/>
        <v>1456</v>
      </c>
      <c r="I185" s="8"/>
      <c r="J185" s="8"/>
      <c r="K185" s="8"/>
      <c r="L185" s="8"/>
      <c r="M185" s="8"/>
      <c r="N185" s="8"/>
      <c r="O185" s="8"/>
    </row>
    <row r="186" spans="1:15" x14ac:dyDescent="0.3">
      <c r="A186" s="2" t="s">
        <v>26</v>
      </c>
      <c r="B186" s="2" t="s">
        <v>25</v>
      </c>
      <c r="C186" s="2" t="s">
        <v>479</v>
      </c>
      <c r="D186" s="2" t="s">
        <v>37</v>
      </c>
      <c r="E186" s="2" t="s">
        <v>38</v>
      </c>
      <c r="F186" s="3">
        <v>201</v>
      </c>
      <c r="G186" s="3">
        <v>201</v>
      </c>
      <c r="H186" s="4">
        <f t="shared" si="2"/>
        <v>402</v>
      </c>
      <c r="I186" s="8"/>
      <c r="J186" s="8"/>
      <c r="K186" s="8"/>
      <c r="L186" s="8"/>
      <c r="M186" s="8"/>
      <c r="N186" s="8"/>
      <c r="O186" s="8"/>
    </row>
    <row r="187" spans="1:15" x14ac:dyDescent="0.3">
      <c r="A187" s="2" t="s">
        <v>26</v>
      </c>
      <c r="B187" s="2" t="s">
        <v>25</v>
      </c>
      <c r="C187" s="2" t="s">
        <v>282</v>
      </c>
      <c r="D187" s="2" t="s">
        <v>281</v>
      </c>
      <c r="E187" s="2" t="s">
        <v>38</v>
      </c>
      <c r="F187" s="3">
        <v>187</v>
      </c>
      <c r="G187" s="3">
        <v>187</v>
      </c>
      <c r="H187" s="4">
        <f t="shared" si="2"/>
        <v>374</v>
      </c>
      <c r="I187" s="8"/>
      <c r="J187" s="8"/>
      <c r="K187" s="8"/>
      <c r="L187" s="8"/>
      <c r="M187" s="8"/>
      <c r="N187" s="8"/>
      <c r="O187" s="8"/>
    </row>
    <row r="188" spans="1:15" x14ac:dyDescent="0.3">
      <c r="A188" s="2" t="s">
        <v>26</v>
      </c>
      <c r="B188" s="2" t="s">
        <v>25</v>
      </c>
      <c r="C188" s="2" t="s">
        <v>497</v>
      </c>
      <c r="D188" s="2" t="s">
        <v>152</v>
      </c>
      <c r="E188" s="2" t="s">
        <v>38</v>
      </c>
      <c r="F188" s="3">
        <v>153</v>
      </c>
      <c r="G188" s="3">
        <v>153</v>
      </c>
      <c r="H188" s="4">
        <f t="shared" si="2"/>
        <v>306</v>
      </c>
      <c r="I188" s="8"/>
      <c r="J188" s="8"/>
      <c r="K188" s="8"/>
      <c r="L188" s="8"/>
      <c r="M188" s="8"/>
      <c r="N188" s="8"/>
      <c r="O188" s="8"/>
    </row>
    <row r="189" spans="1:15" x14ac:dyDescent="0.3">
      <c r="A189" s="2" t="s">
        <v>26</v>
      </c>
      <c r="B189" s="2" t="s">
        <v>25</v>
      </c>
      <c r="C189" s="2" t="s">
        <v>224</v>
      </c>
      <c r="D189" s="2" t="s">
        <v>152</v>
      </c>
      <c r="E189" s="2" t="s">
        <v>38</v>
      </c>
      <c r="F189" s="3">
        <v>149</v>
      </c>
      <c r="G189" s="3">
        <v>149</v>
      </c>
      <c r="H189" s="4">
        <f t="shared" si="2"/>
        <v>298</v>
      </c>
      <c r="I189" s="8"/>
      <c r="J189" s="8"/>
      <c r="K189" s="8"/>
      <c r="L189" s="8"/>
      <c r="M189" s="8"/>
      <c r="N189" s="8"/>
      <c r="O189" s="8"/>
    </row>
    <row r="190" spans="1:15" x14ac:dyDescent="0.3">
      <c r="A190" s="2" t="s">
        <v>26</v>
      </c>
      <c r="B190" s="2" t="s">
        <v>25</v>
      </c>
      <c r="C190" s="2" t="s">
        <v>501</v>
      </c>
      <c r="D190" s="2" t="s">
        <v>281</v>
      </c>
      <c r="E190" s="2" t="s">
        <v>38</v>
      </c>
      <c r="F190" s="3">
        <v>141</v>
      </c>
      <c r="G190" s="3">
        <v>141</v>
      </c>
      <c r="H190" s="4">
        <f t="shared" si="2"/>
        <v>282</v>
      </c>
      <c r="I190" s="8"/>
      <c r="J190" s="8"/>
      <c r="K190" s="8"/>
      <c r="L190" s="8"/>
      <c r="M190" s="8"/>
      <c r="N190" s="8"/>
      <c r="O190" s="8"/>
    </row>
    <row r="191" spans="1:15" x14ac:dyDescent="0.3">
      <c r="A191" s="2" t="s">
        <v>26</v>
      </c>
      <c r="B191" s="2" t="s">
        <v>25</v>
      </c>
      <c r="C191" s="2" t="s">
        <v>192</v>
      </c>
      <c r="D191" s="2" t="s">
        <v>37</v>
      </c>
      <c r="E191" s="2" t="s">
        <v>38</v>
      </c>
      <c r="F191" s="3">
        <v>138</v>
      </c>
      <c r="G191" s="3">
        <v>138</v>
      </c>
      <c r="H191" s="4">
        <f t="shared" si="2"/>
        <v>276</v>
      </c>
      <c r="I191" s="8"/>
      <c r="J191" s="8"/>
      <c r="K191" s="8"/>
      <c r="L191" s="8"/>
      <c r="M191" s="8"/>
      <c r="N191" s="8"/>
      <c r="O191" s="8"/>
    </row>
    <row r="192" spans="1:15" x14ac:dyDescent="0.3">
      <c r="A192" s="2" t="s">
        <v>26</v>
      </c>
      <c r="B192" s="2" t="s">
        <v>25</v>
      </c>
      <c r="C192" s="2" t="s">
        <v>495</v>
      </c>
      <c r="D192" s="2" t="s">
        <v>152</v>
      </c>
      <c r="E192" s="2" t="s">
        <v>38</v>
      </c>
      <c r="F192" s="3">
        <v>138</v>
      </c>
      <c r="G192" s="3">
        <v>138</v>
      </c>
      <c r="H192" s="4">
        <f t="shared" si="2"/>
        <v>276</v>
      </c>
      <c r="I192" s="8"/>
      <c r="J192" s="8"/>
      <c r="K192" s="8"/>
      <c r="L192" s="8"/>
      <c r="M192" s="8"/>
      <c r="N192" s="8"/>
      <c r="O192" s="8"/>
    </row>
    <row r="193" spans="1:15" x14ac:dyDescent="0.3">
      <c r="A193" s="2" t="s">
        <v>26</v>
      </c>
      <c r="B193" s="2" t="s">
        <v>25</v>
      </c>
      <c r="C193" s="2" t="s">
        <v>481</v>
      </c>
      <c r="D193" s="2" t="s">
        <v>37</v>
      </c>
      <c r="E193" s="2" t="s">
        <v>38</v>
      </c>
      <c r="F193" s="3">
        <v>116</v>
      </c>
      <c r="G193" s="3">
        <v>116</v>
      </c>
      <c r="H193" s="4">
        <f t="shared" si="2"/>
        <v>232</v>
      </c>
      <c r="I193" s="8"/>
      <c r="J193" s="8"/>
      <c r="K193" s="8"/>
      <c r="L193" s="8"/>
      <c r="M193" s="8"/>
      <c r="N193" s="8"/>
      <c r="O193" s="8"/>
    </row>
    <row r="194" spans="1:15" x14ac:dyDescent="0.3">
      <c r="A194" s="2" t="s">
        <v>26</v>
      </c>
      <c r="B194" s="2" t="s">
        <v>25</v>
      </c>
      <c r="C194" s="2" t="s">
        <v>286</v>
      </c>
      <c r="D194" s="2" t="s">
        <v>285</v>
      </c>
      <c r="E194" s="2" t="s">
        <v>38</v>
      </c>
      <c r="F194" s="3">
        <v>110</v>
      </c>
      <c r="G194" s="3">
        <v>110</v>
      </c>
      <c r="H194" s="4">
        <f t="shared" ref="H194:H257" si="3">IF(F194="","",F194+G194)</f>
        <v>220</v>
      </c>
      <c r="I194" s="8"/>
      <c r="J194" s="8"/>
      <c r="K194" s="8"/>
      <c r="L194" s="8"/>
      <c r="M194" s="8"/>
      <c r="N194" s="8"/>
      <c r="O194" s="8"/>
    </row>
    <row r="195" spans="1:15" x14ac:dyDescent="0.3">
      <c r="A195" s="2" t="s">
        <v>26</v>
      </c>
      <c r="B195" s="2" t="s">
        <v>25</v>
      </c>
      <c r="C195" s="2" t="s">
        <v>204</v>
      </c>
      <c r="D195" s="2" t="s">
        <v>37</v>
      </c>
      <c r="E195" s="2" t="s">
        <v>38</v>
      </c>
      <c r="F195" s="3">
        <v>87</v>
      </c>
      <c r="G195" s="3">
        <v>87</v>
      </c>
      <c r="H195" s="4">
        <f t="shared" si="3"/>
        <v>174</v>
      </c>
      <c r="I195" s="8"/>
      <c r="J195" s="8"/>
      <c r="K195" s="8"/>
      <c r="L195" s="8"/>
      <c r="M195" s="8"/>
      <c r="N195" s="8"/>
      <c r="O195" s="8"/>
    </row>
    <row r="196" spans="1:15" x14ac:dyDescent="0.3">
      <c r="A196" s="2" t="s">
        <v>26</v>
      </c>
      <c r="B196" s="2" t="s">
        <v>25</v>
      </c>
      <c r="C196" s="2" t="s">
        <v>292</v>
      </c>
      <c r="D196" s="2" t="s">
        <v>37</v>
      </c>
      <c r="E196" s="2" t="s">
        <v>38</v>
      </c>
      <c r="F196" s="3">
        <v>84</v>
      </c>
      <c r="G196" s="3">
        <v>84</v>
      </c>
      <c r="H196" s="4">
        <f t="shared" si="3"/>
        <v>168</v>
      </c>
      <c r="I196" s="8"/>
      <c r="J196" s="8"/>
      <c r="K196" s="8"/>
      <c r="L196" s="8"/>
      <c r="M196" s="8"/>
      <c r="N196" s="8"/>
      <c r="O196" s="8"/>
    </row>
    <row r="197" spans="1:15" x14ac:dyDescent="0.3">
      <c r="A197" s="2" t="s">
        <v>26</v>
      </c>
      <c r="B197" s="2" t="s">
        <v>25</v>
      </c>
      <c r="C197" s="2" t="s">
        <v>373</v>
      </c>
      <c r="D197" s="2" t="s">
        <v>236</v>
      </c>
      <c r="E197" s="2" t="s">
        <v>133</v>
      </c>
      <c r="F197" s="3">
        <v>719</v>
      </c>
      <c r="G197" s="3">
        <v>719</v>
      </c>
      <c r="H197" s="4">
        <f t="shared" si="3"/>
        <v>1438</v>
      </c>
      <c r="I197" s="8"/>
      <c r="J197" s="8"/>
      <c r="K197" s="8"/>
      <c r="L197" s="8"/>
      <c r="M197" s="8"/>
      <c r="N197" s="8"/>
      <c r="O197" s="8"/>
    </row>
    <row r="198" spans="1:15" x14ac:dyDescent="0.3">
      <c r="A198" s="2" t="s">
        <v>26</v>
      </c>
      <c r="B198" s="2" t="s">
        <v>25</v>
      </c>
      <c r="C198" s="2" t="s">
        <v>235</v>
      </c>
      <c r="D198" s="2" t="s">
        <v>236</v>
      </c>
      <c r="E198" s="2" t="s">
        <v>133</v>
      </c>
      <c r="F198" s="3">
        <v>710</v>
      </c>
      <c r="G198" s="3">
        <v>710</v>
      </c>
      <c r="H198" s="4">
        <f t="shared" si="3"/>
        <v>1420</v>
      </c>
      <c r="I198" s="8"/>
      <c r="J198" s="8"/>
      <c r="K198" s="8"/>
      <c r="L198" s="8"/>
      <c r="M198" s="8"/>
      <c r="N198" s="8"/>
      <c r="O198" s="8"/>
    </row>
    <row r="199" spans="1:15" x14ac:dyDescent="0.3">
      <c r="A199" s="2" t="s">
        <v>26</v>
      </c>
      <c r="B199" s="2" t="s">
        <v>25</v>
      </c>
      <c r="C199" s="2" t="s">
        <v>160</v>
      </c>
      <c r="D199" s="2" t="s">
        <v>161</v>
      </c>
      <c r="E199" s="2" t="s">
        <v>133</v>
      </c>
      <c r="F199" s="3">
        <v>574</v>
      </c>
      <c r="G199" s="3">
        <v>574</v>
      </c>
      <c r="H199" s="4">
        <f t="shared" si="3"/>
        <v>1148</v>
      </c>
      <c r="I199" s="8"/>
      <c r="J199" s="8"/>
      <c r="K199" s="8"/>
      <c r="L199" s="8"/>
      <c r="M199" s="8"/>
      <c r="N199" s="8"/>
      <c r="O199" s="8"/>
    </row>
    <row r="200" spans="1:15" x14ac:dyDescent="0.3">
      <c r="A200" s="2" t="s">
        <v>26</v>
      </c>
      <c r="B200" s="2" t="s">
        <v>25</v>
      </c>
      <c r="C200" s="2" t="s">
        <v>344</v>
      </c>
      <c r="D200" s="2" t="s">
        <v>140</v>
      </c>
      <c r="E200" s="2" t="s">
        <v>133</v>
      </c>
      <c r="F200" s="3">
        <v>434</v>
      </c>
      <c r="G200" s="3">
        <v>434</v>
      </c>
      <c r="H200" s="4">
        <f t="shared" si="3"/>
        <v>868</v>
      </c>
      <c r="I200" s="8"/>
      <c r="J200" s="8"/>
      <c r="K200" s="8"/>
      <c r="L200" s="8"/>
      <c r="M200" s="8"/>
      <c r="N200" s="8"/>
      <c r="O200" s="8"/>
    </row>
    <row r="201" spans="1:15" x14ac:dyDescent="0.3">
      <c r="A201" s="2" t="s">
        <v>26</v>
      </c>
      <c r="B201" s="2" t="s">
        <v>25</v>
      </c>
      <c r="C201" s="2" t="s">
        <v>174</v>
      </c>
      <c r="D201" s="2" t="s">
        <v>140</v>
      </c>
      <c r="E201" s="2" t="s">
        <v>133</v>
      </c>
      <c r="F201" s="3">
        <v>393</v>
      </c>
      <c r="G201" s="3">
        <v>393</v>
      </c>
      <c r="H201" s="4">
        <f t="shared" si="3"/>
        <v>786</v>
      </c>
      <c r="I201" s="8"/>
      <c r="J201" s="8"/>
      <c r="K201" s="8"/>
      <c r="L201" s="8"/>
      <c r="M201" s="8"/>
      <c r="N201" s="8"/>
      <c r="O201" s="8"/>
    </row>
    <row r="202" spans="1:15" x14ac:dyDescent="0.3">
      <c r="A202" s="2" t="s">
        <v>26</v>
      </c>
      <c r="B202" s="2" t="s">
        <v>25</v>
      </c>
      <c r="C202" s="2" t="s">
        <v>139</v>
      </c>
      <c r="D202" s="2" t="s">
        <v>140</v>
      </c>
      <c r="E202" s="2" t="s">
        <v>133</v>
      </c>
      <c r="F202" s="3">
        <v>357</v>
      </c>
      <c r="G202" s="3">
        <v>357</v>
      </c>
      <c r="H202" s="4">
        <f t="shared" si="3"/>
        <v>714</v>
      </c>
      <c r="I202" s="8"/>
      <c r="J202" s="8"/>
      <c r="K202" s="8"/>
      <c r="L202" s="8"/>
      <c r="M202" s="8"/>
      <c r="N202" s="8"/>
      <c r="O202" s="8"/>
    </row>
    <row r="203" spans="1:15" x14ac:dyDescent="0.3">
      <c r="A203" s="2" t="s">
        <v>26</v>
      </c>
      <c r="B203" s="2" t="s">
        <v>25</v>
      </c>
      <c r="C203" s="2" t="s">
        <v>131</v>
      </c>
      <c r="D203" s="2" t="s">
        <v>132</v>
      </c>
      <c r="E203" s="2" t="s">
        <v>133</v>
      </c>
      <c r="F203" s="3">
        <v>315</v>
      </c>
      <c r="G203" s="3">
        <v>315</v>
      </c>
      <c r="H203" s="4">
        <f t="shared" si="3"/>
        <v>630</v>
      </c>
      <c r="I203" s="8"/>
      <c r="J203" s="8"/>
      <c r="K203" s="8"/>
      <c r="L203" s="8"/>
      <c r="M203" s="8"/>
      <c r="N203" s="8"/>
      <c r="O203" s="8"/>
    </row>
    <row r="204" spans="1:15" x14ac:dyDescent="0.3">
      <c r="A204" s="2" t="s">
        <v>26</v>
      </c>
      <c r="B204" s="2" t="s">
        <v>25</v>
      </c>
      <c r="C204" s="2" t="s">
        <v>246</v>
      </c>
      <c r="D204" s="2" t="s">
        <v>132</v>
      </c>
      <c r="E204" s="2" t="s">
        <v>133</v>
      </c>
      <c r="F204" s="3">
        <v>273</v>
      </c>
      <c r="G204" s="3">
        <v>273</v>
      </c>
      <c r="H204" s="4">
        <f t="shared" si="3"/>
        <v>546</v>
      </c>
      <c r="I204" s="8"/>
      <c r="J204" s="8"/>
      <c r="K204" s="8"/>
      <c r="L204" s="8"/>
      <c r="M204" s="8"/>
      <c r="N204" s="8"/>
      <c r="O204" s="8"/>
    </row>
    <row r="205" spans="1:15" x14ac:dyDescent="0.3">
      <c r="A205" s="2" t="s">
        <v>26</v>
      </c>
      <c r="B205" s="2" t="s">
        <v>25</v>
      </c>
      <c r="C205" s="2" t="s">
        <v>145</v>
      </c>
      <c r="D205" s="2" t="s">
        <v>146</v>
      </c>
      <c r="E205" s="2" t="s">
        <v>137</v>
      </c>
      <c r="F205" s="3">
        <v>631</v>
      </c>
      <c r="G205" s="3">
        <v>631</v>
      </c>
      <c r="H205" s="4">
        <f t="shared" si="3"/>
        <v>1262</v>
      </c>
      <c r="I205" s="8"/>
      <c r="J205" s="8"/>
      <c r="K205" s="8"/>
      <c r="L205" s="8"/>
      <c r="M205" s="8"/>
      <c r="N205" s="8"/>
      <c r="O205" s="8"/>
    </row>
    <row r="206" spans="1:15" x14ac:dyDescent="0.3">
      <c r="A206" s="2" t="s">
        <v>26</v>
      </c>
      <c r="B206" s="2" t="s">
        <v>25</v>
      </c>
      <c r="C206" s="2" t="s">
        <v>135</v>
      </c>
      <c r="D206" s="2" t="s">
        <v>136</v>
      </c>
      <c r="E206" s="2" t="s">
        <v>137</v>
      </c>
      <c r="F206" s="3">
        <v>580</v>
      </c>
      <c r="G206" s="3">
        <v>580</v>
      </c>
      <c r="H206" s="4">
        <f t="shared" si="3"/>
        <v>1160</v>
      </c>
      <c r="I206" s="8"/>
      <c r="J206" s="8"/>
      <c r="K206" s="8"/>
      <c r="L206" s="8"/>
      <c r="M206" s="8"/>
      <c r="N206" s="8"/>
      <c r="O206" s="8"/>
    </row>
    <row r="207" spans="1:15" x14ac:dyDescent="0.3">
      <c r="A207" s="2" t="s">
        <v>26</v>
      </c>
      <c r="B207" s="2" t="s">
        <v>25</v>
      </c>
      <c r="C207" s="2" t="s">
        <v>503</v>
      </c>
      <c r="D207" s="2" t="s">
        <v>136</v>
      </c>
      <c r="E207" s="2" t="s">
        <v>137</v>
      </c>
      <c r="F207" s="3">
        <v>566</v>
      </c>
      <c r="G207" s="3">
        <v>566</v>
      </c>
      <c r="H207" s="4">
        <f t="shared" si="3"/>
        <v>1132</v>
      </c>
      <c r="I207" s="8"/>
      <c r="J207" s="8"/>
      <c r="K207" s="8"/>
      <c r="L207" s="8"/>
      <c r="M207" s="8"/>
      <c r="N207" s="8"/>
      <c r="O207" s="8"/>
    </row>
    <row r="208" spans="1:15" x14ac:dyDescent="0.3">
      <c r="A208" s="2" t="s">
        <v>26</v>
      </c>
      <c r="B208" s="2" t="s">
        <v>25</v>
      </c>
      <c r="C208" s="2" t="s">
        <v>358</v>
      </c>
      <c r="D208" s="2" t="s">
        <v>358</v>
      </c>
      <c r="E208" s="2" t="s">
        <v>137</v>
      </c>
      <c r="F208" s="3">
        <v>544</v>
      </c>
      <c r="G208" s="3">
        <v>544</v>
      </c>
      <c r="H208" s="4">
        <f t="shared" si="3"/>
        <v>1088</v>
      </c>
      <c r="I208" s="8"/>
      <c r="J208" s="8"/>
      <c r="K208" s="8"/>
      <c r="L208" s="8"/>
      <c r="M208" s="8"/>
      <c r="N208" s="8"/>
      <c r="O208" s="8"/>
    </row>
    <row r="209" spans="1:15" x14ac:dyDescent="0.3">
      <c r="A209" s="2" t="s">
        <v>26</v>
      </c>
      <c r="B209" s="2" t="s">
        <v>25</v>
      </c>
      <c r="C209" s="2" t="s">
        <v>474</v>
      </c>
      <c r="D209" s="2" t="s">
        <v>363</v>
      </c>
      <c r="E209" s="2" t="s">
        <v>137</v>
      </c>
      <c r="F209" s="3">
        <v>510</v>
      </c>
      <c r="G209" s="3">
        <v>510</v>
      </c>
      <c r="H209" s="4">
        <f t="shared" si="3"/>
        <v>1020</v>
      </c>
      <c r="I209" s="8"/>
      <c r="J209" s="8"/>
      <c r="K209" s="8"/>
      <c r="L209" s="8"/>
      <c r="M209" s="8"/>
      <c r="N209" s="8"/>
      <c r="O209" s="8"/>
    </row>
    <row r="210" spans="1:15" x14ac:dyDescent="0.3">
      <c r="A210" s="2" t="s">
        <v>26</v>
      </c>
      <c r="B210" s="2" t="s">
        <v>25</v>
      </c>
      <c r="C210" s="2" t="s">
        <v>371</v>
      </c>
      <c r="D210" s="2" t="s">
        <v>143</v>
      </c>
      <c r="E210" s="2" t="s">
        <v>137</v>
      </c>
      <c r="F210" s="3">
        <v>482</v>
      </c>
      <c r="G210" s="3">
        <v>482</v>
      </c>
      <c r="H210" s="4">
        <f t="shared" si="3"/>
        <v>964</v>
      </c>
      <c r="I210" s="8"/>
      <c r="J210" s="8"/>
      <c r="K210" s="8"/>
      <c r="L210" s="8"/>
      <c r="M210" s="8"/>
      <c r="N210" s="8"/>
      <c r="O210" s="8"/>
    </row>
    <row r="211" spans="1:15" x14ac:dyDescent="0.3">
      <c r="A211" s="2" t="s">
        <v>26</v>
      </c>
      <c r="B211" s="2" t="s">
        <v>25</v>
      </c>
      <c r="C211" s="2" t="s">
        <v>142</v>
      </c>
      <c r="D211" s="2" t="s">
        <v>143</v>
      </c>
      <c r="E211" s="2" t="s">
        <v>137</v>
      </c>
      <c r="F211" s="3">
        <v>442</v>
      </c>
      <c r="G211" s="3">
        <v>442</v>
      </c>
      <c r="H211" s="4">
        <f t="shared" si="3"/>
        <v>884</v>
      </c>
      <c r="I211" s="8"/>
      <c r="J211" s="8"/>
      <c r="K211" s="8"/>
      <c r="L211" s="8"/>
      <c r="M211" s="8"/>
      <c r="N211" s="8"/>
      <c r="O211" s="8"/>
    </row>
    <row r="212" spans="1:15" x14ac:dyDescent="0.3">
      <c r="A212" s="2" t="s">
        <v>26</v>
      </c>
      <c r="B212" s="2" t="s">
        <v>25</v>
      </c>
      <c r="C212" s="2" t="s">
        <v>122</v>
      </c>
      <c r="D212" s="2" t="s">
        <v>77</v>
      </c>
      <c r="E212" s="2" t="s">
        <v>45</v>
      </c>
      <c r="F212" s="3">
        <v>899</v>
      </c>
      <c r="G212" s="3">
        <v>899</v>
      </c>
      <c r="H212" s="4">
        <f t="shared" si="3"/>
        <v>1798</v>
      </c>
      <c r="I212" s="8"/>
      <c r="J212" s="8"/>
      <c r="K212" s="8"/>
      <c r="L212" s="8"/>
      <c r="M212" s="8"/>
      <c r="N212" s="8"/>
      <c r="O212" s="8"/>
    </row>
    <row r="213" spans="1:15" x14ac:dyDescent="0.3">
      <c r="A213" s="2" t="s">
        <v>26</v>
      </c>
      <c r="B213" s="2" t="s">
        <v>25</v>
      </c>
      <c r="C213" s="2" t="s">
        <v>76</v>
      </c>
      <c r="D213" s="2" t="s">
        <v>77</v>
      </c>
      <c r="E213" s="2" t="s">
        <v>45</v>
      </c>
      <c r="F213" s="3">
        <v>858</v>
      </c>
      <c r="G213" s="3">
        <v>858</v>
      </c>
      <c r="H213" s="4">
        <f t="shared" si="3"/>
        <v>1716</v>
      </c>
      <c r="I213" s="8"/>
      <c r="J213" s="8"/>
      <c r="K213" s="8"/>
      <c r="L213" s="8"/>
      <c r="M213" s="8"/>
      <c r="N213" s="8"/>
      <c r="O213" s="8"/>
    </row>
    <row r="214" spans="1:15" x14ac:dyDescent="0.3">
      <c r="A214" s="2" t="s">
        <v>26</v>
      </c>
      <c r="B214" s="2" t="s">
        <v>25</v>
      </c>
      <c r="C214" s="2" t="s">
        <v>108</v>
      </c>
      <c r="D214" s="2" t="s">
        <v>82</v>
      </c>
      <c r="E214" s="2" t="s">
        <v>45</v>
      </c>
      <c r="F214" s="3">
        <v>788</v>
      </c>
      <c r="G214" s="3">
        <v>788</v>
      </c>
      <c r="H214" s="4">
        <f t="shared" si="3"/>
        <v>1576</v>
      </c>
      <c r="I214" s="8"/>
      <c r="J214" s="8"/>
      <c r="K214" s="8"/>
      <c r="L214" s="8"/>
      <c r="M214" s="8"/>
      <c r="N214" s="8"/>
      <c r="O214" s="8"/>
    </row>
    <row r="215" spans="1:15" x14ac:dyDescent="0.3">
      <c r="A215" s="2" t="s">
        <v>26</v>
      </c>
      <c r="B215" s="2" t="s">
        <v>25</v>
      </c>
      <c r="C215" s="2" t="s">
        <v>84</v>
      </c>
      <c r="D215" s="2" t="s">
        <v>35</v>
      </c>
      <c r="E215" s="2" t="s">
        <v>45</v>
      </c>
      <c r="F215" s="3">
        <v>733</v>
      </c>
      <c r="G215" s="3">
        <v>733</v>
      </c>
      <c r="H215" s="4">
        <f t="shared" si="3"/>
        <v>1466</v>
      </c>
      <c r="I215" s="8"/>
      <c r="J215" s="8"/>
      <c r="K215" s="8"/>
      <c r="L215" s="8"/>
      <c r="M215" s="8"/>
      <c r="N215" s="8"/>
      <c r="O215" s="8"/>
    </row>
    <row r="216" spans="1:15" x14ac:dyDescent="0.3">
      <c r="A216" s="2" t="s">
        <v>26</v>
      </c>
      <c r="B216" s="2" t="s">
        <v>25</v>
      </c>
      <c r="C216" s="2" t="s">
        <v>81</v>
      </c>
      <c r="D216" s="2" t="s">
        <v>82</v>
      </c>
      <c r="E216" s="2" t="s">
        <v>45</v>
      </c>
      <c r="F216" s="3">
        <v>716</v>
      </c>
      <c r="G216" s="3">
        <v>716</v>
      </c>
      <c r="H216" s="4">
        <f t="shared" si="3"/>
        <v>1432</v>
      </c>
      <c r="I216" s="8"/>
      <c r="J216" s="8"/>
      <c r="K216" s="8"/>
      <c r="L216" s="8"/>
      <c r="M216" s="8"/>
      <c r="N216" s="8"/>
      <c r="O216" s="8"/>
    </row>
    <row r="217" spans="1:15" x14ac:dyDescent="0.3">
      <c r="A217" s="2" t="s">
        <v>26</v>
      </c>
      <c r="B217" s="2" t="s">
        <v>25</v>
      </c>
      <c r="C217" s="2" t="s">
        <v>148</v>
      </c>
      <c r="D217" s="2" t="s">
        <v>82</v>
      </c>
      <c r="E217" s="2" t="s">
        <v>45</v>
      </c>
      <c r="F217" s="3">
        <v>655</v>
      </c>
      <c r="G217" s="3">
        <v>655</v>
      </c>
      <c r="H217" s="4">
        <f t="shared" si="3"/>
        <v>1310</v>
      </c>
      <c r="I217" s="8"/>
      <c r="J217" s="8"/>
      <c r="K217" s="8"/>
      <c r="L217" s="8"/>
      <c r="M217" s="8"/>
      <c r="N217" s="8"/>
      <c r="O217" s="8"/>
    </row>
    <row r="218" spans="1:15" x14ac:dyDescent="0.3">
      <c r="A218" s="2" t="s">
        <v>26</v>
      </c>
      <c r="B218" s="2" t="s">
        <v>25</v>
      </c>
      <c r="C218" s="2" t="s">
        <v>34</v>
      </c>
      <c r="D218" s="2" t="s">
        <v>35</v>
      </c>
      <c r="E218" s="2" t="s">
        <v>45</v>
      </c>
      <c r="F218" s="3">
        <v>654</v>
      </c>
      <c r="G218" s="3">
        <v>654</v>
      </c>
      <c r="H218" s="4">
        <f t="shared" si="3"/>
        <v>1308</v>
      </c>
      <c r="I218" s="8"/>
      <c r="J218" s="8"/>
      <c r="K218" s="8"/>
      <c r="L218" s="8"/>
      <c r="M218" s="8"/>
      <c r="N218" s="8"/>
      <c r="O218" s="8"/>
    </row>
    <row r="219" spans="1:15" x14ac:dyDescent="0.3">
      <c r="A219" s="2" t="s">
        <v>26</v>
      </c>
      <c r="B219" s="2" t="s">
        <v>25</v>
      </c>
      <c r="C219" s="2" t="s">
        <v>43</v>
      </c>
      <c r="D219" s="2" t="s">
        <v>44</v>
      </c>
      <c r="E219" s="2" t="s">
        <v>45</v>
      </c>
      <c r="F219" s="3">
        <v>612</v>
      </c>
      <c r="G219" s="3">
        <v>612</v>
      </c>
      <c r="H219" s="4">
        <f t="shared" si="3"/>
        <v>1224</v>
      </c>
      <c r="I219" s="8"/>
      <c r="J219" s="8"/>
      <c r="K219" s="8"/>
      <c r="L219" s="8"/>
      <c r="M219" s="8"/>
      <c r="N219" s="8"/>
      <c r="O219" s="8"/>
    </row>
    <row r="220" spans="1:15" x14ac:dyDescent="0.3">
      <c r="A220" s="2" t="s">
        <v>26</v>
      </c>
      <c r="B220" s="2" t="s">
        <v>25</v>
      </c>
      <c r="C220" s="2" t="s">
        <v>47</v>
      </c>
      <c r="D220" s="2" t="s">
        <v>48</v>
      </c>
      <c r="E220" s="2" t="s">
        <v>45</v>
      </c>
      <c r="F220" s="3">
        <v>578</v>
      </c>
      <c r="G220" s="3">
        <v>578</v>
      </c>
      <c r="H220" s="4">
        <f t="shared" si="3"/>
        <v>1156</v>
      </c>
      <c r="I220" s="8"/>
      <c r="J220" s="8"/>
      <c r="K220" s="8"/>
      <c r="L220" s="8"/>
      <c r="M220" s="8"/>
      <c r="N220" s="8"/>
      <c r="O220" s="8"/>
    </row>
    <row r="221" spans="1:15" x14ac:dyDescent="0.3">
      <c r="A221" s="2" t="s">
        <v>26</v>
      </c>
      <c r="B221" s="2" t="s">
        <v>25</v>
      </c>
      <c r="C221" s="2" t="s">
        <v>117</v>
      </c>
      <c r="D221" s="2" t="s">
        <v>48</v>
      </c>
      <c r="E221" s="2" t="s">
        <v>45</v>
      </c>
      <c r="F221" s="3">
        <v>546</v>
      </c>
      <c r="G221" s="3">
        <v>546</v>
      </c>
      <c r="H221" s="4">
        <f t="shared" si="3"/>
        <v>1092</v>
      </c>
      <c r="I221" s="8"/>
      <c r="J221" s="8"/>
      <c r="K221" s="8"/>
      <c r="L221" s="8"/>
      <c r="M221" s="8"/>
      <c r="N221" s="8"/>
      <c r="O221" s="8"/>
    </row>
    <row r="222" spans="1:15" x14ac:dyDescent="0.3">
      <c r="A222" s="2" t="s">
        <v>26</v>
      </c>
      <c r="B222" s="2" t="s">
        <v>25</v>
      </c>
      <c r="C222" s="2" t="s">
        <v>62</v>
      </c>
      <c r="D222" s="2" t="s">
        <v>48</v>
      </c>
      <c r="E222" s="2" t="s">
        <v>45</v>
      </c>
      <c r="F222" s="3">
        <v>535</v>
      </c>
      <c r="G222" s="3">
        <v>535</v>
      </c>
      <c r="H222" s="4">
        <f t="shared" si="3"/>
        <v>1070</v>
      </c>
      <c r="I222" s="8"/>
      <c r="J222" s="8"/>
      <c r="K222" s="8"/>
      <c r="L222" s="8"/>
      <c r="M222" s="8"/>
      <c r="N222" s="8"/>
      <c r="O222" s="8"/>
    </row>
    <row r="223" spans="1:15" x14ac:dyDescent="0.3">
      <c r="A223" s="2" t="s">
        <v>26</v>
      </c>
      <c r="B223" s="2" t="s">
        <v>25</v>
      </c>
      <c r="C223" s="2" t="s">
        <v>58</v>
      </c>
      <c r="D223" s="2" t="s">
        <v>48</v>
      </c>
      <c r="E223" s="2" t="s">
        <v>45</v>
      </c>
      <c r="F223" s="3">
        <v>527</v>
      </c>
      <c r="G223" s="3">
        <v>527</v>
      </c>
      <c r="H223" s="4">
        <f t="shared" si="3"/>
        <v>1054</v>
      </c>
      <c r="I223" s="8"/>
      <c r="J223" s="8"/>
      <c r="K223" s="8"/>
      <c r="L223" s="8"/>
      <c r="M223" s="8"/>
      <c r="N223" s="8"/>
      <c r="O223" s="8"/>
    </row>
    <row r="224" spans="1:15" x14ac:dyDescent="0.3">
      <c r="A224" s="2" t="s">
        <v>26</v>
      </c>
      <c r="B224" s="2" t="s">
        <v>25</v>
      </c>
      <c r="C224" s="2" t="s">
        <v>101</v>
      </c>
      <c r="D224" s="2" t="s">
        <v>90</v>
      </c>
      <c r="E224" s="2" t="s">
        <v>45</v>
      </c>
      <c r="F224" s="3">
        <v>500</v>
      </c>
      <c r="G224" s="3">
        <v>500</v>
      </c>
      <c r="H224" s="4">
        <f t="shared" si="3"/>
        <v>1000</v>
      </c>
      <c r="I224" s="8"/>
      <c r="J224" s="8"/>
      <c r="K224" s="8"/>
      <c r="L224" s="8"/>
      <c r="M224" s="8"/>
      <c r="N224" s="8"/>
      <c r="O224" s="8"/>
    </row>
    <row r="225" spans="1:15" x14ac:dyDescent="0.3">
      <c r="A225" s="2" t="s">
        <v>26</v>
      </c>
      <c r="B225" s="2" t="s">
        <v>25</v>
      </c>
      <c r="C225" s="2" t="s">
        <v>115</v>
      </c>
      <c r="D225" s="2" t="s">
        <v>44</v>
      </c>
      <c r="E225" s="2" t="s">
        <v>45</v>
      </c>
      <c r="F225" s="3">
        <v>500</v>
      </c>
      <c r="G225" s="3">
        <v>500</v>
      </c>
      <c r="H225" s="4">
        <f t="shared" si="3"/>
        <v>1000</v>
      </c>
      <c r="I225" s="8"/>
      <c r="J225" s="8"/>
      <c r="K225" s="8"/>
      <c r="L225" s="8"/>
      <c r="M225" s="8"/>
      <c r="N225" s="8"/>
      <c r="O225" s="8"/>
    </row>
    <row r="226" spans="1:15" x14ac:dyDescent="0.3">
      <c r="A226" s="2" t="s">
        <v>26</v>
      </c>
      <c r="B226" s="2" t="s">
        <v>25</v>
      </c>
      <c r="C226" s="2" t="s">
        <v>99</v>
      </c>
      <c r="D226" s="2" t="s">
        <v>90</v>
      </c>
      <c r="E226" s="2" t="s">
        <v>45</v>
      </c>
      <c r="F226" s="3">
        <v>444</v>
      </c>
      <c r="G226" s="3">
        <v>444</v>
      </c>
      <c r="H226" s="4">
        <f t="shared" si="3"/>
        <v>888</v>
      </c>
      <c r="I226" s="8"/>
      <c r="J226" s="8"/>
      <c r="K226" s="8"/>
      <c r="L226" s="8"/>
      <c r="M226" s="8"/>
      <c r="N226" s="8"/>
      <c r="O226" s="8"/>
    </row>
    <row r="227" spans="1:15" x14ac:dyDescent="0.3">
      <c r="A227" s="2" t="s">
        <v>26</v>
      </c>
      <c r="B227" s="2" t="s">
        <v>25</v>
      </c>
      <c r="C227" s="2" t="s">
        <v>89</v>
      </c>
      <c r="D227" s="2" t="s">
        <v>90</v>
      </c>
      <c r="E227" s="2" t="s">
        <v>45</v>
      </c>
      <c r="F227" s="3">
        <v>441</v>
      </c>
      <c r="G227" s="3">
        <v>441</v>
      </c>
      <c r="H227" s="4">
        <f t="shared" si="3"/>
        <v>882</v>
      </c>
      <c r="I227" s="8"/>
      <c r="J227" s="8"/>
      <c r="K227" s="8"/>
      <c r="L227" s="8"/>
      <c r="M227" s="8"/>
      <c r="N227" s="8"/>
      <c r="O227" s="8"/>
    </row>
    <row r="228" spans="1:15" x14ac:dyDescent="0.3">
      <c r="A228" s="2" t="s">
        <v>26</v>
      </c>
      <c r="B228" s="2" t="s">
        <v>25</v>
      </c>
      <c r="C228" s="2" t="s">
        <v>87</v>
      </c>
      <c r="D228" s="2" t="s">
        <v>48</v>
      </c>
      <c r="E228" s="2" t="s">
        <v>45</v>
      </c>
      <c r="F228" s="3">
        <v>420</v>
      </c>
      <c r="G228" s="3">
        <v>420</v>
      </c>
      <c r="H228" s="4">
        <f t="shared" si="3"/>
        <v>840</v>
      </c>
      <c r="I228" s="8"/>
      <c r="J228" s="8"/>
      <c r="K228" s="8"/>
      <c r="L228" s="8"/>
      <c r="M228" s="8"/>
      <c r="N228" s="8"/>
      <c r="O228" s="8"/>
    </row>
    <row r="229" spans="1:15" x14ac:dyDescent="0.3">
      <c r="A229" s="2" t="s">
        <v>26</v>
      </c>
      <c r="B229" s="2" t="s">
        <v>25</v>
      </c>
      <c r="C229" s="2" t="s">
        <v>95</v>
      </c>
      <c r="D229" s="2" t="s">
        <v>90</v>
      </c>
      <c r="E229" s="2" t="s">
        <v>45</v>
      </c>
      <c r="F229" s="3">
        <v>318</v>
      </c>
      <c r="G229" s="3">
        <v>318</v>
      </c>
      <c r="H229" s="4">
        <f t="shared" si="3"/>
        <v>636</v>
      </c>
      <c r="I229" s="8"/>
      <c r="J229" s="8"/>
      <c r="K229" s="8"/>
      <c r="L229" s="8"/>
      <c r="M229" s="8"/>
      <c r="N229" s="8"/>
      <c r="O229" s="8"/>
    </row>
    <row r="230" spans="1:15" x14ac:dyDescent="0.3">
      <c r="A230" s="2" t="s">
        <v>26</v>
      </c>
      <c r="B230" s="2" t="s">
        <v>25</v>
      </c>
      <c r="C230" s="2" t="s">
        <v>229</v>
      </c>
      <c r="D230" s="2" t="s">
        <v>230</v>
      </c>
      <c r="E230" s="2" t="s">
        <v>45</v>
      </c>
      <c r="F230" s="3">
        <v>185</v>
      </c>
      <c r="G230" s="3">
        <v>185</v>
      </c>
      <c r="H230" s="4">
        <f t="shared" si="3"/>
        <v>370</v>
      </c>
      <c r="I230" s="8"/>
      <c r="J230" s="8"/>
      <c r="K230" s="8"/>
      <c r="L230" s="8"/>
      <c r="M230" s="8"/>
      <c r="N230" s="8"/>
      <c r="O230" s="8"/>
    </row>
    <row r="231" spans="1:15" x14ac:dyDescent="0.3">
      <c r="A231" s="2" t="s">
        <v>26</v>
      </c>
      <c r="B231" s="2" t="s">
        <v>25</v>
      </c>
      <c r="C231" s="2" t="s">
        <v>119</v>
      </c>
      <c r="D231" s="2" t="s">
        <v>120</v>
      </c>
      <c r="E231" s="2" t="s">
        <v>54</v>
      </c>
      <c r="F231" s="3">
        <v>1469</v>
      </c>
      <c r="G231" s="3">
        <v>1469</v>
      </c>
      <c r="H231" s="4">
        <f t="shared" si="3"/>
        <v>2938</v>
      </c>
      <c r="I231" s="8"/>
      <c r="J231" s="8"/>
      <c r="K231" s="8"/>
      <c r="L231" s="8"/>
      <c r="M231" s="8"/>
      <c r="N231" s="8"/>
      <c r="O231" s="8"/>
    </row>
    <row r="232" spans="1:15" x14ac:dyDescent="0.3">
      <c r="A232" s="2" t="s">
        <v>26</v>
      </c>
      <c r="B232" s="2" t="s">
        <v>25</v>
      </c>
      <c r="C232" s="2" t="s">
        <v>113</v>
      </c>
      <c r="D232" s="2" t="s">
        <v>73</v>
      </c>
      <c r="E232" s="2" t="s">
        <v>54</v>
      </c>
      <c r="F232" s="3">
        <v>1401</v>
      </c>
      <c r="G232" s="3">
        <v>1401</v>
      </c>
      <c r="H232" s="4">
        <f t="shared" si="3"/>
        <v>2802</v>
      </c>
      <c r="I232" s="8"/>
      <c r="J232" s="8"/>
      <c r="K232" s="8"/>
      <c r="L232" s="8"/>
      <c r="M232" s="8"/>
      <c r="N232" s="8"/>
      <c r="O232" s="8"/>
    </row>
    <row r="233" spans="1:15" x14ac:dyDescent="0.3">
      <c r="A233" s="2" t="s">
        <v>26</v>
      </c>
      <c r="B233" s="2" t="s">
        <v>25</v>
      </c>
      <c r="C233" s="2" t="s">
        <v>72</v>
      </c>
      <c r="D233" s="2" t="s">
        <v>73</v>
      </c>
      <c r="E233" s="2" t="s">
        <v>54</v>
      </c>
      <c r="F233" s="3">
        <v>1258</v>
      </c>
      <c r="G233" s="3">
        <v>1258</v>
      </c>
      <c r="H233" s="4">
        <f t="shared" si="3"/>
        <v>2516</v>
      </c>
      <c r="I233" s="8"/>
      <c r="J233" s="8"/>
      <c r="K233" s="8"/>
      <c r="L233" s="8"/>
      <c r="M233" s="8"/>
      <c r="N233" s="8"/>
      <c r="O233" s="8"/>
    </row>
    <row r="234" spans="1:15" x14ac:dyDescent="0.3">
      <c r="A234" s="2" t="s">
        <v>26</v>
      </c>
      <c r="B234" s="2" t="s">
        <v>25</v>
      </c>
      <c r="C234" s="2" t="s">
        <v>110</v>
      </c>
      <c r="D234" s="2" t="s">
        <v>111</v>
      </c>
      <c r="E234" s="2" t="s">
        <v>54</v>
      </c>
      <c r="F234" s="3">
        <v>1199</v>
      </c>
      <c r="G234" s="3">
        <v>1199</v>
      </c>
      <c r="H234" s="4">
        <f t="shared" si="3"/>
        <v>2398</v>
      </c>
      <c r="I234" s="8"/>
      <c r="J234" s="8"/>
      <c r="K234" s="8"/>
      <c r="L234" s="8"/>
      <c r="M234" s="8"/>
      <c r="N234" s="8"/>
      <c r="O234" s="8"/>
    </row>
    <row r="235" spans="1:15" x14ac:dyDescent="0.3">
      <c r="A235" s="2" t="s">
        <v>26</v>
      </c>
      <c r="B235" s="2" t="s">
        <v>25</v>
      </c>
      <c r="C235" s="2" t="s">
        <v>106</v>
      </c>
      <c r="D235" s="2" t="s">
        <v>73</v>
      </c>
      <c r="E235" s="2" t="s">
        <v>54</v>
      </c>
      <c r="F235" s="3">
        <v>1177</v>
      </c>
      <c r="G235" s="3">
        <v>1177</v>
      </c>
      <c r="H235" s="4">
        <f t="shared" si="3"/>
        <v>2354</v>
      </c>
      <c r="I235" s="8"/>
      <c r="J235" s="8"/>
      <c r="K235" s="8"/>
      <c r="L235" s="8"/>
      <c r="M235" s="8"/>
      <c r="N235" s="8"/>
      <c r="O235" s="8"/>
    </row>
    <row r="236" spans="1:15" x14ac:dyDescent="0.3">
      <c r="A236" s="2" t="s">
        <v>26</v>
      </c>
      <c r="B236" s="2" t="s">
        <v>25</v>
      </c>
      <c r="C236" s="2" t="s">
        <v>60</v>
      </c>
      <c r="D236" s="2" t="s">
        <v>60</v>
      </c>
      <c r="E236" s="2" t="s">
        <v>54</v>
      </c>
      <c r="F236" s="3">
        <v>1120</v>
      </c>
      <c r="G236" s="3">
        <v>1120</v>
      </c>
      <c r="H236" s="4">
        <f t="shared" si="3"/>
        <v>2240</v>
      </c>
      <c r="I236" s="8"/>
      <c r="J236" s="8"/>
      <c r="K236" s="8"/>
      <c r="L236" s="8"/>
      <c r="M236" s="8"/>
      <c r="N236" s="8"/>
      <c r="O236" s="8"/>
    </row>
    <row r="237" spans="1:15" x14ac:dyDescent="0.3">
      <c r="A237" s="2" t="s">
        <v>26</v>
      </c>
      <c r="B237" s="2" t="s">
        <v>25</v>
      </c>
      <c r="C237" s="2" t="s">
        <v>56</v>
      </c>
      <c r="D237" s="2" t="s">
        <v>53</v>
      </c>
      <c r="E237" s="2" t="s">
        <v>54</v>
      </c>
      <c r="F237" s="3">
        <v>1090</v>
      </c>
      <c r="G237" s="3">
        <v>1090</v>
      </c>
      <c r="H237" s="4">
        <f t="shared" si="3"/>
        <v>2180</v>
      </c>
      <c r="I237" s="8"/>
      <c r="J237" s="8"/>
      <c r="K237" s="8"/>
      <c r="L237" s="8"/>
      <c r="M237" s="8"/>
      <c r="N237" s="8"/>
      <c r="O237" s="8"/>
    </row>
    <row r="238" spans="1:15" x14ac:dyDescent="0.3">
      <c r="A238" s="2" t="s">
        <v>26</v>
      </c>
      <c r="B238" s="2" t="s">
        <v>25</v>
      </c>
      <c r="C238" s="2" t="s">
        <v>70</v>
      </c>
      <c r="D238" s="2" t="s">
        <v>70</v>
      </c>
      <c r="E238" s="2" t="s">
        <v>54</v>
      </c>
      <c r="F238" s="3">
        <v>949</v>
      </c>
      <c r="G238" s="3">
        <v>949</v>
      </c>
      <c r="H238" s="4">
        <f t="shared" si="3"/>
        <v>1898</v>
      </c>
      <c r="I238" s="8"/>
      <c r="J238" s="8"/>
      <c r="K238" s="8"/>
      <c r="L238" s="8"/>
      <c r="M238" s="8"/>
      <c r="N238" s="8"/>
      <c r="O238" s="8"/>
    </row>
    <row r="239" spans="1:15" x14ac:dyDescent="0.3">
      <c r="A239" s="2" t="s">
        <v>26</v>
      </c>
      <c r="B239" s="2" t="s">
        <v>25</v>
      </c>
      <c r="C239" s="2" t="s">
        <v>97</v>
      </c>
      <c r="D239" s="2" t="s">
        <v>53</v>
      </c>
      <c r="E239" s="2" t="s">
        <v>54</v>
      </c>
      <c r="F239" s="3">
        <v>873</v>
      </c>
      <c r="G239" s="3">
        <v>873</v>
      </c>
      <c r="H239" s="4">
        <f t="shared" si="3"/>
        <v>1746</v>
      </c>
      <c r="I239" s="8"/>
      <c r="J239" s="8"/>
      <c r="K239" s="8"/>
      <c r="L239" s="8"/>
      <c r="M239" s="8"/>
      <c r="N239" s="8"/>
      <c r="O239" s="8"/>
    </row>
    <row r="240" spans="1:15" x14ac:dyDescent="0.3">
      <c r="A240" s="2" t="s">
        <v>26</v>
      </c>
      <c r="B240" s="2" t="s">
        <v>25</v>
      </c>
      <c r="C240" s="2" t="s">
        <v>52</v>
      </c>
      <c r="D240" s="2" t="s">
        <v>53</v>
      </c>
      <c r="E240" s="2" t="s">
        <v>54</v>
      </c>
      <c r="F240" s="3">
        <v>846</v>
      </c>
      <c r="G240" s="3">
        <v>846</v>
      </c>
      <c r="H240" s="4">
        <f t="shared" si="3"/>
        <v>1692</v>
      </c>
      <c r="I240" s="8"/>
      <c r="J240" s="8"/>
      <c r="K240" s="8"/>
      <c r="L240" s="8"/>
      <c r="M240" s="8"/>
      <c r="N240" s="8"/>
      <c r="O240" s="8"/>
    </row>
    <row r="241" spans="1:15" x14ac:dyDescent="0.3">
      <c r="A241" s="2" t="s">
        <v>26</v>
      </c>
      <c r="B241" s="2" t="s">
        <v>25</v>
      </c>
      <c r="C241" s="2" t="s">
        <v>27</v>
      </c>
      <c r="D241" s="2" t="s">
        <v>27</v>
      </c>
      <c r="E241" s="2" t="s">
        <v>28</v>
      </c>
      <c r="F241" s="3">
        <v>876</v>
      </c>
      <c r="G241" s="3">
        <v>876</v>
      </c>
      <c r="H241" s="4">
        <f t="shared" si="3"/>
        <v>1752</v>
      </c>
      <c r="I241" s="8"/>
      <c r="J241" s="8"/>
      <c r="K241" s="8"/>
      <c r="L241" s="8"/>
      <c r="M241" s="8"/>
      <c r="N241" s="8"/>
      <c r="O241" s="8"/>
    </row>
    <row r="242" spans="1:15" x14ac:dyDescent="0.3">
      <c r="A242" s="2" t="s">
        <v>26</v>
      </c>
      <c r="B242" s="2" t="s">
        <v>25</v>
      </c>
      <c r="C242" s="2" t="s">
        <v>50</v>
      </c>
      <c r="D242" s="2" t="s">
        <v>50</v>
      </c>
      <c r="E242" s="2" t="s">
        <v>28</v>
      </c>
      <c r="F242" s="3">
        <v>787</v>
      </c>
      <c r="G242" s="3">
        <v>787</v>
      </c>
      <c r="H242" s="4">
        <f t="shared" si="3"/>
        <v>1574</v>
      </c>
      <c r="I242" s="8"/>
      <c r="J242" s="8"/>
      <c r="K242" s="8"/>
      <c r="L242" s="8"/>
      <c r="M242" s="8"/>
      <c r="N242" s="8"/>
      <c r="O242" s="8"/>
    </row>
    <row r="243" spans="1:15" x14ac:dyDescent="0.3">
      <c r="A243" s="2" t="s">
        <v>26</v>
      </c>
      <c r="B243" s="2" t="s">
        <v>25</v>
      </c>
      <c r="C243" s="2" t="s">
        <v>79</v>
      </c>
      <c r="D243" s="2" t="s">
        <v>65</v>
      </c>
      <c r="E243" s="2" t="s">
        <v>28</v>
      </c>
      <c r="F243" s="3">
        <v>759</v>
      </c>
      <c r="G243" s="3">
        <v>759</v>
      </c>
      <c r="H243" s="4">
        <f t="shared" si="3"/>
        <v>1518</v>
      </c>
      <c r="I243" s="8"/>
      <c r="J243" s="8"/>
      <c r="K243" s="8"/>
      <c r="L243" s="8"/>
      <c r="M243" s="8"/>
      <c r="N243" s="8"/>
      <c r="O243" s="8"/>
    </row>
    <row r="244" spans="1:15" x14ac:dyDescent="0.3">
      <c r="A244" s="2" t="s">
        <v>26</v>
      </c>
      <c r="B244" s="2" t="s">
        <v>25</v>
      </c>
      <c r="C244" s="2" t="s">
        <v>92</v>
      </c>
      <c r="D244" s="2" t="s">
        <v>93</v>
      </c>
      <c r="E244" s="2" t="s">
        <v>28</v>
      </c>
      <c r="F244" s="3">
        <v>744</v>
      </c>
      <c r="G244" s="3">
        <v>744</v>
      </c>
      <c r="H244" s="4">
        <f t="shared" si="3"/>
        <v>1488</v>
      </c>
      <c r="I244" s="8"/>
      <c r="J244" s="8"/>
      <c r="K244" s="8"/>
      <c r="L244" s="8"/>
      <c r="M244" s="8"/>
      <c r="N244" s="8"/>
      <c r="O244" s="8"/>
    </row>
    <row r="245" spans="1:15" x14ac:dyDescent="0.3">
      <c r="A245" s="2" t="s">
        <v>26</v>
      </c>
      <c r="B245" s="2" t="s">
        <v>25</v>
      </c>
      <c r="C245" s="2" t="s">
        <v>67</v>
      </c>
      <c r="D245" s="2" t="s">
        <v>68</v>
      </c>
      <c r="E245" s="2" t="s">
        <v>28</v>
      </c>
      <c r="F245" s="3">
        <v>721</v>
      </c>
      <c r="G245" s="3">
        <v>721</v>
      </c>
      <c r="H245" s="4">
        <f t="shared" si="3"/>
        <v>1442</v>
      </c>
      <c r="I245" s="8"/>
      <c r="J245" s="8"/>
      <c r="K245" s="8"/>
      <c r="L245" s="8"/>
      <c r="M245" s="8"/>
      <c r="N245" s="8"/>
      <c r="O245" s="8"/>
    </row>
    <row r="246" spans="1:15" x14ac:dyDescent="0.3">
      <c r="A246" s="2" t="s">
        <v>26</v>
      </c>
      <c r="B246" s="2" t="s">
        <v>25</v>
      </c>
      <c r="C246" s="2" t="s">
        <v>64</v>
      </c>
      <c r="D246" s="2" t="s">
        <v>65</v>
      </c>
      <c r="E246" s="2" t="s">
        <v>28</v>
      </c>
      <c r="F246" s="3">
        <v>713</v>
      </c>
      <c r="G246" s="3">
        <v>713</v>
      </c>
      <c r="H246" s="4">
        <f t="shared" si="3"/>
        <v>1426</v>
      </c>
      <c r="I246" s="8"/>
      <c r="J246" s="8"/>
      <c r="K246" s="8"/>
      <c r="L246" s="8"/>
      <c r="M246" s="8"/>
      <c r="N246" s="8"/>
      <c r="O246" s="8"/>
    </row>
    <row r="247" spans="1:15" x14ac:dyDescent="0.3">
      <c r="A247" s="2" t="s">
        <v>26</v>
      </c>
      <c r="B247" s="2" t="s">
        <v>25</v>
      </c>
      <c r="C247" s="2" t="s">
        <v>65</v>
      </c>
      <c r="D247" s="2" t="s">
        <v>65</v>
      </c>
      <c r="E247" s="2" t="s">
        <v>28</v>
      </c>
      <c r="F247" s="3">
        <v>635</v>
      </c>
      <c r="G247" s="3">
        <v>635</v>
      </c>
      <c r="H247" s="4">
        <f t="shared" si="3"/>
        <v>1270</v>
      </c>
      <c r="I247" s="8"/>
      <c r="J247" s="8"/>
      <c r="K247" s="8"/>
      <c r="L247" s="8"/>
      <c r="M247" s="8"/>
      <c r="N247" s="8"/>
      <c r="O247" s="8"/>
    </row>
    <row r="248" spans="1:15" x14ac:dyDescent="0.3">
      <c r="A248" s="2" t="s">
        <v>26</v>
      </c>
      <c r="B248" s="2" t="s">
        <v>25</v>
      </c>
      <c r="C248" s="2" t="s">
        <v>124</v>
      </c>
      <c r="D248" s="2" t="s">
        <v>104</v>
      </c>
      <c r="E248" s="2" t="s">
        <v>28</v>
      </c>
      <c r="F248" s="3">
        <v>553</v>
      </c>
      <c r="G248" s="3">
        <v>553</v>
      </c>
      <c r="H248" s="4">
        <f t="shared" si="3"/>
        <v>1106</v>
      </c>
      <c r="I248" s="8"/>
      <c r="J248" s="8"/>
      <c r="K248" s="8"/>
      <c r="L248" s="8"/>
      <c r="M248" s="8"/>
      <c r="N248" s="8"/>
      <c r="O248" s="8"/>
    </row>
    <row r="249" spans="1:15" x14ac:dyDescent="0.3">
      <c r="A249" s="2" t="s">
        <v>26</v>
      </c>
      <c r="B249" s="2" t="s">
        <v>25</v>
      </c>
      <c r="C249" s="2" t="s">
        <v>103</v>
      </c>
      <c r="D249" s="2" t="s">
        <v>104</v>
      </c>
      <c r="E249" s="2" t="s">
        <v>28</v>
      </c>
      <c r="F249" s="3">
        <v>480</v>
      </c>
      <c r="G249" s="3">
        <v>480</v>
      </c>
      <c r="H249" s="4">
        <f t="shared" si="3"/>
        <v>960</v>
      </c>
      <c r="I249" s="8"/>
      <c r="J249" s="8"/>
      <c r="K249" s="8"/>
      <c r="L249" s="8"/>
      <c r="M249" s="8"/>
      <c r="N249" s="8"/>
      <c r="O249" s="8"/>
    </row>
    <row r="250" spans="1:15" x14ac:dyDescent="0.3">
      <c r="A250" s="2" t="s">
        <v>161</v>
      </c>
      <c r="B250" s="2" t="s">
        <v>160</v>
      </c>
      <c r="C250" s="2" t="s">
        <v>592</v>
      </c>
      <c r="D250" s="2" t="s">
        <v>236</v>
      </c>
      <c r="E250" s="2" t="s">
        <v>133</v>
      </c>
      <c r="F250" s="3">
        <v>412</v>
      </c>
      <c r="G250" s="3">
        <v>412</v>
      </c>
      <c r="H250" s="4">
        <f t="shared" si="3"/>
        <v>824</v>
      </c>
      <c r="I250" s="8"/>
      <c r="J250" s="8"/>
      <c r="K250" s="8"/>
      <c r="L250" s="8"/>
      <c r="M250" s="8"/>
      <c r="N250" s="8"/>
      <c r="O250" s="8"/>
    </row>
    <row r="251" spans="1:15" x14ac:dyDescent="0.3">
      <c r="A251" s="2" t="s">
        <v>161</v>
      </c>
      <c r="B251" s="2" t="s">
        <v>160</v>
      </c>
      <c r="C251" s="2" t="s">
        <v>599</v>
      </c>
      <c r="D251" s="2" t="s">
        <v>236</v>
      </c>
      <c r="E251" s="2" t="s">
        <v>133</v>
      </c>
      <c r="F251" s="3">
        <v>375</v>
      </c>
      <c r="G251" s="3">
        <v>375</v>
      </c>
      <c r="H251" s="4">
        <f t="shared" si="3"/>
        <v>750</v>
      </c>
      <c r="I251" s="8"/>
      <c r="J251" s="8"/>
      <c r="K251" s="8"/>
      <c r="L251" s="8"/>
      <c r="M251" s="8"/>
      <c r="N251" s="8"/>
      <c r="O251" s="8"/>
    </row>
    <row r="252" spans="1:15" x14ac:dyDescent="0.3">
      <c r="A252" s="2" t="s">
        <v>161</v>
      </c>
      <c r="B252" s="2" t="s">
        <v>160</v>
      </c>
      <c r="C252" s="2" t="s">
        <v>426</v>
      </c>
      <c r="D252" s="2" t="s">
        <v>132</v>
      </c>
      <c r="E252" s="2" t="s">
        <v>133</v>
      </c>
      <c r="F252" s="3">
        <v>352</v>
      </c>
      <c r="G252" s="3">
        <v>352</v>
      </c>
      <c r="H252" s="4">
        <f t="shared" si="3"/>
        <v>704</v>
      </c>
      <c r="I252" s="8"/>
      <c r="J252" s="8"/>
      <c r="K252" s="8"/>
      <c r="L252" s="8"/>
      <c r="M252" s="8"/>
      <c r="N252" s="8"/>
      <c r="O252" s="8"/>
    </row>
    <row r="253" spans="1:15" x14ac:dyDescent="0.3">
      <c r="A253" s="2" t="s">
        <v>161</v>
      </c>
      <c r="B253" s="2" t="s">
        <v>160</v>
      </c>
      <c r="C253" s="2" t="s">
        <v>131</v>
      </c>
      <c r="D253" s="2" t="s">
        <v>132</v>
      </c>
      <c r="E253" s="2" t="s">
        <v>133</v>
      </c>
      <c r="F253" s="3">
        <v>308</v>
      </c>
      <c r="G253" s="3">
        <v>308</v>
      </c>
      <c r="H253" s="4">
        <f t="shared" si="3"/>
        <v>616</v>
      </c>
      <c r="I253" s="8"/>
      <c r="J253" s="8"/>
      <c r="K253" s="8"/>
      <c r="L253" s="8"/>
      <c r="M253" s="8"/>
      <c r="N253" s="8"/>
      <c r="O253" s="8"/>
    </row>
    <row r="254" spans="1:15" x14ac:dyDescent="0.3">
      <c r="A254" s="2" t="s">
        <v>161</v>
      </c>
      <c r="B254" s="2" t="s">
        <v>160</v>
      </c>
      <c r="C254" s="2" t="s">
        <v>246</v>
      </c>
      <c r="D254" s="2" t="s">
        <v>132</v>
      </c>
      <c r="E254" s="2" t="s">
        <v>133</v>
      </c>
      <c r="F254" s="3">
        <v>300</v>
      </c>
      <c r="G254" s="3">
        <v>300</v>
      </c>
      <c r="H254" s="4">
        <f t="shared" si="3"/>
        <v>600</v>
      </c>
      <c r="I254" s="8"/>
      <c r="J254" s="8"/>
      <c r="K254" s="8"/>
      <c r="L254" s="8"/>
      <c r="M254" s="8"/>
      <c r="N254" s="8"/>
      <c r="O254" s="8"/>
    </row>
    <row r="255" spans="1:15" x14ac:dyDescent="0.3">
      <c r="A255" s="2" t="s">
        <v>161</v>
      </c>
      <c r="B255" s="2" t="s">
        <v>160</v>
      </c>
      <c r="C255" s="2" t="s">
        <v>373</v>
      </c>
      <c r="D255" s="2" t="s">
        <v>236</v>
      </c>
      <c r="E255" s="2" t="s">
        <v>133</v>
      </c>
      <c r="F255" s="3">
        <v>291</v>
      </c>
      <c r="G255" s="3">
        <v>291</v>
      </c>
      <c r="H255" s="4">
        <f t="shared" si="3"/>
        <v>582</v>
      </c>
      <c r="I255" s="8"/>
      <c r="J255" s="8"/>
      <c r="K255" s="8"/>
      <c r="L255" s="8"/>
      <c r="M255" s="8"/>
      <c r="N255" s="8"/>
      <c r="O255" s="8"/>
    </row>
    <row r="256" spans="1:15" x14ac:dyDescent="0.3">
      <c r="A256" s="2" t="s">
        <v>161</v>
      </c>
      <c r="B256" s="2" t="s">
        <v>160</v>
      </c>
      <c r="C256" s="2" t="s">
        <v>434</v>
      </c>
      <c r="D256" s="2" t="s">
        <v>132</v>
      </c>
      <c r="E256" s="2" t="s">
        <v>133</v>
      </c>
      <c r="F256" s="3">
        <v>291</v>
      </c>
      <c r="G256" s="3">
        <v>291</v>
      </c>
      <c r="H256" s="4">
        <f t="shared" si="3"/>
        <v>582</v>
      </c>
      <c r="I256" s="8"/>
      <c r="J256" s="8"/>
      <c r="K256" s="8"/>
      <c r="L256" s="8"/>
      <c r="M256" s="8"/>
      <c r="N256" s="8"/>
      <c r="O256" s="8"/>
    </row>
    <row r="257" spans="1:15" x14ac:dyDescent="0.3">
      <c r="A257" s="2" t="s">
        <v>161</v>
      </c>
      <c r="B257" s="2" t="s">
        <v>160</v>
      </c>
      <c r="C257" s="2" t="s">
        <v>615</v>
      </c>
      <c r="D257" s="2" t="s">
        <v>140</v>
      </c>
      <c r="E257" s="2" t="s">
        <v>133</v>
      </c>
      <c r="F257" s="3">
        <v>252</v>
      </c>
      <c r="G257" s="3">
        <v>252</v>
      </c>
      <c r="H257" s="4">
        <f t="shared" si="3"/>
        <v>504</v>
      </c>
      <c r="I257" s="8"/>
      <c r="J257" s="8"/>
      <c r="K257" s="8"/>
      <c r="L257" s="8"/>
      <c r="M257" s="8"/>
      <c r="N257" s="8"/>
      <c r="O257" s="8"/>
    </row>
    <row r="258" spans="1:15" x14ac:dyDescent="0.3">
      <c r="A258" s="2" t="s">
        <v>161</v>
      </c>
      <c r="B258" s="2" t="s">
        <v>160</v>
      </c>
      <c r="C258" s="2" t="s">
        <v>139</v>
      </c>
      <c r="D258" s="2" t="s">
        <v>140</v>
      </c>
      <c r="E258" s="2" t="s">
        <v>133</v>
      </c>
      <c r="F258" s="3">
        <v>241</v>
      </c>
      <c r="G258" s="3">
        <v>241</v>
      </c>
      <c r="H258" s="4">
        <f t="shared" ref="H258:H321" si="4">IF(F258="","",F258+G258)</f>
        <v>482</v>
      </c>
      <c r="I258" s="8"/>
      <c r="J258" s="8"/>
      <c r="K258" s="8"/>
      <c r="L258" s="8"/>
      <c r="M258" s="8"/>
      <c r="N258" s="8"/>
      <c r="O258" s="8"/>
    </row>
    <row r="259" spans="1:15" x14ac:dyDescent="0.3">
      <c r="A259" s="2" t="s">
        <v>161</v>
      </c>
      <c r="B259" s="2" t="s">
        <v>160</v>
      </c>
      <c r="C259" s="2" t="s">
        <v>174</v>
      </c>
      <c r="D259" s="2" t="s">
        <v>140</v>
      </c>
      <c r="E259" s="2" t="s">
        <v>133</v>
      </c>
      <c r="F259" s="3">
        <v>213</v>
      </c>
      <c r="G259" s="3">
        <v>213</v>
      </c>
      <c r="H259" s="4">
        <f t="shared" si="4"/>
        <v>426</v>
      </c>
      <c r="I259" s="8"/>
      <c r="J259" s="8"/>
      <c r="K259" s="8"/>
      <c r="L259" s="8"/>
      <c r="M259" s="8"/>
      <c r="N259" s="8"/>
      <c r="O259" s="8"/>
    </row>
    <row r="260" spans="1:15" x14ac:dyDescent="0.3">
      <c r="A260" s="2" t="s">
        <v>161</v>
      </c>
      <c r="B260" s="2" t="s">
        <v>160</v>
      </c>
      <c r="C260" s="2" t="s">
        <v>344</v>
      </c>
      <c r="D260" s="2" t="s">
        <v>140</v>
      </c>
      <c r="E260" s="2" t="s">
        <v>133</v>
      </c>
      <c r="F260" s="3">
        <v>205</v>
      </c>
      <c r="G260" s="3">
        <v>205</v>
      </c>
      <c r="H260" s="4">
        <f t="shared" si="4"/>
        <v>410</v>
      </c>
      <c r="I260" s="8"/>
      <c r="J260" s="8"/>
      <c r="K260" s="8"/>
      <c r="L260" s="8"/>
      <c r="M260" s="8"/>
      <c r="N260" s="8"/>
      <c r="O260" s="8"/>
    </row>
    <row r="261" spans="1:15" x14ac:dyDescent="0.3">
      <c r="A261" s="2" t="s">
        <v>161</v>
      </c>
      <c r="B261" s="2" t="s">
        <v>160</v>
      </c>
      <c r="C261" s="2" t="s">
        <v>621</v>
      </c>
      <c r="D261" s="2" t="s">
        <v>236</v>
      </c>
      <c r="E261" s="2" t="s">
        <v>133</v>
      </c>
      <c r="F261" s="3">
        <v>201</v>
      </c>
      <c r="G261" s="3">
        <v>201</v>
      </c>
      <c r="H261" s="4">
        <f t="shared" si="4"/>
        <v>402</v>
      </c>
      <c r="I261" s="8"/>
      <c r="J261" s="8"/>
      <c r="K261" s="8"/>
      <c r="L261" s="8"/>
      <c r="M261" s="8"/>
      <c r="N261" s="8"/>
      <c r="O261" s="8"/>
    </row>
    <row r="262" spans="1:15" x14ac:dyDescent="0.3">
      <c r="A262" s="2" t="s">
        <v>161</v>
      </c>
      <c r="B262" s="2" t="s">
        <v>160</v>
      </c>
      <c r="C262" s="2" t="s">
        <v>612</v>
      </c>
      <c r="D262" s="2" t="s">
        <v>236</v>
      </c>
      <c r="E262" s="2" t="s">
        <v>133</v>
      </c>
      <c r="F262" s="3">
        <v>200</v>
      </c>
      <c r="G262" s="3">
        <v>200</v>
      </c>
      <c r="H262" s="4">
        <f t="shared" si="4"/>
        <v>400</v>
      </c>
      <c r="I262" s="8"/>
      <c r="J262" s="8"/>
      <c r="K262" s="8"/>
      <c r="L262" s="8"/>
      <c r="M262" s="8"/>
      <c r="N262" s="8"/>
      <c r="O262" s="8"/>
    </row>
    <row r="263" spans="1:15" x14ac:dyDescent="0.3">
      <c r="A263" s="2" t="s">
        <v>161</v>
      </c>
      <c r="B263" s="2" t="s">
        <v>160</v>
      </c>
      <c r="C263" s="2" t="s">
        <v>625</v>
      </c>
      <c r="D263" s="2" t="s">
        <v>140</v>
      </c>
      <c r="E263" s="2" t="s">
        <v>133</v>
      </c>
      <c r="F263" s="3">
        <v>196</v>
      </c>
      <c r="G263" s="3">
        <v>196</v>
      </c>
      <c r="H263" s="4">
        <f t="shared" si="4"/>
        <v>392</v>
      </c>
      <c r="I263" s="8"/>
      <c r="J263" s="8"/>
      <c r="K263" s="8"/>
      <c r="L263" s="8"/>
      <c r="M263" s="8"/>
      <c r="N263" s="8"/>
      <c r="O263" s="8"/>
    </row>
    <row r="264" spans="1:15" x14ac:dyDescent="0.3">
      <c r="A264" s="2" t="s">
        <v>161</v>
      </c>
      <c r="B264" s="2" t="s">
        <v>160</v>
      </c>
      <c r="C264" s="2" t="s">
        <v>623</v>
      </c>
      <c r="D264" s="2" t="s">
        <v>236</v>
      </c>
      <c r="E264" s="2" t="s">
        <v>133</v>
      </c>
      <c r="F264" s="3">
        <v>191</v>
      </c>
      <c r="G264" s="3">
        <v>191</v>
      </c>
      <c r="H264" s="4">
        <f t="shared" si="4"/>
        <v>382</v>
      </c>
      <c r="I264" s="8"/>
      <c r="J264" s="8"/>
      <c r="K264" s="8"/>
      <c r="L264" s="8"/>
      <c r="M264" s="8"/>
      <c r="N264" s="8"/>
      <c r="O264" s="8"/>
    </row>
    <row r="265" spans="1:15" x14ac:dyDescent="0.3">
      <c r="A265" s="2" t="s">
        <v>161</v>
      </c>
      <c r="B265" s="2" t="s">
        <v>160</v>
      </c>
      <c r="C265" s="2" t="s">
        <v>235</v>
      </c>
      <c r="D265" s="2" t="s">
        <v>236</v>
      </c>
      <c r="E265" s="2" t="s">
        <v>133</v>
      </c>
      <c r="F265" s="3">
        <v>185</v>
      </c>
      <c r="G265" s="3">
        <v>185</v>
      </c>
      <c r="H265" s="4">
        <f t="shared" si="4"/>
        <v>370</v>
      </c>
      <c r="I265" s="8"/>
      <c r="J265" s="8"/>
      <c r="K265" s="8"/>
      <c r="L265" s="8"/>
      <c r="M265" s="8"/>
      <c r="N265" s="8"/>
      <c r="O265" s="8"/>
    </row>
    <row r="266" spans="1:15" x14ac:dyDescent="0.3">
      <c r="A266" s="2" t="s">
        <v>161</v>
      </c>
      <c r="B266" s="2" t="s">
        <v>160</v>
      </c>
      <c r="C266" s="2" t="s">
        <v>642</v>
      </c>
      <c r="D266" s="2" t="s">
        <v>348</v>
      </c>
      <c r="E266" s="2" t="s">
        <v>133</v>
      </c>
      <c r="F266" s="3">
        <v>184</v>
      </c>
      <c r="G266" s="3">
        <v>184</v>
      </c>
      <c r="H266" s="4">
        <f t="shared" si="4"/>
        <v>368</v>
      </c>
      <c r="I266" s="8"/>
      <c r="J266" s="8"/>
      <c r="K266" s="8"/>
      <c r="L266" s="8"/>
      <c r="M266" s="8"/>
      <c r="N266" s="8"/>
      <c r="O266" s="8"/>
    </row>
    <row r="267" spans="1:15" x14ac:dyDescent="0.3">
      <c r="A267" s="2" t="s">
        <v>161</v>
      </c>
      <c r="B267" s="2" t="s">
        <v>160</v>
      </c>
      <c r="C267" s="2" t="s">
        <v>638</v>
      </c>
      <c r="D267" s="2" t="s">
        <v>140</v>
      </c>
      <c r="E267" s="2" t="s">
        <v>133</v>
      </c>
      <c r="F267" s="3">
        <v>183</v>
      </c>
      <c r="G267" s="3">
        <v>183</v>
      </c>
      <c r="H267" s="4">
        <f t="shared" si="4"/>
        <v>366</v>
      </c>
      <c r="I267" s="8"/>
      <c r="J267" s="8"/>
      <c r="K267" s="8"/>
      <c r="L267" s="8"/>
      <c r="M267" s="8"/>
      <c r="N267" s="8"/>
      <c r="O267" s="8"/>
    </row>
    <row r="268" spans="1:15" x14ac:dyDescent="0.3">
      <c r="A268" s="2" t="s">
        <v>161</v>
      </c>
      <c r="B268" s="2" t="s">
        <v>160</v>
      </c>
      <c r="C268" s="2" t="s">
        <v>350</v>
      </c>
      <c r="D268" s="2" t="s">
        <v>348</v>
      </c>
      <c r="E268" s="2" t="s">
        <v>133</v>
      </c>
      <c r="F268" s="3">
        <v>171</v>
      </c>
      <c r="G268" s="3">
        <v>171</v>
      </c>
      <c r="H268" s="4">
        <f t="shared" si="4"/>
        <v>342</v>
      </c>
      <c r="I268" s="8"/>
      <c r="J268" s="8"/>
      <c r="K268" s="8"/>
      <c r="L268" s="8"/>
      <c r="M268" s="8"/>
      <c r="N268" s="8"/>
      <c r="O268" s="8"/>
    </row>
    <row r="269" spans="1:15" x14ac:dyDescent="0.3">
      <c r="A269" s="2" t="s">
        <v>161</v>
      </c>
      <c r="B269" s="2" t="s">
        <v>160</v>
      </c>
      <c r="C269" s="2" t="s">
        <v>646</v>
      </c>
      <c r="D269" s="2" t="s">
        <v>348</v>
      </c>
      <c r="E269" s="2" t="s">
        <v>133</v>
      </c>
      <c r="F269" s="3">
        <v>157</v>
      </c>
      <c r="G269" s="3">
        <v>157</v>
      </c>
      <c r="H269" s="4">
        <f t="shared" si="4"/>
        <v>314</v>
      </c>
      <c r="I269" s="8"/>
      <c r="J269" s="8"/>
      <c r="K269" s="8"/>
      <c r="L269" s="8"/>
      <c r="M269" s="8"/>
      <c r="N269" s="8"/>
      <c r="O269" s="8"/>
    </row>
    <row r="270" spans="1:15" x14ac:dyDescent="0.3">
      <c r="A270" s="2" t="s">
        <v>161</v>
      </c>
      <c r="B270" s="2" t="s">
        <v>160</v>
      </c>
      <c r="C270" s="2" t="s">
        <v>458</v>
      </c>
      <c r="D270" s="2" t="s">
        <v>140</v>
      </c>
      <c r="E270" s="2" t="s">
        <v>133</v>
      </c>
      <c r="F270" s="3">
        <v>156</v>
      </c>
      <c r="G270" s="3">
        <v>156</v>
      </c>
      <c r="H270" s="4">
        <f t="shared" si="4"/>
        <v>312</v>
      </c>
      <c r="I270" s="8"/>
      <c r="J270" s="8"/>
      <c r="K270" s="8"/>
      <c r="L270" s="8"/>
      <c r="M270" s="8"/>
      <c r="N270" s="8"/>
      <c r="O270" s="8"/>
    </row>
    <row r="271" spans="1:15" x14ac:dyDescent="0.3">
      <c r="A271" s="2" t="s">
        <v>161</v>
      </c>
      <c r="B271" s="2" t="s">
        <v>160</v>
      </c>
      <c r="C271" s="2" t="s">
        <v>653</v>
      </c>
      <c r="D271" s="2" t="s">
        <v>348</v>
      </c>
      <c r="E271" s="2" t="s">
        <v>133</v>
      </c>
      <c r="F271" s="3">
        <v>146</v>
      </c>
      <c r="G271" s="3">
        <v>146</v>
      </c>
      <c r="H271" s="4">
        <f t="shared" si="4"/>
        <v>292</v>
      </c>
      <c r="I271" s="8"/>
      <c r="J271" s="8"/>
      <c r="K271" s="8"/>
      <c r="L271" s="8"/>
      <c r="M271" s="8"/>
      <c r="N271" s="8"/>
      <c r="O271" s="8"/>
    </row>
    <row r="272" spans="1:15" x14ac:dyDescent="0.3">
      <c r="A272" s="2" t="s">
        <v>161</v>
      </c>
      <c r="B272" s="2" t="s">
        <v>160</v>
      </c>
      <c r="C272" s="2" t="s">
        <v>660</v>
      </c>
      <c r="D272" s="2" t="s">
        <v>353</v>
      </c>
      <c r="E272" s="2" t="s">
        <v>133</v>
      </c>
      <c r="F272" s="3">
        <v>132</v>
      </c>
      <c r="G272" s="3">
        <v>132</v>
      </c>
      <c r="H272" s="4">
        <f t="shared" si="4"/>
        <v>264</v>
      </c>
      <c r="I272" s="8"/>
      <c r="J272" s="8"/>
      <c r="K272" s="8"/>
      <c r="L272" s="8"/>
      <c r="M272" s="8"/>
      <c r="N272" s="8"/>
      <c r="O272" s="8"/>
    </row>
    <row r="273" spans="1:15" x14ac:dyDescent="0.3">
      <c r="A273" s="2" t="s">
        <v>161</v>
      </c>
      <c r="B273" s="2" t="s">
        <v>160</v>
      </c>
      <c r="C273" s="2" t="s">
        <v>365</v>
      </c>
      <c r="D273" s="2" t="s">
        <v>348</v>
      </c>
      <c r="E273" s="2" t="s">
        <v>133</v>
      </c>
      <c r="F273" s="3">
        <v>128</v>
      </c>
      <c r="G273" s="3">
        <v>128</v>
      </c>
      <c r="H273" s="4">
        <f t="shared" si="4"/>
        <v>256</v>
      </c>
      <c r="I273" s="8"/>
      <c r="J273" s="8"/>
      <c r="K273" s="8"/>
      <c r="L273" s="8"/>
      <c r="M273" s="8"/>
      <c r="N273" s="8"/>
      <c r="O273" s="8"/>
    </row>
    <row r="274" spans="1:15" x14ac:dyDescent="0.3">
      <c r="A274" s="2" t="s">
        <v>161</v>
      </c>
      <c r="B274" s="2" t="s">
        <v>160</v>
      </c>
      <c r="C274" s="2" t="s">
        <v>657</v>
      </c>
      <c r="D274" s="2" t="s">
        <v>348</v>
      </c>
      <c r="E274" s="2" t="s">
        <v>133</v>
      </c>
      <c r="F274" s="3">
        <v>128</v>
      </c>
      <c r="G274" s="3">
        <v>128</v>
      </c>
      <c r="H274" s="4">
        <f t="shared" si="4"/>
        <v>256</v>
      </c>
      <c r="I274" s="8"/>
      <c r="J274" s="8"/>
      <c r="K274" s="8"/>
      <c r="L274" s="8"/>
      <c r="M274" s="8"/>
      <c r="N274" s="8"/>
      <c r="O274" s="8"/>
    </row>
    <row r="275" spans="1:15" x14ac:dyDescent="0.3">
      <c r="A275" s="2" t="s">
        <v>161</v>
      </c>
      <c r="B275" s="2" t="s">
        <v>160</v>
      </c>
      <c r="C275" s="2" t="s">
        <v>379</v>
      </c>
      <c r="D275" s="2" t="s">
        <v>348</v>
      </c>
      <c r="E275" s="2" t="s">
        <v>133</v>
      </c>
      <c r="F275" s="3">
        <v>128</v>
      </c>
      <c r="G275" s="3">
        <v>128</v>
      </c>
      <c r="H275" s="4">
        <f t="shared" si="4"/>
        <v>256</v>
      </c>
      <c r="I275" s="8"/>
      <c r="J275" s="8"/>
      <c r="K275" s="8"/>
      <c r="L275" s="8"/>
      <c r="M275" s="8"/>
      <c r="N275" s="8"/>
      <c r="O275" s="8"/>
    </row>
    <row r="276" spans="1:15" x14ac:dyDescent="0.3">
      <c r="A276" s="2" t="s">
        <v>161</v>
      </c>
      <c r="B276" s="2" t="s">
        <v>160</v>
      </c>
      <c r="C276" s="2" t="s">
        <v>658</v>
      </c>
      <c r="D276" s="2" t="s">
        <v>348</v>
      </c>
      <c r="E276" s="2" t="s">
        <v>133</v>
      </c>
      <c r="F276" s="3">
        <v>120</v>
      </c>
      <c r="G276" s="3">
        <v>120</v>
      </c>
      <c r="H276" s="4">
        <f t="shared" si="4"/>
        <v>240</v>
      </c>
      <c r="I276" s="8"/>
      <c r="J276" s="8"/>
      <c r="K276" s="8"/>
      <c r="L276" s="8"/>
      <c r="M276" s="8"/>
      <c r="N276" s="8"/>
      <c r="O276" s="8"/>
    </row>
    <row r="277" spans="1:15" x14ac:dyDescent="0.3">
      <c r="A277" s="2" t="s">
        <v>161</v>
      </c>
      <c r="B277" s="2" t="s">
        <v>160</v>
      </c>
      <c r="C277" s="2" t="s">
        <v>352</v>
      </c>
      <c r="D277" s="2" t="s">
        <v>353</v>
      </c>
      <c r="E277" s="2" t="s">
        <v>133</v>
      </c>
      <c r="F277" s="3">
        <v>114</v>
      </c>
      <c r="G277" s="3">
        <v>114</v>
      </c>
      <c r="H277" s="4">
        <f t="shared" si="4"/>
        <v>228</v>
      </c>
      <c r="I277" s="8"/>
      <c r="J277" s="8"/>
      <c r="K277" s="8"/>
      <c r="L277" s="8"/>
      <c r="M277" s="8"/>
      <c r="N277" s="8"/>
      <c r="O277" s="8"/>
    </row>
    <row r="278" spans="1:15" x14ac:dyDescent="0.3">
      <c r="A278" s="2" t="s">
        <v>161</v>
      </c>
      <c r="B278" s="2" t="s">
        <v>160</v>
      </c>
      <c r="C278" s="2" t="s">
        <v>665</v>
      </c>
      <c r="D278" s="2" t="s">
        <v>353</v>
      </c>
      <c r="E278" s="2" t="s">
        <v>133</v>
      </c>
      <c r="F278" s="3">
        <v>114</v>
      </c>
      <c r="G278" s="3">
        <v>114</v>
      </c>
      <c r="H278" s="4">
        <f t="shared" si="4"/>
        <v>228</v>
      </c>
      <c r="I278" s="8"/>
      <c r="J278" s="8"/>
      <c r="K278" s="8"/>
      <c r="L278" s="8"/>
      <c r="M278" s="8"/>
      <c r="N278" s="8"/>
      <c r="O278" s="8"/>
    </row>
    <row r="279" spans="1:15" x14ac:dyDescent="0.3">
      <c r="A279" s="2" t="s">
        <v>161</v>
      </c>
      <c r="B279" s="2" t="s">
        <v>160</v>
      </c>
      <c r="C279" s="2" t="s">
        <v>347</v>
      </c>
      <c r="D279" s="2" t="s">
        <v>348</v>
      </c>
      <c r="E279" s="2" t="s">
        <v>133</v>
      </c>
      <c r="F279" s="3">
        <v>110</v>
      </c>
      <c r="G279" s="3">
        <v>110</v>
      </c>
      <c r="H279" s="4">
        <f t="shared" si="4"/>
        <v>220</v>
      </c>
      <c r="I279" s="8"/>
      <c r="J279" s="8"/>
      <c r="K279" s="8"/>
      <c r="L279" s="8"/>
      <c r="M279" s="8"/>
      <c r="N279" s="8"/>
      <c r="O279" s="8"/>
    </row>
    <row r="280" spans="1:15" x14ac:dyDescent="0.3">
      <c r="A280" s="2" t="s">
        <v>161</v>
      </c>
      <c r="B280" s="2" t="s">
        <v>160</v>
      </c>
      <c r="C280" s="2" t="s">
        <v>668</v>
      </c>
      <c r="D280" s="2" t="s">
        <v>348</v>
      </c>
      <c r="E280" s="2" t="s">
        <v>133</v>
      </c>
      <c r="F280" s="3">
        <v>83</v>
      </c>
      <c r="G280" s="3">
        <v>83</v>
      </c>
      <c r="H280" s="4">
        <f t="shared" si="4"/>
        <v>166</v>
      </c>
      <c r="I280" s="8"/>
      <c r="J280" s="8"/>
      <c r="K280" s="8"/>
      <c r="L280" s="8"/>
      <c r="M280" s="8"/>
      <c r="N280" s="8"/>
      <c r="O280" s="8"/>
    </row>
    <row r="281" spans="1:15" x14ac:dyDescent="0.3">
      <c r="A281" s="2" t="s">
        <v>161</v>
      </c>
      <c r="B281" s="2" t="s">
        <v>160</v>
      </c>
      <c r="C281" s="2" t="s">
        <v>360</v>
      </c>
      <c r="D281" s="2" t="s">
        <v>358</v>
      </c>
      <c r="E281" s="2" t="s">
        <v>137</v>
      </c>
      <c r="F281" s="3">
        <v>300</v>
      </c>
      <c r="G281" s="3">
        <v>300</v>
      </c>
      <c r="H281" s="4">
        <f t="shared" si="4"/>
        <v>600</v>
      </c>
      <c r="I281" s="8"/>
      <c r="J281" s="8"/>
      <c r="K281" s="8"/>
      <c r="L281" s="8"/>
      <c r="M281" s="8"/>
      <c r="N281" s="8"/>
      <c r="O281" s="8"/>
    </row>
    <row r="282" spans="1:15" x14ac:dyDescent="0.3">
      <c r="A282" s="2" t="s">
        <v>161</v>
      </c>
      <c r="B282" s="2" t="s">
        <v>160</v>
      </c>
      <c r="C282" s="2" t="s">
        <v>609</v>
      </c>
      <c r="D282" s="2" t="s">
        <v>146</v>
      </c>
      <c r="E282" s="2" t="s">
        <v>137</v>
      </c>
      <c r="F282" s="3">
        <v>266</v>
      </c>
      <c r="G282" s="3">
        <v>266</v>
      </c>
      <c r="H282" s="4">
        <f t="shared" si="4"/>
        <v>532</v>
      </c>
      <c r="I282" s="8"/>
      <c r="J282" s="8"/>
      <c r="K282" s="8"/>
      <c r="L282" s="8"/>
      <c r="M282" s="8"/>
      <c r="N282" s="8"/>
      <c r="O282" s="8"/>
    </row>
    <row r="283" spans="1:15" x14ac:dyDescent="0.3">
      <c r="A283" s="2" t="s">
        <v>161</v>
      </c>
      <c r="B283" s="2" t="s">
        <v>160</v>
      </c>
      <c r="C283" s="2" t="s">
        <v>145</v>
      </c>
      <c r="D283" s="2" t="s">
        <v>146</v>
      </c>
      <c r="E283" s="2" t="s">
        <v>137</v>
      </c>
      <c r="F283" s="3">
        <v>266</v>
      </c>
      <c r="G283" s="3">
        <v>266</v>
      </c>
      <c r="H283" s="4">
        <f t="shared" si="4"/>
        <v>532</v>
      </c>
      <c r="I283" s="8"/>
      <c r="J283" s="8"/>
      <c r="K283" s="8"/>
      <c r="L283" s="8"/>
      <c r="M283" s="8"/>
      <c r="N283" s="8"/>
      <c r="O283" s="8"/>
    </row>
    <row r="284" spans="1:15" x14ac:dyDescent="0.3">
      <c r="A284" s="2" t="s">
        <v>161</v>
      </c>
      <c r="B284" s="2" t="s">
        <v>160</v>
      </c>
      <c r="C284" s="2" t="s">
        <v>358</v>
      </c>
      <c r="D284" s="2" t="s">
        <v>358</v>
      </c>
      <c r="E284" s="2" t="s">
        <v>137</v>
      </c>
      <c r="F284" s="3">
        <v>246</v>
      </c>
      <c r="G284" s="3">
        <v>246</v>
      </c>
      <c r="H284" s="4">
        <f t="shared" si="4"/>
        <v>492</v>
      </c>
      <c r="I284" s="8"/>
      <c r="J284" s="8"/>
      <c r="K284" s="8"/>
      <c r="L284" s="8"/>
      <c r="M284" s="8"/>
      <c r="N284" s="8"/>
      <c r="O284" s="8"/>
    </row>
    <row r="285" spans="1:15" x14ac:dyDescent="0.3">
      <c r="A285" s="2" t="s">
        <v>161</v>
      </c>
      <c r="B285" s="2" t="s">
        <v>160</v>
      </c>
      <c r="C285" s="2" t="s">
        <v>627</v>
      </c>
      <c r="D285" s="2" t="s">
        <v>358</v>
      </c>
      <c r="E285" s="2" t="s">
        <v>137</v>
      </c>
      <c r="F285" s="3">
        <v>212</v>
      </c>
      <c r="G285" s="3">
        <v>212</v>
      </c>
      <c r="H285" s="4">
        <f t="shared" si="4"/>
        <v>424</v>
      </c>
      <c r="I285" s="8"/>
      <c r="J285" s="8"/>
      <c r="K285" s="8"/>
      <c r="L285" s="8"/>
      <c r="M285" s="8"/>
      <c r="N285" s="8"/>
      <c r="O285" s="8"/>
    </row>
    <row r="286" spans="1:15" x14ac:dyDescent="0.3">
      <c r="A286" s="2" t="s">
        <v>161</v>
      </c>
      <c r="B286" s="2" t="s">
        <v>160</v>
      </c>
      <c r="C286" s="2" t="s">
        <v>619</v>
      </c>
      <c r="D286" s="2" t="s">
        <v>143</v>
      </c>
      <c r="E286" s="2" t="s">
        <v>137</v>
      </c>
      <c r="F286" s="3">
        <v>202</v>
      </c>
      <c r="G286" s="3">
        <v>202</v>
      </c>
      <c r="H286" s="4">
        <f t="shared" si="4"/>
        <v>404</v>
      </c>
      <c r="I286" s="8"/>
      <c r="J286" s="8"/>
      <c r="K286" s="8"/>
      <c r="L286" s="8"/>
      <c r="M286" s="8"/>
      <c r="N286" s="8"/>
      <c r="O286" s="8"/>
    </row>
    <row r="287" spans="1:15" x14ac:dyDescent="0.3">
      <c r="A287" s="2" t="s">
        <v>161</v>
      </c>
      <c r="B287" s="2" t="s">
        <v>160</v>
      </c>
      <c r="C287" s="2" t="s">
        <v>371</v>
      </c>
      <c r="D287" s="2" t="s">
        <v>143</v>
      </c>
      <c r="E287" s="2" t="s">
        <v>137</v>
      </c>
      <c r="F287" s="3">
        <v>202</v>
      </c>
      <c r="G287" s="3">
        <v>202</v>
      </c>
      <c r="H287" s="4">
        <f t="shared" si="4"/>
        <v>404</v>
      </c>
      <c r="I287" s="8"/>
      <c r="J287" s="8"/>
      <c r="K287" s="8"/>
      <c r="L287" s="8"/>
      <c r="M287" s="8"/>
      <c r="N287" s="8"/>
      <c r="O287" s="8"/>
    </row>
    <row r="288" spans="1:15" x14ac:dyDescent="0.3">
      <c r="A288" s="2" t="s">
        <v>161</v>
      </c>
      <c r="B288" s="2" t="s">
        <v>160</v>
      </c>
      <c r="C288" s="2" t="s">
        <v>142</v>
      </c>
      <c r="D288" s="2" t="s">
        <v>143</v>
      </c>
      <c r="E288" s="2" t="s">
        <v>137</v>
      </c>
      <c r="F288" s="3">
        <v>196</v>
      </c>
      <c r="G288" s="3">
        <v>196</v>
      </c>
      <c r="H288" s="4">
        <f t="shared" si="4"/>
        <v>392</v>
      </c>
      <c r="I288" s="8"/>
      <c r="J288" s="8"/>
      <c r="K288" s="8"/>
      <c r="L288" s="8"/>
      <c r="M288" s="8"/>
      <c r="N288" s="8"/>
      <c r="O288" s="8"/>
    </row>
    <row r="289" spans="1:15" x14ac:dyDescent="0.3">
      <c r="A289" s="2" t="s">
        <v>161</v>
      </c>
      <c r="B289" s="2" t="s">
        <v>160</v>
      </c>
      <c r="C289" s="2" t="s">
        <v>596</v>
      </c>
      <c r="D289" s="2" t="s">
        <v>143</v>
      </c>
      <c r="E289" s="2" t="s">
        <v>137</v>
      </c>
      <c r="F289" s="3">
        <v>191</v>
      </c>
      <c r="G289" s="3">
        <v>191</v>
      </c>
      <c r="H289" s="4">
        <f t="shared" si="4"/>
        <v>382</v>
      </c>
      <c r="I289" s="8"/>
      <c r="J289" s="8"/>
      <c r="K289" s="8"/>
      <c r="L289" s="8"/>
      <c r="M289" s="8"/>
      <c r="N289" s="8"/>
      <c r="O289" s="8"/>
    </row>
    <row r="290" spans="1:15" x14ac:dyDescent="0.3">
      <c r="A290" s="2" t="s">
        <v>161</v>
      </c>
      <c r="B290" s="2" t="s">
        <v>160</v>
      </c>
      <c r="C290" s="2" t="s">
        <v>634</v>
      </c>
      <c r="D290" s="2" t="s">
        <v>143</v>
      </c>
      <c r="E290" s="2" t="s">
        <v>137</v>
      </c>
      <c r="F290" s="3">
        <v>175</v>
      </c>
      <c r="G290" s="3">
        <v>175</v>
      </c>
      <c r="H290" s="4">
        <f t="shared" si="4"/>
        <v>350</v>
      </c>
      <c r="I290" s="8"/>
      <c r="J290" s="8"/>
      <c r="K290" s="8"/>
      <c r="L290" s="8"/>
      <c r="M290" s="8"/>
      <c r="N290" s="8"/>
      <c r="O290" s="8"/>
    </row>
    <row r="291" spans="1:15" x14ac:dyDescent="0.3">
      <c r="A291" s="2" t="s">
        <v>161</v>
      </c>
      <c r="B291" s="2" t="s">
        <v>160</v>
      </c>
      <c r="C291" s="2" t="s">
        <v>636</v>
      </c>
      <c r="D291" s="2" t="s">
        <v>363</v>
      </c>
      <c r="E291" s="2" t="s">
        <v>137</v>
      </c>
      <c r="F291" s="3">
        <v>165</v>
      </c>
      <c r="G291" s="3">
        <v>165</v>
      </c>
      <c r="H291" s="4">
        <f t="shared" si="4"/>
        <v>330</v>
      </c>
      <c r="I291" s="8"/>
      <c r="J291" s="8"/>
      <c r="K291" s="8"/>
      <c r="L291" s="8"/>
      <c r="M291" s="8"/>
      <c r="N291" s="8"/>
      <c r="O291" s="8"/>
    </row>
    <row r="292" spans="1:15" x14ac:dyDescent="0.3">
      <c r="A292" s="2" t="s">
        <v>161</v>
      </c>
      <c r="B292" s="2" t="s">
        <v>160</v>
      </c>
      <c r="C292" s="2" t="s">
        <v>640</v>
      </c>
      <c r="D292" s="2" t="s">
        <v>136</v>
      </c>
      <c r="E292" s="2" t="s">
        <v>137</v>
      </c>
      <c r="F292" s="3">
        <v>162</v>
      </c>
      <c r="G292" s="3">
        <v>162</v>
      </c>
      <c r="H292" s="4">
        <f t="shared" si="4"/>
        <v>324</v>
      </c>
      <c r="I292" s="8"/>
      <c r="J292" s="8"/>
      <c r="K292" s="8"/>
      <c r="L292" s="8"/>
      <c r="M292" s="8"/>
      <c r="N292" s="8"/>
      <c r="O292" s="8"/>
    </row>
    <row r="293" spans="1:15" x14ac:dyDescent="0.3">
      <c r="A293" s="2" t="s">
        <v>161</v>
      </c>
      <c r="B293" s="2" t="s">
        <v>160</v>
      </c>
      <c r="C293" s="2" t="s">
        <v>644</v>
      </c>
      <c r="D293" s="2" t="s">
        <v>136</v>
      </c>
      <c r="E293" s="2" t="s">
        <v>137</v>
      </c>
      <c r="F293" s="3">
        <v>156</v>
      </c>
      <c r="G293" s="3">
        <v>156</v>
      </c>
      <c r="H293" s="4">
        <f t="shared" si="4"/>
        <v>312</v>
      </c>
      <c r="I293" s="8"/>
      <c r="J293" s="8"/>
      <c r="K293" s="8"/>
      <c r="L293" s="8"/>
      <c r="M293" s="8"/>
      <c r="N293" s="8"/>
      <c r="O293" s="8"/>
    </row>
    <row r="294" spans="1:15" x14ac:dyDescent="0.3">
      <c r="A294" s="2" t="s">
        <v>161</v>
      </c>
      <c r="B294" s="2" t="s">
        <v>160</v>
      </c>
      <c r="C294" s="2" t="s">
        <v>651</v>
      </c>
      <c r="D294" s="2" t="s">
        <v>363</v>
      </c>
      <c r="E294" s="2" t="s">
        <v>137</v>
      </c>
      <c r="F294" s="3">
        <v>153</v>
      </c>
      <c r="G294" s="3">
        <v>153</v>
      </c>
      <c r="H294" s="4">
        <f t="shared" si="4"/>
        <v>306</v>
      </c>
      <c r="I294" s="8"/>
      <c r="J294" s="8"/>
      <c r="K294" s="8"/>
      <c r="L294" s="8"/>
      <c r="M294" s="8"/>
      <c r="N294" s="8"/>
      <c r="O294" s="8"/>
    </row>
    <row r="295" spans="1:15" x14ac:dyDescent="0.3">
      <c r="A295" s="2" t="s">
        <v>161</v>
      </c>
      <c r="B295" s="2" t="s">
        <v>160</v>
      </c>
      <c r="C295" s="2" t="s">
        <v>631</v>
      </c>
      <c r="D295" s="2" t="s">
        <v>136</v>
      </c>
      <c r="E295" s="2" t="s">
        <v>137</v>
      </c>
      <c r="F295" s="3">
        <v>150</v>
      </c>
      <c r="G295" s="3">
        <v>150</v>
      </c>
      <c r="H295" s="4">
        <f t="shared" si="4"/>
        <v>300</v>
      </c>
      <c r="I295" s="8"/>
      <c r="J295" s="8"/>
      <c r="K295" s="8"/>
      <c r="L295" s="8"/>
      <c r="M295" s="8"/>
      <c r="N295" s="8"/>
      <c r="O295" s="8"/>
    </row>
    <row r="296" spans="1:15" x14ac:dyDescent="0.3">
      <c r="A296" s="2" t="s">
        <v>161</v>
      </c>
      <c r="B296" s="2" t="s">
        <v>160</v>
      </c>
      <c r="C296" s="2" t="s">
        <v>649</v>
      </c>
      <c r="D296" s="2" t="s">
        <v>363</v>
      </c>
      <c r="E296" s="2" t="s">
        <v>137</v>
      </c>
      <c r="F296" s="3">
        <v>134</v>
      </c>
      <c r="G296" s="3">
        <v>134</v>
      </c>
      <c r="H296" s="4">
        <f t="shared" si="4"/>
        <v>268</v>
      </c>
      <c r="I296" s="8"/>
      <c r="J296" s="8"/>
      <c r="K296" s="8"/>
      <c r="L296" s="8"/>
      <c r="M296" s="8"/>
      <c r="N296" s="8"/>
      <c r="O296" s="8"/>
    </row>
    <row r="297" spans="1:15" x14ac:dyDescent="0.3">
      <c r="A297" s="2" t="s">
        <v>161</v>
      </c>
      <c r="B297" s="2" t="s">
        <v>160</v>
      </c>
      <c r="C297" s="2" t="s">
        <v>503</v>
      </c>
      <c r="D297" s="2" t="s">
        <v>136</v>
      </c>
      <c r="E297" s="2" t="s">
        <v>137</v>
      </c>
      <c r="F297" s="3">
        <v>121</v>
      </c>
      <c r="G297" s="3">
        <v>121</v>
      </c>
      <c r="H297" s="4">
        <f t="shared" si="4"/>
        <v>242</v>
      </c>
      <c r="I297" s="8"/>
      <c r="J297" s="8"/>
      <c r="K297" s="8"/>
      <c r="L297" s="8"/>
      <c r="M297" s="8"/>
      <c r="N297" s="8"/>
      <c r="O297" s="8"/>
    </row>
    <row r="298" spans="1:15" x14ac:dyDescent="0.3">
      <c r="A298" s="2" t="s">
        <v>161</v>
      </c>
      <c r="B298" s="2" t="s">
        <v>160</v>
      </c>
      <c r="C298" s="2" t="s">
        <v>679</v>
      </c>
      <c r="D298" s="2" t="s">
        <v>363</v>
      </c>
      <c r="E298" s="2" t="s">
        <v>137</v>
      </c>
      <c r="F298" s="3">
        <v>99</v>
      </c>
      <c r="G298" s="3">
        <v>99</v>
      </c>
      <c r="H298" s="4">
        <f t="shared" si="4"/>
        <v>198</v>
      </c>
      <c r="I298" s="8"/>
      <c r="J298" s="8"/>
      <c r="K298" s="8"/>
      <c r="L298" s="8"/>
      <c r="M298" s="8"/>
      <c r="N298" s="8"/>
      <c r="O298" s="8"/>
    </row>
    <row r="299" spans="1:15" x14ac:dyDescent="0.3">
      <c r="A299" s="2" t="s">
        <v>161</v>
      </c>
      <c r="B299" s="2" t="s">
        <v>160</v>
      </c>
      <c r="C299" s="2" t="s">
        <v>662</v>
      </c>
      <c r="D299" s="2" t="s">
        <v>363</v>
      </c>
      <c r="E299" s="2" t="s">
        <v>137</v>
      </c>
      <c r="F299" s="3">
        <v>97</v>
      </c>
      <c r="G299" s="3">
        <v>97</v>
      </c>
      <c r="H299" s="4">
        <f t="shared" si="4"/>
        <v>194</v>
      </c>
      <c r="I299" s="8"/>
      <c r="J299" s="8"/>
      <c r="K299" s="8"/>
      <c r="L299" s="8"/>
      <c r="M299" s="8"/>
      <c r="N299" s="8"/>
      <c r="O299" s="8"/>
    </row>
    <row r="300" spans="1:15" x14ac:dyDescent="0.3">
      <c r="A300" s="2" t="s">
        <v>161</v>
      </c>
      <c r="B300" s="2" t="s">
        <v>160</v>
      </c>
      <c r="C300" s="2" t="s">
        <v>362</v>
      </c>
      <c r="D300" s="2" t="s">
        <v>363</v>
      </c>
      <c r="E300" s="2" t="s">
        <v>137</v>
      </c>
      <c r="F300" s="3">
        <v>97</v>
      </c>
      <c r="G300" s="3">
        <v>97</v>
      </c>
      <c r="H300" s="4">
        <f t="shared" si="4"/>
        <v>194</v>
      </c>
      <c r="I300" s="8"/>
      <c r="J300" s="8"/>
      <c r="K300" s="8"/>
      <c r="L300" s="8"/>
      <c r="M300" s="8"/>
      <c r="N300" s="8"/>
      <c r="O300" s="8"/>
    </row>
    <row r="301" spans="1:15" x14ac:dyDescent="0.3">
      <c r="A301" s="2" t="s">
        <v>161</v>
      </c>
      <c r="B301" s="2" t="s">
        <v>160</v>
      </c>
      <c r="C301" s="2" t="s">
        <v>135</v>
      </c>
      <c r="D301" s="2" t="s">
        <v>136</v>
      </c>
      <c r="E301" s="2" t="s">
        <v>137</v>
      </c>
      <c r="F301" s="3">
        <v>62</v>
      </c>
      <c r="G301" s="3">
        <v>62</v>
      </c>
      <c r="H301" s="4">
        <f t="shared" si="4"/>
        <v>124</v>
      </c>
      <c r="I301" s="8"/>
      <c r="J301" s="8"/>
      <c r="K301" s="8"/>
      <c r="L301" s="8"/>
      <c r="M301" s="8"/>
      <c r="N301" s="8"/>
      <c r="O301" s="8"/>
    </row>
    <row r="302" spans="1:15" x14ac:dyDescent="0.3">
      <c r="A302" s="2" t="s">
        <v>161</v>
      </c>
      <c r="B302" s="2" t="s">
        <v>160</v>
      </c>
      <c r="C302" s="2" t="s">
        <v>81</v>
      </c>
      <c r="D302" s="2" t="s">
        <v>82</v>
      </c>
      <c r="E302" s="2" t="s">
        <v>45</v>
      </c>
      <c r="F302" s="3">
        <v>483</v>
      </c>
      <c r="G302" s="3">
        <v>483</v>
      </c>
      <c r="H302" s="4">
        <f t="shared" si="4"/>
        <v>966</v>
      </c>
      <c r="I302" s="8"/>
      <c r="J302" s="8"/>
      <c r="K302" s="8"/>
      <c r="L302" s="8"/>
      <c r="M302" s="8"/>
      <c r="N302" s="8"/>
      <c r="O302" s="8"/>
    </row>
    <row r="303" spans="1:15" x14ac:dyDescent="0.3">
      <c r="A303" s="2" t="s">
        <v>161</v>
      </c>
      <c r="B303" s="2" t="s">
        <v>160</v>
      </c>
      <c r="C303" s="2" t="s">
        <v>148</v>
      </c>
      <c r="D303" s="2" t="s">
        <v>82</v>
      </c>
      <c r="E303" s="2" t="s">
        <v>45</v>
      </c>
      <c r="F303" s="3">
        <v>386</v>
      </c>
      <c r="G303" s="3">
        <v>386</v>
      </c>
      <c r="H303" s="4">
        <f t="shared" si="4"/>
        <v>772</v>
      </c>
      <c r="I303" s="8"/>
      <c r="J303" s="8"/>
      <c r="K303" s="8"/>
      <c r="L303" s="8"/>
      <c r="M303" s="8"/>
      <c r="N303" s="8"/>
      <c r="O303" s="8"/>
    </row>
    <row r="304" spans="1:15" x14ac:dyDescent="0.3">
      <c r="A304" s="2" t="s">
        <v>161</v>
      </c>
      <c r="B304" s="2" t="s">
        <v>160</v>
      </c>
      <c r="C304" s="2" t="s">
        <v>605</v>
      </c>
      <c r="D304" s="2" t="s">
        <v>82</v>
      </c>
      <c r="E304" s="2" t="s">
        <v>45</v>
      </c>
      <c r="F304" s="3">
        <v>349</v>
      </c>
      <c r="G304" s="3">
        <v>349</v>
      </c>
      <c r="H304" s="4">
        <f t="shared" si="4"/>
        <v>698</v>
      </c>
      <c r="I304" s="8"/>
      <c r="J304" s="8"/>
      <c r="K304" s="8"/>
      <c r="L304" s="8"/>
      <c r="M304" s="8"/>
      <c r="N304" s="8"/>
      <c r="O304" s="8"/>
    </row>
  </sheetData>
  <autoFilter ref="A1:O304" xr:uid="{00000000-0009-0000-0000-000009000000}"/>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7"/>
  <sheetViews>
    <sheetView zoomScaleNormal="100" workbookViewId="0">
      <pane ySplit="1" topLeftCell="A2" activePane="bottomLeft" state="frozen"/>
      <selection pane="bottomLeft"/>
    </sheetView>
  </sheetViews>
  <sheetFormatPr defaultColWidth="8.6640625" defaultRowHeight="14.4" x14ac:dyDescent="0.3"/>
  <cols>
    <col min="1" max="1" width="48" customWidth="1"/>
    <col min="2" max="2" width="52" customWidth="1"/>
  </cols>
  <sheetData>
    <row r="1" spans="1:2" ht="33.75" customHeight="1" x14ac:dyDescent="0.3">
      <c r="A1" s="1" t="s">
        <v>1259</v>
      </c>
      <c r="B1" s="1" t="s">
        <v>1260</v>
      </c>
    </row>
    <row r="2" spans="1:2" x14ac:dyDescent="0.3">
      <c r="A2" s="2" t="s">
        <v>1261</v>
      </c>
      <c r="B2" s="2" t="s">
        <v>299</v>
      </c>
    </row>
    <row r="3" spans="1:2" x14ac:dyDescent="0.3">
      <c r="A3" s="2" t="s">
        <v>1262</v>
      </c>
      <c r="B3" s="2" t="s">
        <v>621</v>
      </c>
    </row>
    <row r="4" spans="1:2" x14ac:dyDescent="0.3">
      <c r="A4" s="2" t="s">
        <v>1263</v>
      </c>
      <c r="B4" s="2" t="s">
        <v>153</v>
      </c>
    </row>
    <row r="5" spans="1:2" x14ac:dyDescent="0.3">
      <c r="A5" s="2" t="s">
        <v>1264</v>
      </c>
      <c r="B5" s="2" t="s">
        <v>841</v>
      </c>
    </row>
    <row r="6" spans="1:2" x14ac:dyDescent="0.3">
      <c r="A6" s="2" t="s">
        <v>1265</v>
      </c>
      <c r="B6" s="2" t="s">
        <v>800</v>
      </c>
    </row>
    <row r="7" spans="1:2" x14ac:dyDescent="0.3">
      <c r="A7" s="2" t="s">
        <v>1266</v>
      </c>
      <c r="B7" s="2" t="s">
        <v>101</v>
      </c>
    </row>
    <row r="8" spans="1:2" x14ac:dyDescent="0.3">
      <c r="A8" s="2" t="s">
        <v>1267</v>
      </c>
      <c r="B8" s="2" t="s">
        <v>145</v>
      </c>
    </row>
    <row r="9" spans="1:2" x14ac:dyDescent="0.3">
      <c r="A9" s="2" t="s">
        <v>1268</v>
      </c>
      <c r="B9" s="2" t="s">
        <v>292</v>
      </c>
    </row>
    <row r="10" spans="1:2" x14ac:dyDescent="0.3">
      <c r="A10" s="2" t="s">
        <v>1269</v>
      </c>
      <c r="B10" s="2" t="s">
        <v>584</v>
      </c>
    </row>
    <row r="11" spans="1:2" x14ac:dyDescent="0.3">
      <c r="A11" s="2" t="s">
        <v>1270</v>
      </c>
      <c r="B11" s="2" t="s">
        <v>295</v>
      </c>
    </row>
    <row r="12" spans="1:2" x14ac:dyDescent="0.3">
      <c r="A12" s="2" t="s">
        <v>1271</v>
      </c>
      <c r="B12" s="2" t="s">
        <v>676</v>
      </c>
    </row>
    <row r="13" spans="1:2" x14ac:dyDescent="0.3">
      <c r="A13" s="2" t="s">
        <v>1272</v>
      </c>
      <c r="B13" s="2" t="s">
        <v>657</v>
      </c>
    </row>
    <row r="14" spans="1:2" x14ac:dyDescent="0.3">
      <c r="A14" s="2" t="s">
        <v>1273</v>
      </c>
      <c r="B14" s="2" t="s">
        <v>657</v>
      </c>
    </row>
    <row r="15" spans="1:2" x14ac:dyDescent="0.3">
      <c r="A15" s="2" t="s">
        <v>143</v>
      </c>
      <c r="B15" s="2" t="s">
        <v>619</v>
      </c>
    </row>
    <row r="16" spans="1:2" x14ac:dyDescent="0.3">
      <c r="A16" s="2" t="s">
        <v>1175</v>
      </c>
      <c r="B16" s="2" t="s">
        <v>823</v>
      </c>
    </row>
    <row r="17" spans="1:2" x14ac:dyDescent="0.3">
      <c r="A17" s="2" t="s">
        <v>1274</v>
      </c>
      <c r="B17" s="2" t="s">
        <v>636</v>
      </c>
    </row>
    <row r="18" spans="1:2" x14ac:dyDescent="0.3">
      <c r="A18" s="2" t="s">
        <v>1275</v>
      </c>
      <c r="B18" s="2" t="s">
        <v>101</v>
      </c>
    </row>
    <row r="19" spans="1:2" x14ac:dyDescent="0.3">
      <c r="A19" s="2" t="s">
        <v>1276</v>
      </c>
      <c r="B19" s="2" t="s">
        <v>879</v>
      </c>
    </row>
    <row r="20" spans="1:2" x14ac:dyDescent="0.3">
      <c r="A20" s="2" t="s">
        <v>1277</v>
      </c>
      <c r="B20" s="2" t="s">
        <v>246</v>
      </c>
    </row>
    <row r="21" spans="1:2" x14ac:dyDescent="0.3">
      <c r="A21" s="2" t="s">
        <v>353</v>
      </c>
      <c r="B21" s="2" t="s">
        <v>665</v>
      </c>
    </row>
    <row r="22" spans="1:2" x14ac:dyDescent="0.3">
      <c r="A22" s="2" t="s">
        <v>1278</v>
      </c>
      <c r="B22" s="2" t="s">
        <v>246</v>
      </c>
    </row>
    <row r="23" spans="1:2" x14ac:dyDescent="0.3">
      <c r="A23" s="2" t="s">
        <v>1279</v>
      </c>
      <c r="B23" s="2" t="s">
        <v>401</v>
      </c>
    </row>
    <row r="24" spans="1:2" x14ac:dyDescent="0.3">
      <c r="A24" s="2" t="s">
        <v>1280</v>
      </c>
      <c r="B24" s="2" t="s">
        <v>833</v>
      </c>
    </row>
    <row r="25" spans="1:2" x14ac:dyDescent="0.3">
      <c r="A25" s="2" t="s">
        <v>1281</v>
      </c>
      <c r="B25" s="2" t="s">
        <v>828</v>
      </c>
    </row>
    <row r="26" spans="1:2" x14ac:dyDescent="0.3">
      <c r="A26" s="2" t="s">
        <v>1282</v>
      </c>
      <c r="B26" s="2" t="s">
        <v>582</v>
      </c>
    </row>
    <row r="27" spans="1:2" x14ac:dyDescent="0.3">
      <c r="A27" s="2" t="s">
        <v>1283</v>
      </c>
      <c r="B27" s="2" t="s">
        <v>581</v>
      </c>
    </row>
    <row r="28" spans="1:2" x14ac:dyDescent="0.3">
      <c r="A28" s="2" t="s">
        <v>1284</v>
      </c>
      <c r="B28" s="2" t="s">
        <v>826</v>
      </c>
    </row>
    <row r="29" spans="1:2" x14ac:dyDescent="0.3">
      <c r="A29" s="2" t="s">
        <v>1285</v>
      </c>
      <c r="B29" s="2" t="s">
        <v>276</v>
      </c>
    </row>
    <row r="30" spans="1:2" x14ac:dyDescent="0.3">
      <c r="A30" s="2" t="s">
        <v>146</v>
      </c>
      <c r="B30" s="2" t="s">
        <v>609</v>
      </c>
    </row>
    <row r="31" spans="1:2" x14ac:dyDescent="0.3">
      <c r="A31" s="2" t="s">
        <v>1286</v>
      </c>
      <c r="B31" s="2" t="s">
        <v>303</v>
      </c>
    </row>
    <row r="32" spans="1:2" x14ac:dyDescent="0.3">
      <c r="A32" s="2" t="s">
        <v>1287</v>
      </c>
      <c r="B32" s="2" t="s">
        <v>815</v>
      </c>
    </row>
    <row r="33" spans="1:2" x14ac:dyDescent="0.3">
      <c r="A33" s="2" t="s">
        <v>1288</v>
      </c>
      <c r="B33" s="2" t="s">
        <v>208</v>
      </c>
    </row>
    <row r="34" spans="1:2" x14ac:dyDescent="0.3">
      <c r="A34" s="2" t="s">
        <v>1289</v>
      </c>
      <c r="B34" s="2" t="s">
        <v>309</v>
      </c>
    </row>
    <row r="35" spans="1:2" x14ac:dyDescent="0.3">
      <c r="A35" s="2" t="s">
        <v>1290</v>
      </c>
      <c r="B35" s="2" t="s">
        <v>312</v>
      </c>
    </row>
    <row r="36" spans="1:2" x14ac:dyDescent="0.3">
      <c r="A36" s="2" t="s">
        <v>1291</v>
      </c>
      <c r="B36" s="2" t="s">
        <v>870</v>
      </c>
    </row>
    <row r="37" spans="1:2" x14ac:dyDescent="0.3">
      <c r="A37" s="2" t="s">
        <v>1292</v>
      </c>
      <c r="B37" s="2" t="s">
        <v>662</v>
      </c>
    </row>
    <row r="38" spans="1:2" x14ac:dyDescent="0.3">
      <c r="A38" s="2" t="s">
        <v>1293</v>
      </c>
      <c r="B38" s="2" t="s">
        <v>884</v>
      </c>
    </row>
    <row r="39" spans="1:2" x14ac:dyDescent="0.3">
      <c r="A39" s="2" t="s">
        <v>1294</v>
      </c>
      <c r="B39" s="2" t="s">
        <v>25</v>
      </c>
    </row>
    <row r="40" spans="1:2" x14ac:dyDescent="0.3">
      <c r="A40" s="2" t="s">
        <v>1295</v>
      </c>
      <c r="B40" s="2" t="s">
        <v>571</v>
      </c>
    </row>
    <row r="41" spans="1:2" x14ac:dyDescent="0.3">
      <c r="A41" s="2" t="s">
        <v>1296</v>
      </c>
      <c r="B41" s="2" t="s">
        <v>317</v>
      </c>
    </row>
    <row r="42" spans="1:2" x14ac:dyDescent="0.3">
      <c r="A42" s="2" t="s">
        <v>363</v>
      </c>
      <c r="B42" s="2" t="s">
        <v>474</v>
      </c>
    </row>
    <row r="43" spans="1:2" x14ac:dyDescent="0.3">
      <c r="A43" s="2" t="s">
        <v>1297</v>
      </c>
      <c r="B43" s="2" t="s">
        <v>781</v>
      </c>
    </row>
    <row r="44" spans="1:2" x14ac:dyDescent="0.3">
      <c r="A44" s="2" t="s">
        <v>1298</v>
      </c>
      <c r="B44" s="2" t="s">
        <v>851</v>
      </c>
    </row>
    <row r="45" spans="1:2" x14ac:dyDescent="0.3">
      <c r="A45" s="2" t="s">
        <v>1299</v>
      </c>
      <c r="B45" s="2" t="s">
        <v>321</v>
      </c>
    </row>
    <row r="46" spans="1:2" x14ac:dyDescent="0.3">
      <c r="A46" s="2" t="s">
        <v>1300</v>
      </c>
      <c r="B46" s="2" t="s">
        <v>124</v>
      </c>
    </row>
    <row r="47" spans="1:2" x14ac:dyDescent="0.3">
      <c r="A47" s="2" t="s">
        <v>1301</v>
      </c>
      <c r="B47" s="2" t="s">
        <v>58</v>
      </c>
    </row>
    <row r="48" spans="1:2" x14ac:dyDescent="0.3">
      <c r="A48" s="2" t="s">
        <v>1302</v>
      </c>
      <c r="B48" s="2" t="s">
        <v>596</v>
      </c>
    </row>
    <row r="49" spans="1:2" x14ac:dyDescent="0.3">
      <c r="A49" s="2" t="s">
        <v>1303</v>
      </c>
      <c r="B49" s="2" t="s">
        <v>288</v>
      </c>
    </row>
    <row r="50" spans="1:2" x14ac:dyDescent="0.3">
      <c r="A50" s="2" t="s">
        <v>1304</v>
      </c>
      <c r="B50" s="2" t="s">
        <v>68</v>
      </c>
    </row>
    <row r="51" spans="1:2" x14ac:dyDescent="0.3">
      <c r="A51" s="2" t="s">
        <v>1305</v>
      </c>
      <c r="B51" s="2" t="s">
        <v>439</v>
      </c>
    </row>
    <row r="52" spans="1:2" x14ac:dyDescent="0.3">
      <c r="A52" s="2" t="s">
        <v>1306</v>
      </c>
      <c r="B52" s="2" t="s">
        <v>430</v>
      </c>
    </row>
    <row r="53" spans="1:2" x14ac:dyDescent="0.3">
      <c r="A53" s="2" t="s">
        <v>1307</v>
      </c>
      <c r="B53" s="2" t="s">
        <v>58</v>
      </c>
    </row>
    <row r="54" spans="1:2" x14ac:dyDescent="0.3">
      <c r="A54" s="2" t="s">
        <v>1308</v>
      </c>
      <c r="B54" s="2" t="s">
        <v>495</v>
      </c>
    </row>
    <row r="55" spans="1:2" x14ac:dyDescent="0.3">
      <c r="A55" s="2" t="s">
        <v>1309</v>
      </c>
      <c r="B55" s="2" t="s">
        <v>497</v>
      </c>
    </row>
    <row r="56" spans="1:2" x14ac:dyDescent="0.3">
      <c r="A56" s="2" t="s">
        <v>1310</v>
      </c>
      <c r="B56" s="2" t="s">
        <v>324</v>
      </c>
    </row>
    <row r="57" spans="1:2" x14ac:dyDescent="0.3">
      <c r="A57" s="2" t="s">
        <v>1311</v>
      </c>
      <c r="B57" s="2" t="s">
        <v>497</v>
      </c>
    </row>
    <row r="58" spans="1:2" x14ac:dyDescent="0.3">
      <c r="A58" s="2" t="s">
        <v>1312</v>
      </c>
      <c r="B58" s="2" t="s">
        <v>224</v>
      </c>
    </row>
    <row r="59" spans="1:2" x14ac:dyDescent="0.3">
      <c r="A59" s="2" t="s">
        <v>152</v>
      </c>
      <c r="B59" s="2" t="s">
        <v>727</v>
      </c>
    </row>
    <row r="60" spans="1:2" x14ac:dyDescent="0.3">
      <c r="A60" s="2" t="s">
        <v>1313</v>
      </c>
      <c r="B60" s="2" t="s">
        <v>845</v>
      </c>
    </row>
    <row r="61" spans="1:2" x14ac:dyDescent="0.3">
      <c r="A61" s="2" t="s">
        <v>1314</v>
      </c>
      <c r="B61" s="2" t="s">
        <v>240</v>
      </c>
    </row>
    <row r="62" spans="1:2" x14ac:dyDescent="0.3">
      <c r="A62" s="2" t="s">
        <v>1315</v>
      </c>
      <c r="B62" s="2" t="s">
        <v>813</v>
      </c>
    </row>
    <row r="63" spans="1:2" x14ac:dyDescent="0.3">
      <c r="A63" s="2" t="s">
        <v>1316</v>
      </c>
      <c r="B63" s="2" t="s">
        <v>119</v>
      </c>
    </row>
    <row r="64" spans="1:2" x14ac:dyDescent="0.3">
      <c r="A64" s="2" t="s">
        <v>1317</v>
      </c>
      <c r="B64" s="2" t="s">
        <v>444</v>
      </c>
    </row>
    <row r="65" spans="1:2" x14ac:dyDescent="0.3">
      <c r="A65" s="2" t="s">
        <v>1318</v>
      </c>
      <c r="B65" s="2" t="s">
        <v>360</v>
      </c>
    </row>
    <row r="66" spans="1:2" x14ac:dyDescent="0.3">
      <c r="A66" s="2" t="s">
        <v>1319</v>
      </c>
      <c r="B66" s="2" t="s">
        <v>703</v>
      </c>
    </row>
    <row r="67" spans="1:2" x14ac:dyDescent="0.3">
      <c r="A67" s="2" t="s">
        <v>1320</v>
      </c>
      <c r="B67" s="2" t="s">
        <v>292</v>
      </c>
    </row>
    <row r="68" spans="1:2" x14ac:dyDescent="0.3">
      <c r="A68" s="2" t="s">
        <v>1321</v>
      </c>
      <c r="B68" s="2" t="s">
        <v>481</v>
      </c>
    </row>
    <row r="69" spans="1:2" x14ac:dyDescent="0.3">
      <c r="A69" s="2" t="s">
        <v>1322</v>
      </c>
      <c r="B69" s="2" t="s">
        <v>479</v>
      </c>
    </row>
    <row r="70" spans="1:2" x14ac:dyDescent="0.3">
      <c r="A70" s="2" t="s">
        <v>1323</v>
      </c>
      <c r="B70" s="2" t="s">
        <v>204</v>
      </c>
    </row>
    <row r="71" spans="1:2" x14ac:dyDescent="0.3">
      <c r="A71" s="2" t="s">
        <v>1324</v>
      </c>
      <c r="B71" s="2" t="s">
        <v>192</v>
      </c>
    </row>
    <row r="72" spans="1:2" x14ac:dyDescent="0.3">
      <c r="A72" s="2" t="s">
        <v>1325</v>
      </c>
      <c r="B72" s="2" t="s">
        <v>290</v>
      </c>
    </row>
    <row r="73" spans="1:2" x14ac:dyDescent="0.3">
      <c r="A73" s="2" t="s">
        <v>1326</v>
      </c>
      <c r="B73" s="2" t="s">
        <v>280</v>
      </c>
    </row>
    <row r="74" spans="1:2" x14ac:dyDescent="0.3">
      <c r="A74" s="2" t="s">
        <v>1327</v>
      </c>
      <c r="B74" s="2" t="s">
        <v>282</v>
      </c>
    </row>
    <row r="75" spans="1:2" x14ac:dyDescent="0.3">
      <c r="A75" s="2" t="s">
        <v>1328</v>
      </c>
      <c r="B75" s="2" t="s">
        <v>501</v>
      </c>
    </row>
    <row r="76" spans="1:2" x14ac:dyDescent="0.3">
      <c r="A76" s="2" t="s">
        <v>1329</v>
      </c>
      <c r="B76" s="2" t="s">
        <v>284</v>
      </c>
    </row>
    <row r="77" spans="1:2" x14ac:dyDescent="0.3">
      <c r="A77" s="2" t="s">
        <v>1330</v>
      </c>
      <c r="B77" s="2" t="s">
        <v>286</v>
      </c>
    </row>
    <row r="78" spans="1:2" x14ac:dyDescent="0.3">
      <c r="A78" s="2" t="s">
        <v>1331</v>
      </c>
      <c r="B78" s="2" t="s">
        <v>489</v>
      </c>
    </row>
    <row r="79" spans="1:2" x14ac:dyDescent="0.3">
      <c r="A79" s="2" t="s">
        <v>1332</v>
      </c>
      <c r="B79" s="2" t="s">
        <v>492</v>
      </c>
    </row>
    <row r="80" spans="1:2" x14ac:dyDescent="0.3">
      <c r="A80" s="2" t="s">
        <v>1333</v>
      </c>
      <c r="B80" s="2" t="s">
        <v>493</v>
      </c>
    </row>
    <row r="81" spans="1:2" x14ac:dyDescent="0.3">
      <c r="A81" s="2" t="s">
        <v>37</v>
      </c>
      <c r="B81" s="2" t="s">
        <v>873</v>
      </c>
    </row>
    <row r="82" spans="1:2" x14ac:dyDescent="0.3">
      <c r="A82" s="2" t="s">
        <v>1334</v>
      </c>
      <c r="B82" s="2" t="s">
        <v>327</v>
      </c>
    </row>
    <row r="83" spans="1:2" x14ac:dyDescent="0.3">
      <c r="A83" s="2" t="s">
        <v>1335</v>
      </c>
      <c r="B83" s="2" t="s">
        <v>286</v>
      </c>
    </row>
    <row r="84" spans="1:2" x14ac:dyDescent="0.3">
      <c r="A84" s="2" t="s">
        <v>285</v>
      </c>
      <c r="B84" s="2" t="s">
        <v>284</v>
      </c>
    </row>
    <row r="85" spans="1:2" x14ac:dyDescent="0.3">
      <c r="A85" s="2" t="s">
        <v>1336</v>
      </c>
      <c r="B85" s="2" t="s">
        <v>160</v>
      </c>
    </row>
    <row r="86" spans="1:2" x14ac:dyDescent="0.3">
      <c r="A86" s="2" t="s">
        <v>1337</v>
      </c>
      <c r="B86" s="2" t="s">
        <v>708</v>
      </c>
    </row>
    <row r="87" spans="1:2" x14ac:dyDescent="0.3">
      <c r="A87" s="2" t="s">
        <v>1338</v>
      </c>
      <c r="B87" s="2" t="s">
        <v>192</v>
      </c>
    </row>
    <row r="88" spans="1:2" x14ac:dyDescent="0.3">
      <c r="A88" s="2" t="s">
        <v>1339</v>
      </c>
      <c r="B88" s="2" t="s">
        <v>192</v>
      </c>
    </row>
    <row r="89" spans="1:2" x14ac:dyDescent="0.3">
      <c r="A89" s="2" t="s">
        <v>1340</v>
      </c>
      <c r="B89" s="2" t="s">
        <v>122</v>
      </c>
    </row>
    <row r="90" spans="1:2" x14ac:dyDescent="0.3">
      <c r="A90" s="2" t="s">
        <v>1341</v>
      </c>
      <c r="B90" s="2" t="s">
        <v>817</v>
      </c>
    </row>
    <row r="91" spans="1:2" x14ac:dyDescent="0.3">
      <c r="A91" s="2" t="s">
        <v>1342</v>
      </c>
      <c r="B91" s="2" t="s">
        <v>330</v>
      </c>
    </row>
    <row r="92" spans="1:2" x14ac:dyDescent="0.3">
      <c r="A92" s="2" t="s">
        <v>1343</v>
      </c>
      <c r="B92" s="2" t="s">
        <v>192</v>
      </c>
    </row>
    <row r="93" spans="1:2" x14ac:dyDescent="0.3">
      <c r="A93" s="2" t="s">
        <v>1344</v>
      </c>
      <c r="B93" s="2" t="s">
        <v>204</v>
      </c>
    </row>
    <row r="94" spans="1:2" x14ac:dyDescent="0.3">
      <c r="A94" s="2" t="s">
        <v>1345</v>
      </c>
      <c r="B94" s="2" t="s">
        <v>569</v>
      </c>
    </row>
    <row r="95" spans="1:2" x14ac:dyDescent="0.3">
      <c r="A95" s="2" t="s">
        <v>1346</v>
      </c>
      <c r="B95" s="2" t="s">
        <v>569</v>
      </c>
    </row>
    <row r="96" spans="1:2" x14ac:dyDescent="0.3">
      <c r="A96" s="2" t="s">
        <v>1347</v>
      </c>
      <c r="B96" s="2" t="s">
        <v>117</v>
      </c>
    </row>
    <row r="97" spans="1:2" x14ac:dyDescent="0.3">
      <c r="A97" s="2" t="s">
        <v>1348</v>
      </c>
      <c r="B97" s="2" t="s">
        <v>717</v>
      </c>
    </row>
    <row r="98" spans="1:2" x14ac:dyDescent="0.3">
      <c r="A98" s="2" t="s">
        <v>1349</v>
      </c>
      <c r="B98" s="2" t="s">
        <v>638</v>
      </c>
    </row>
    <row r="99" spans="1:2" x14ac:dyDescent="0.3">
      <c r="A99" s="2" t="s">
        <v>1350</v>
      </c>
      <c r="B99" s="2" t="s">
        <v>577</v>
      </c>
    </row>
    <row r="100" spans="1:2" x14ac:dyDescent="0.3">
      <c r="A100" s="2" t="s">
        <v>1351</v>
      </c>
      <c r="B100" s="2" t="s">
        <v>334</v>
      </c>
    </row>
    <row r="101" spans="1:2" x14ac:dyDescent="0.3">
      <c r="A101" s="2" t="s">
        <v>1352</v>
      </c>
      <c r="B101" s="2" t="s">
        <v>855</v>
      </c>
    </row>
    <row r="102" spans="1:2" x14ac:dyDescent="0.3">
      <c r="A102" s="2" t="s">
        <v>1353</v>
      </c>
      <c r="B102" s="2" t="s">
        <v>437</v>
      </c>
    </row>
    <row r="103" spans="1:2" x14ac:dyDescent="0.3">
      <c r="A103" s="2" t="s">
        <v>93</v>
      </c>
      <c r="B103" s="2" t="s">
        <v>737</v>
      </c>
    </row>
    <row r="104" spans="1:2" x14ac:dyDescent="0.3">
      <c r="A104" s="2" t="s">
        <v>1354</v>
      </c>
      <c r="B104" s="2" t="s">
        <v>422</v>
      </c>
    </row>
    <row r="105" spans="1:2" x14ac:dyDescent="0.3">
      <c r="A105" s="2" t="s">
        <v>1355</v>
      </c>
      <c r="B105" s="2" t="s">
        <v>403</v>
      </c>
    </row>
    <row r="106" spans="1:2" x14ac:dyDescent="0.3">
      <c r="A106" s="2" t="s">
        <v>1356</v>
      </c>
      <c r="B106" s="2" t="s">
        <v>229</v>
      </c>
    </row>
    <row r="107" spans="1:2" x14ac:dyDescent="0.3">
      <c r="A107" s="2" t="s">
        <v>1357</v>
      </c>
      <c r="B107" s="2" t="s">
        <v>724</v>
      </c>
    </row>
  </sheetData>
  <autoFilter ref="A1:B107" xr:uid="{00000000-0009-0000-0000-00000A000000}"/>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4"/>
  <sheetViews>
    <sheetView zoomScaleNormal="100" workbookViewId="0">
      <selection activeCell="B13" sqref="B13"/>
    </sheetView>
  </sheetViews>
  <sheetFormatPr defaultColWidth="8.6640625" defaultRowHeight="14.4" x14ac:dyDescent="0.3"/>
  <cols>
    <col min="1" max="1" width="30" customWidth="1"/>
    <col min="2" max="2" width="120" customWidth="1"/>
  </cols>
  <sheetData>
    <row r="1" spans="1:2" ht="16.8" x14ac:dyDescent="0.3">
      <c r="A1" s="9" t="s">
        <v>1358</v>
      </c>
    </row>
    <row r="2" spans="1:2" ht="26.4" x14ac:dyDescent="0.3">
      <c r="A2" s="10" t="s">
        <v>1359</v>
      </c>
      <c r="B2" s="11" t="s">
        <v>1360</v>
      </c>
    </row>
    <row r="3" spans="1:2" x14ac:dyDescent="0.3">
      <c r="A3" s="10" t="s">
        <v>1361</v>
      </c>
      <c r="B3" s="11" t="s">
        <v>1362</v>
      </c>
    </row>
    <row r="4" spans="1:2" x14ac:dyDescent="0.3">
      <c r="A4" s="10" t="s">
        <v>1363</v>
      </c>
      <c r="B4" s="11" t="s">
        <v>1364</v>
      </c>
    </row>
    <row r="5" spans="1:2" ht="52.8" x14ac:dyDescent="0.3">
      <c r="A5" s="10" t="s">
        <v>18</v>
      </c>
      <c r="B5" s="11" t="s">
        <v>1365</v>
      </c>
    </row>
    <row r="6" spans="1:2" ht="26.4" x14ac:dyDescent="0.3">
      <c r="A6" s="10" t="s">
        <v>1366</v>
      </c>
      <c r="B6" s="11" t="s">
        <v>1367</v>
      </c>
    </row>
    <row r="7" spans="1:2" ht="26.4" x14ac:dyDescent="0.3">
      <c r="A7" s="10" t="s">
        <v>1368</v>
      </c>
      <c r="B7" s="11" t="s">
        <v>1369</v>
      </c>
    </row>
    <row r="8" spans="1:2" ht="26.4" x14ac:dyDescent="0.3">
      <c r="A8" s="10" t="s">
        <v>1370</v>
      </c>
      <c r="B8" s="11" t="s">
        <v>1371</v>
      </c>
    </row>
    <row r="9" spans="1:2" ht="26.4" x14ac:dyDescent="0.3">
      <c r="A9" s="10" t="s">
        <v>1372</v>
      </c>
      <c r="B9" s="11" t="s">
        <v>1373</v>
      </c>
    </row>
    <row r="10" spans="1:2" ht="26.4" x14ac:dyDescent="0.3">
      <c r="A10" s="10" t="s">
        <v>1374</v>
      </c>
      <c r="B10" s="11" t="s">
        <v>1375</v>
      </c>
    </row>
    <row r="11" spans="1:2" ht="26.4" x14ac:dyDescent="0.3">
      <c r="A11" s="10" t="s">
        <v>1376</v>
      </c>
      <c r="B11" s="11" t="s">
        <v>1377</v>
      </c>
    </row>
    <row r="12" spans="1:2" ht="26.4" x14ac:dyDescent="0.3">
      <c r="A12" s="10" t="s">
        <v>1378</v>
      </c>
      <c r="B12" s="11" t="s">
        <v>1379</v>
      </c>
    </row>
    <row r="13" spans="1:2" ht="26.4" x14ac:dyDescent="0.3">
      <c r="A13" s="10" t="s">
        <v>1380</v>
      </c>
      <c r="B13" s="11" t="s">
        <v>1381</v>
      </c>
    </row>
    <row r="14" spans="1:2" x14ac:dyDescent="0.3">
      <c r="A14" s="10" t="s">
        <v>1382</v>
      </c>
      <c r="B14" s="11" t="s">
        <v>1383</v>
      </c>
    </row>
  </sheetData>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63C97-7CC5-4F4C-9475-5C447FA32F5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Asset Code</vt:lpstr>
      <vt:lpstr>Item List</vt:lpstr>
      <vt:lpstr>Staffs List</vt:lpstr>
      <vt:lpstr>Supplier</vt:lpstr>
      <vt:lpstr>LOB</vt:lpstr>
      <vt:lpstr>Rate Card for costing </vt:lpstr>
      <vt:lpstr>KPI</vt:lpstr>
      <vt:lpstr>Expense Account </vt:lpstr>
      <vt:lpstr>All Routes</vt:lpstr>
      <vt:lpstr>Driver Mapping On Each Vehicle </vt:lpstr>
      <vt:lpstr>KM from Lagos</vt:lpstr>
      <vt:lpstr>KM from Oyo (Ibadan)</vt:lpstr>
      <vt:lpstr>KM from Rivers (PH)</vt:lpstr>
      <vt:lpstr>KM from FCT (Abuja)</vt:lpstr>
      <vt:lpstr>KM from Nasarawa (Keffi)</vt:lpstr>
      <vt:lpstr>Internal Zones</vt:lpstr>
      <vt:lpstr>Zone Areas</vt:lpstr>
      <vt:lpstr>3PL Rate Card - Internal</vt:lpstr>
      <vt:lpstr>3PL Rate Card - Interstate</vt:lpstr>
      <vt:lpstr>Spelling Corrections</vt:lpstr>
      <vt:lpstr>Method &amp; Notes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Mohamad  Dayekh</cp:lastModifiedBy>
  <cp:revision>0</cp:revision>
  <dcterms:created xsi:type="dcterms:W3CDTF">2026-10-15T09:45:14Z</dcterms:created>
  <dcterms:modified xsi:type="dcterms:W3CDTF">2026-10-15T10:58:50Z</dcterms:modified>
  <dc:language>en-US</dc:language>
</cp:coreProperties>
</file>